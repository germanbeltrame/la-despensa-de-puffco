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y price" sheetId="1" r:id="rId5"/>
    <sheet state="visible" name="Resumen" sheetId="2" r:id="rId6"/>
    <sheet state="visible" name="LISTA Special distro" sheetId="3" r:id="rId7"/>
    <sheet state="visible" name="Pedidos" sheetId="4" r:id="rId8"/>
    <sheet state="visible" name="Control de errores" sheetId="5" r:id="rId9"/>
    <sheet state="visible" name="Costo Carga" sheetId="6" r:id="rId10"/>
    <sheet state="visible" name="PESOS" sheetId="7" r:id="rId11"/>
    <sheet state="visible" name="COMPRAS Proveedores" sheetId="8" r:id="rId12"/>
    <sheet state="visible" name="Cta Cte total" sheetId="9" r:id="rId13"/>
    <sheet state="visible" name="CTA CTE COLO" sheetId="10" r:id="rId14"/>
    <sheet state="visible" name="TIN UY" sheetId="11" r:id="rId15"/>
    <sheet state="visible" name="Pedro" sheetId="12" r:id="rId16"/>
    <sheet state="visible" name="Charly Distri" sheetId="13" r:id="rId17"/>
    <sheet state="visible" name="FACU LP" sheetId="14" r:id="rId18"/>
    <sheet state="visible" name="Agus Honney" sheetId="15" r:id="rId19"/>
    <sheet state="visible" name="MARSHAL LEAN" sheetId="16" r:id="rId20"/>
    <sheet state="visible" name="Ale Ong Cordoba" sheetId="17" r:id="rId21"/>
    <sheet state="visible" name="Coco Salta" sheetId="18" r:id="rId22"/>
    <sheet state="visible" name="Nahu La comarca" sheetId="19" r:id="rId23"/>
    <sheet state="visible" name="Leloir ONG" sheetId="20" r:id="rId24"/>
    <sheet state="visible" name="Kanario" sheetId="21" r:id="rId25"/>
    <sheet state="visible" name="Alan" sheetId="22" r:id="rId26"/>
    <sheet state="visible" name="Guille naesa" sheetId="23" r:id="rId27"/>
    <sheet state="visible" name="Facu Pisando" sheetId="24" r:id="rId28"/>
    <sheet state="visible" name="Alfredo Indajaus" sheetId="25" r:id="rId29"/>
    <sheet state="visible" name="The pot club" sheetId="26" r:id="rId30"/>
    <sheet state="visible" name="Tuki Grow" sheetId="27" r:id="rId31"/>
    <sheet state="visible" name="High up OMG" sheetId="28" r:id="rId32"/>
    <sheet state="visible" name="OLD FARMERS" sheetId="29" r:id="rId33"/>
    <sheet state="visible" name="vaporever" sheetId="30" r:id="rId34"/>
    <sheet state="visible" name="Lean TEGRIDAD" sheetId="31" r:id="rId35"/>
    <sheet state="visible" name="Alto Vuelo" sheetId="32" r:id="rId36"/>
    <sheet state="visible" name="LT Grow" sheetId="33" r:id="rId37"/>
    <sheet state="visible" name="Conex Distribuidora" sheetId="34" r:id="rId38"/>
  </sheets>
  <definedNames>
    <definedName hidden="1" localSheetId="0" name="_xlnm._FilterDatabase">'Stock y price'!$A$1:$Q$1228</definedName>
    <definedName hidden="1" localSheetId="1" name="_xlnm._FilterDatabase">Resumen!$A$1:$B$982</definedName>
  </definedNames>
  <calcPr/>
  <pivotCaches>
    <pivotCache cacheId="0" r:id="rId39"/>
  </pivotCaches>
</workbook>
</file>

<file path=xl/sharedStrings.xml><?xml version="1.0" encoding="utf-8"?>
<sst xmlns="http://schemas.openxmlformats.org/spreadsheetml/2006/main" count="33067" uniqueCount="1484">
  <si>
    <t>Cliente</t>
  </si>
  <si>
    <t>PRODUCTO (A)</t>
  </si>
  <si>
    <t>PRODUCTO</t>
  </si>
  <si>
    <t>fecha</t>
  </si>
  <si>
    <t>VENTA</t>
  </si>
  <si>
    <t>Saldo</t>
  </si>
  <si>
    <t>TOTAL DEUDA</t>
  </si>
  <si>
    <t>DISTRI</t>
  </si>
  <si>
    <t>PRECIO (B)</t>
  </si>
  <si>
    <t>(C)</t>
  </si>
  <si>
    <t>STOCK (D)</t>
  </si>
  <si>
    <t>Clientes</t>
  </si>
  <si>
    <t>(E)</t>
  </si>
  <si>
    <t>Inversion inicial</t>
  </si>
  <si>
    <t>MARCA (F)</t>
  </si>
  <si>
    <t>PEDIDO</t>
  </si>
  <si>
    <t>CATEGORIA (G)</t>
  </si>
  <si>
    <t>GANANCIA</t>
  </si>
  <si>
    <t>COSTO</t>
  </si>
  <si>
    <t>Ganancia real</t>
  </si>
  <si>
    <t xml:space="preserve"> </t>
  </si>
  <si>
    <t>PAGO</t>
  </si>
  <si>
    <t>DEBE</t>
  </si>
  <si>
    <t>OBSERVACIONES</t>
  </si>
  <si>
    <t>COMISION</t>
  </si>
  <si>
    <t>Alfredo Indajaus</t>
  </si>
  <si>
    <t>1 x Peak - Canyon, 1 x Hot knife Negro</t>
  </si>
  <si>
    <t>Costo Aereo</t>
  </si>
  <si>
    <t>Aereo+costo</t>
  </si>
  <si>
    <t>Total costo</t>
  </si>
  <si>
    <t>PESO</t>
  </si>
  <si>
    <t>Peak Pro 3DXL - Onyx</t>
  </si>
  <si>
    <t>C</t>
  </si>
  <si>
    <t>TIN UY</t>
  </si>
  <si>
    <t>PUFFCO</t>
  </si>
  <si>
    <t>VAPORIZADOR</t>
  </si>
  <si>
    <t>Leloir ong</t>
  </si>
  <si>
    <t>2 x Pivot - Onyx, 2 x Pivot Pine, 1 x Proxy - Haze, 1 x Peak - Canyon, 1 x Peak Pro 3DXL - Pearl, 1 x Peak Pro 3DXL Chamber - Black, 1 x Pivot 3D Chamber 2-Pack - Onyx</t>
  </si>
  <si>
    <t>tin uy</t>
  </si>
  <si>
    <t>5 x Pivot Pine, 6 x Pivot - Onyx, 2 x Peak - Pine, 1 x Peak - Canyon, 1 x Peak - Onyx, 2 x Peak Pro 3DXL - Onyx, 1 x Peak Pro 3DXL - Pearl, 2 x Proxy - Onyx, 2 x Proxy - Haze, 3 x Peak Pro 3DXL Chamber - Black, 3 x Peak 3D Chamber - Onyx, 7 x Adaptador Peak Pro Link, 2 x Hot knife Pearl, 1 x Hot knife Negro</t>
  </si>
  <si>
    <t>flavio VIERCOLES</t>
  </si>
  <si>
    <t>1 x Peak Pro 3DXL - Pearl, 1 x Hot knife Pearl</t>
  </si>
  <si>
    <t>300 dls</t>
  </si>
  <si>
    <t>COCO Salta 420</t>
  </si>
  <si>
    <t>2 x Adaptador Peak Pro Link, 1 x Proxy - Haze</t>
  </si>
  <si>
    <t>440 dls</t>
  </si>
  <si>
    <t>Dealer del OESTE NQN Franco</t>
  </si>
  <si>
    <t>1 x Peak Pro 3DXL - Onyx, 1 x Peak - Canyon, 1 x Proxy - Haze, 1 x Proxy - Onyx, 2 x Peak Pro 3DXL Chamber - Black, 2 x Adaptador Peak Pro Link, 1 x Peak Pro 3DXL - Pearl</t>
  </si>
  <si>
    <t>CHARLY DISTRI</t>
  </si>
  <si>
    <t>5 x Pivot Pine, 5 x Pivot - Onyx, 4 x Pivot Glass Adapter with 3D Chamber - Onyx, 5 x Hot knife Pearl, 5 x Hot knife Negro, 3 x Peak - Pine, 2 x Peak - Canyon, 2 x Peak - Onyx, 4 x Peak 3D Chamber - Onyx, 2 x Proxy - Onyx, 2 x Proxy - Haze, 2 x Proxy 3D Chamber - Onyx, 2 x Peak Pro 3DXL - Onyx, 2 x Peak Pro 3DXL - Pearl, 4 x Peak Pro 3DXL Chamber  clasico, 4 x Peak Pro 3DXL Chamber - Black, 2 x Peak Pro Glass 2.0, 1 x Adaptador Peak Pro Link</t>
  </si>
  <si>
    <t>H1</t>
  </si>
  <si>
    <t>Facu Pisando</t>
  </si>
  <si>
    <t>es mas por cosas que tenia yo</t>
  </si>
  <si>
    <t>7400 aprox</t>
  </si>
  <si>
    <t>BIG FACU COSTA ATLANTICA</t>
  </si>
  <si>
    <t>H7</t>
  </si>
  <si>
    <t>1 x Pivot Pine, 1 x Pivot - Onyx, 1 x Pivot 3D Chamber 2-Pack - Onyx, 1 x Pivot Glass Adapter with 3D Chamber - Onyx, 1 x Hot knife Negro, 1 x Hot knife Pearl, 1 x Peak - Canyon, 1 x Peak - Pine, 1 x Proxy - Haze, 2 x Proxy - Onyx, 1 x Peak Pro 3DXL - Pearl, 1 x Peak Pro 3DXL Chamber - Black, 2 x Adaptador Peak Pro Link</t>
  </si>
  <si>
    <t>Guille naesa</t>
  </si>
  <si>
    <t>H4</t>
  </si>
  <si>
    <t>2231 dls</t>
  </si>
  <si>
    <t>FACU LP</t>
  </si>
  <si>
    <t>A232-7A</t>
  </si>
  <si>
    <t>Kanario</t>
  </si>
  <si>
    <t>RF-5020</t>
  </si>
  <si>
    <t>LT Grow</t>
  </si>
  <si>
    <t>ST-KIT08</t>
  </si>
  <si>
    <t>Planto Luego existo</t>
  </si>
  <si>
    <t>2 x Pivot Pine, 2 x Pivot - Onyx, 2 x Pivot 3D Chamber 2-Pack - Onyx, 1 x Hot knife Negro, 1 x Hot knife Pearl, 2 x Peak - Pine, 1 x Peak - Onyx, 1 x Peak - Canyon, 1 x Peak Pro 3DXL - Onyx, 1 x Peak Pro 3DXL - Pearl, 1 x Proxy - Haze, 2 x Proxy - Onyx, 4 x Proxy 3D Chamber - Onyx, 2 x Adaptador Peak Pro Link, 2 x Peak Pro 3DXL Chamber - Black</t>
  </si>
  <si>
    <t>MARSHAL LEAN</t>
  </si>
  <si>
    <t>ST-KIT04</t>
  </si>
  <si>
    <t>Peak Pro 3DXL - Pearl</t>
  </si>
  <si>
    <t>ST-03</t>
  </si>
  <si>
    <t>vaporever</t>
  </si>
  <si>
    <t>High up OMG</t>
  </si>
  <si>
    <t>30 x Plus Battery - Pearl, 2 x Proxy - Onyx, 4 x Proxy 3D Chamber - Onyx, 2 x Peak Pro 3DXL - Pearl, 1 x Proxy - Haze, 2 x Pivot Pine, 2 x Hot knife Negro, 2 x Hot knife Pearl, 3 x Peak - Onyx, 1 x Peak - Canyon, 1 x Peak - Pine</t>
  </si>
  <si>
    <t>ST-ISO45080</t>
  </si>
  <si>
    <t>The pot club</t>
  </si>
  <si>
    <t>cobrado 26/2/2026 x luke entrego al colo 2-3-26</t>
  </si>
  <si>
    <t>2 x Peak Pro 3DXL Chamber  clasico</t>
  </si>
  <si>
    <t>ST-CABPRO2V</t>
  </si>
  <si>
    <t>-</t>
  </si>
  <si>
    <t>Alto Vuelo</t>
  </si>
  <si>
    <t>1 x Peak - Canyon</t>
  </si>
  <si>
    <t>Facu LP</t>
  </si>
  <si>
    <t>1 x Peak Pro 3DXL - Onyx, 1 x Peak Pro 3DXL - Pearl</t>
  </si>
  <si>
    <t>Pedro</t>
  </si>
  <si>
    <t>Peak Pro 3DXL - PLASMA</t>
  </si>
  <si>
    <t>700 dls</t>
  </si>
  <si>
    <t>Astro GRow LA PLATA</t>
  </si>
  <si>
    <t>Leloir ONG</t>
  </si>
  <si>
    <t>2 x Pivot - Onyx, 1 x Pivot Pine, 1 x Peak - Onyx, 3 x Peak Atomizer, 1 x Proxy - Onyx, 1 x Proxy - Haze, 1 x Peak Pro 3DXL Chamber - Black</t>
  </si>
  <si>
    <t>Alan</t>
  </si>
  <si>
    <t>Proxy - Haze</t>
  </si>
  <si>
    <t>Nahu La comarca</t>
  </si>
  <si>
    <t>1 x Peak Pro 3D Chamber</t>
  </si>
  <si>
    <t>Lean TEGRIDAD</t>
  </si>
  <si>
    <t>2 x Pivot Pine, 1 x Pivot - Onyx, 1 x Hot knife Negro</t>
  </si>
  <si>
    <t>Ale Ong Cordoba</t>
  </si>
  <si>
    <t>2 x Peak Pro 3D Chamber</t>
  </si>
  <si>
    <t>Tuki Grow</t>
  </si>
  <si>
    <t>1 x Peak Pro 3DXL - Pearl, 1 x Pivot Pine, 1 x Pivot - Onyx, 2 x Proxy - Onyx, 2 x Proxy - Haze, 1 x Peak 3D Chamber - Onyx, 2 x Peak Pro Glass 2.0, 3 x Peak Pro 3DXL Chamber - Black, 1 x Hot knife Negro</t>
  </si>
  <si>
    <t>Coco Salta</t>
  </si>
  <si>
    <t>Jamrock</t>
  </si>
  <si>
    <t>1 x Pivot Pine, 1 x Peak - Pine, 1 x Peak Pro Glass 2.0</t>
  </si>
  <si>
    <t>Agus Honney</t>
  </si>
  <si>
    <t xml:space="preserve">El club de la alegría </t>
  </si>
  <si>
    <t>1 x Pivot - Onyx</t>
  </si>
  <si>
    <t>3 x Proxy - Onyx, 2 x Pivot 3D Chamber 2-Pack - Onyx</t>
  </si>
  <si>
    <t>OLD FARMERS</t>
  </si>
  <si>
    <t>1 x Pivot Pine</t>
  </si>
  <si>
    <t>Proxy - Onyx</t>
  </si>
  <si>
    <t>Charly Distri</t>
  </si>
  <si>
    <t>1 x Peak Pro Glass 2.0</t>
  </si>
  <si>
    <t>Agus HONNEY</t>
  </si>
  <si>
    <t>1 x Peak - Pine, 2 x GLOB MOPS CLASICO</t>
  </si>
  <si>
    <t>Proxy Core PINE</t>
  </si>
  <si>
    <t>DEUDA ANTERIOR</t>
  </si>
  <si>
    <t>1 x Pivot Pine, 1 x Pivot 3D Chamber 2-Pack - Onyx, 1 x Peak Pro 3DXL Chamber  clasico, 1 x Hot knife Pearl</t>
  </si>
  <si>
    <t>Proxy Core ONIX</t>
  </si>
  <si>
    <t>Tin UY</t>
  </si>
  <si>
    <t>2 x PAPEL REYNOLS, 5 x GLOB MOPS CLASICO, 1 x Peak - Pine, 1 x Proxy - Haze, 1 x PUFFCO TRAVEL CASE ROJO, 1 x Joystick cap Peak New, 1 x Hot knife Negro, 1 x Hot knife Pearl</t>
  </si>
  <si>
    <t>Proxy Core silicona ONIX</t>
  </si>
  <si>
    <t>1 x Adaptador Peak Pro Link</t>
  </si>
  <si>
    <t>Proxy Core silicona HAZE</t>
  </si>
  <si>
    <t>6 x Adaptador Peak Pro Link</t>
  </si>
  <si>
    <t>Pivot - Storm</t>
  </si>
  <si>
    <t>1 x Proxy - Haze, 1 x Proxy - Onyx, 1 x Pivot - Onyx, 3 x Peak - Onyx, 1 x Peak - Canyon, 6 x Peak Pro 3DXL Chamber - Black</t>
  </si>
  <si>
    <t>Pivot - Onyx</t>
  </si>
  <si>
    <t>Deuda ANTERIOR</t>
  </si>
  <si>
    <t>Peak - Amarillo</t>
  </si>
  <si>
    <t>5 x Adaptador Peak Pro Link, 3 x MALLAS PARA BUBBLE HASH 20 LITROS PACK x 8 unidades</t>
  </si>
  <si>
    <t>Peak - Storm</t>
  </si>
  <si>
    <t>Peak - Onyx</t>
  </si>
  <si>
    <t>Proxy Bub - Haze</t>
  </si>
  <si>
    <t>15 x ROSIN BAGS PACK X 25 UNIDADES ( 6 CM X 11 CM) MICRAJE 25</t>
  </si>
  <si>
    <t>Proxy Bub - Onyx</t>
  </si>
  <si>
    <t>Proxy Bub Wizard - Haze</t>
  </si>
  <si>
    <t>Guille UY</t>
  </si>
  <si>
    <t>Proxy Bub Wizard - Onyx</t>
  </si>
  <si>
    <t>1 x Pivot - Onyx, 2 x Pivot Pine, 1 x Hot knife Pearl, 1 x Hot knife Negro, 1 x Peak - Canyon, 1 x Proxy - Onyx, 1 x Peak Pro 3DXL - Onyx, 1 x Peak Pro 3DXL Chamber - Black, 2 x Adaptador Peak Pro Link, 1 x ROSIN BAGS PACK X 20 UNIDADES ( 5CM X 10 CM) MICRAJE 25</t>
  </si>
  <si>
    <t>Proxy Bub viejo - Onyx</t>
  </si>
  <si>
    <t>ACCESORIO</t>
  </si>
  <si>
    <t>Proxy wizard - marron</t>
  </si>
  <si>
    <t>leloir ong</t>
  </si>
  <si>
    <t>1 x Pivot Pine, 2 x Pivot - Onyx, 1 x Adaptador Peak Pro Link</t>
  </si>
  <si>
    <t>Peak Pro 3DXL Chamber  clasico</t>
  </si>
  <si>
    <t>Nahu La Comarca</t>
  </si>
  <si>
    <t>2 x Pivot - Onyx, 2 x Pivot Pine, 2 x Hot knife Negro, 1 x Peak - Pine, 1 x Peak - Onyx, 1 x Peak Pro 3DXL - Onyx</t>
  </si>
  <si>
    <t>Peak Pro 3DXL Chamber - PLASMA</t>
  </si>
  <si>
    <t>1 x Peak Pro 3D Chamber, 1 x Peak Pro Glass 2.0, 1 x Pivot Mouthpiece 2-Pack , 1 x GLOB MOPS CLASICO</t>
  </si>
  <si>
    <t>Hot knife NEW NEGRO</t>
  </si>
  <si>
    <t>2 x Proxy Bub - Haze, 1 x Proxy Bub - Onyx, 1 x Pivot Pine, 1 x Hot knife Pearl</t>
  </si>
  <si>
    <t>Hot knife NEW PEARL</t>
  </si>
  <si>
    <t>2 x Plus Battery - Pearl, 4 x Plus Supercharger</t>
  </si>
  <si>
    <t>Hot Knife NEW PINE</t>
  </si>
  <si>
    <t>3 x GLOB MOPS CLASICO, 2 x Clear Bucket Bangers - Standard 90-10mm, 2 x Terp Blender Bangers - Full Weld 90-10mm, 2 x Terp Blender Bangers - Full Weld 90-14mm, 2 x MJ Arsenal Puffco Pivot Tops - Sidecar - Clear, 1 x MJ Arsenal Puffco Pivot Tops - Egg- Clear, 1 x BigFun! Puffco Pivot Tops - Drei, 1 x BigFun! Puffco Pivot Tops - LIL' Frosty, 1 x BigFun! Puffco Pivot Tops - LIL' X, 2 x MJ Arsenal Puffco Peak Tops - Quadra, 1 x Peak Pro 3DXL Joystick Caps - Black Nebula, 1 x Peak Pro 3DXL Joystick Caps Blue Lagoon, 1 x Peak Pro 3DXL Joystick Caps - Clear, 1 x Peak Pro 3DXL Joystick Caps - Eclipse, 1 x Ursa Mini Dab Rig - Clear, 1 x Royale Mini Dab Rig - Iridescent, 1 x Infinity Mini Dab Rig - Clear, 1 x Mushroom 2 - Milky Blue, 1 x Mushroom - Purple (Green Base), 1 x Ghost Amber, 1 x Frog Green (Blue Base), 1 x Chili Pepper Red (Yellow Hat), 1 x Turtle - Green (Amber Shell), 1 x Peak Pro 3DXL - Onyx, 1 x Peak Pro 3DXL - Pearl, 1 x Pivot Pine, 1 x Pivot - Onyx, 1 x Peak - Pine, 1 x Peak - Canyon, 1 x Peak - Onyx, 1 x Proxy - Haze, 1 x Proxy - Onyx, 1 x Proxy Bub - Onyx, 2 x Hot knife Pearl, 2 x Hot knife Negro, 4 x Adaptador Peak Pro Link, 1 x Peak Pro 3DXL Chamber - Black, 2 x Pivot Glass Adapter with 3D Chamber - Onyx, 1 x PUFFCO TRAVEL CASE ROJO, 1 x PUFFCO TRAVEL CASE PLATEADO, 1 x Pivot 3D Chamber 2-Pack - Onyx, 3 x PAPEL REYNOLS, 2 x Proxy 3D Chamber - Onyx, 2 x Chamber Plus - Pearl, 10 x ROSIN BAGS PACK X 20 UNIDADES ( 5CM X 10 CM) MICRAJE 25, 4 x ROSIN BAGS PACK X 20UNIDADES ( 3,8 CM X 10 CM) 120 micras, 1 x ROSIN BAGS PACK X 20UNIDADES ( 6 CM X 11 CM) 90 micras</t>
  </si>
  <si>
    <t>Hot Knife NEW PLASMA</t>
  </si>
  <si>
    <t>LELOIR ong</t>
  </si>
  <si>
    <t>1 x Pivot Tops Display - V1 (18)</t>
  </si>
  <si>
    <t>BAG PEAK PRO</t>
  </si>
  <si>
    <t>Ale ONG Cordoba</t>
  </si>
  <si>
    <t>4 x ROSIN BAGS PACK X 25 UNIDADES ( 6 CM X 11 CM) MICRAJE 25, 1 x Pivot Pine, 1 x Pivot - Onyx, 3 x Hot knife Negro, 1 x Hot knife Pearl, 2 x Proxy - Onyx, 2 x Proxy wizard - marron, 1 x Bloopcycler Dab Rig - Clear, 1 x Ghost Smoke, 1 x Ghost - Lavender, 1 x Chili Pepper - Orange (Milky Yellow Hat), 1 x Frog Light Yellow (Blue Base), 1 x Mushroom 2 - Yellow, 1 x Turtle - Dark Red (Amber Shell), 1 x Terp Blender Bangers - Full Weld 90-10mm, 1 x Quartz Ebanger 14 mm Macho, 1 x GLOB MOPS CLASICO</t>
  </si>
  <si>
    <t>1 x Proxy 3D Chamber - Onyx</t>
  </si>
  <si>
    <t>Peak Pro 3D Chamber</t>
  </si>
  <si>
    <t>1 x Ursa Mini Dab Rig - Clear, 1 x Royale Mini Dab Rig - Iridescent, 1 x Apollo Mini Dab Rig - Iridescent, 1 x Apollo Mini Dab Rig - Clear, 1 x Titan Mini Dab Rig - Clear, 1 x MJ Arsenal Puffco Peak Tops - Quadra, 1 x 8.5" Swiss Incycler - Iridescent, 1 x Terp Blender Bangers - Full Weld 90-10mm, 1 x Terp Blender Bangers - Full Weld 90-14mm, 1 x Clear Bucket Bangers - Standard 90-10mm XL, 1 x Clear Bucket Bangers - Standard 90-10mm, 1 x Peak Pro 3DXL Joystick Caps - Clear, 1 x Peak Pro 3DXL Joystick Caps - Firestone Red, 1 x Peak Pro 3DXL Joystick Caps Glow in the Dark, 1 x Adaptador Peak Pro Link</t>
  </si>
  <si>
    <t>Peak Pro TRAVEL GLASS SHADOW</t>
  </si>
  <si>
    <t>A CUENTA USD 500 EN EFT A LUCAS</t>
  </si>
  <si>
    <t>ENTREGADO AL COLO 12-03-2026</t>
  </si>
  <si>
    <t>Peak Pro TRAVEL GLASS</t>
  </si>
  <si>
    <t>Peak Pro Glass 2.0</t>
  </si>
  <si>
    <t>4 x Peak Pro 3DXL - Onyx, 2 x Peak Pro 3DXL - Pearl, 1 x Peak Pro 3DXL Chamber - Black, 2 x Peak Pro 3DXL Chamber  clasico, 3 x Hot knife Negro, 2 x Pivot - Onyx, 1 x Adaptador Peak Pro Link, 6 x Pivot Tops Display - V1 (18)</t>
  </si>
  <si>
    <t>Proxy 3D Chamber - Onyx</t>
  </si>
  <si>
    <t>Jona Pura Vibra Chivilicoy</t>
  </si>
  <si>
    <t>1 x Peak - Pine, 1 x Peak - Canyon, 1 x Hot knife Negro, 1 x Hot knife Pearl, 1 x Pivot Pine, 1 x Pivot - Onyx</t>
  </si>
  <si>
    <t>Peak 3D Chamber - Onyx</t>
  </si>
  <si>
    <t>PAGO EN EFT A LUCAS $960,000 5/3/2026</t>
  </si>
  <si>
    <t>paso por casa</t>
  </si>
  <si>
    <t>Pivot 3D Chamber 2-Pack - Onyx</t>
  </si>
  <si>
    <t>Tin Uy</t>
  </si>
  <si>
    <t>1 x Pig - Milky Pink (Clear Base), 2 x Pivot - Onyx, 2 x Pivot Pine, 1 x Proxy 3D Chamber - Onyx, 1 x Proxy - Onyx, 1 x Proxy - Haze, 1 x Pivot 3D Chamber 2-Pack - Onyx</t>
  </si>
  <si>
    <t>Pivot Glass Adapter with 3D Chamber - Onyx</t>
  </si>
  <si>
    <t>1 x Spinner 3 - Green</t>
  </si>
  <si>
    <t>Plus Dark Pack</t>
  </si>
  <si>
    <t>Brian Quilmes</t>
  </si>
  <si>
    <t>Plus Supercharger</t>
  </si>
  <si>
    <t>1 x Peak Pro 3DXL - Pearl, 1 x Teddy Peak Top Teddy Peak Top, 1 x Apollo Mini Dab Rig - Iridescent, 1 x Atlas Mini Dab Rig - Iridescent, 1 x Mini Jig Mini Dab Rig Iridescent, 1 x MJ Arsenal Puffco Pivot Tops - Sidecar - Clear, 1 x Peak Pro 3DXL Chamber - Black, 1 x Peak Pro 3DXL Chamber  clasico, 1 x BigFun! Puffco Pivot Tops - Drei, 1 x BigFun! Puffco Pivot Tops - LIL' Frosty, 1 x BigFun! Puffco Pivot Tops - LIL' X, 5 x Pivot Tops Display - V1 (18), 1 x Peak Pro 3DXL Joystick Caps Blue Lagoon, 1 x Peak Pro 3DXL Joystick Caps - Black Nebula, 1 x Peak Pro 3DXL Joystick Caps - Eclipse, 1 x Chili Pepper Green (Red Hat), 1 x Frog Lake Green (Blue Base), 1 x Ghost - Green, 1 x Mushroom Blue (Green Base), 1 x Mushroom 2 - Green, 1 x Spinner 3 - Green, 1 x Turtle Lake Green (Amber Shell), 1 x MJ Arsenal Puffco Peak Tops - Quadra, 1 x Terp Blender Bangers - Full Weld 90-14mm</t>
  </si>
  <si>
    <t>Plus Battery - Pearl</t>
  </si>
  <si>
    <t>PAGO EN EFT USD A LUCAS  5/3/2026</t>
  </si>
  <si>
    <t>entrego y retiro nachito</t>
  </si>
  <si>
    <t>Chamber Plus - Pearl</t>
  </si>
  <si>
    <t>1 x Proxy - Haze, 1 x Teddy Peak Top Teddy Peak Top, 1 x MJ Arsenal Puffco Peak Tops - Quadra, 1 x Love Bug Pivot Top - Love Bug Pivot Top, 1 x Joystick cap Peak New</t>
  </si>
  <si>
    <t>Pivot Mouthpiece 2-Pack pine</t>
  </si>
  <si>
    <t>Pivot Mouthpiece 2-Pack moca</t>
  </si>
  <si>
    <t>1 x Peak Pro 3DXL - Onyx, 1 x Proxy - Haze, 1 x Proxy Bub - Haze, 1 x Peak - Canyon, 1 x Peak - Onyx, 1 x Hot knife Pearl, 1 x Pivot Pine</t>
  </si>
  <si>
    <t>Pivot Mouthpiece 2-Pack slate</t>
  </si>
  <si>
    <t>Guille Naesa</t>
  </si>
  <si>
    <t>1 x Pivot - Onyx, 1 x Peak - Onyx, 1 x Hot knife Negro</t>
  </si>
  <si>
    <t>Peak Atomizer</t>
  </si>
  <si>
    <t>20 x 20 GAL ZB, 50 x Pressing Screen (5 pack), 4 x 20-8 ALL MESH, 30 x 5 Gallon Zipper Bag, 30 x 5 GAL 8 B10 BAG KIT (ALL MESH)</t>
  </si>
  <si>
    <t>Joystick cap Peak New</t>
  </si>
  <si>
    <t>A CUENTA USD 1000 EN EFT A LUCAS</t>
  </si>
  <si>
    <t>Adaptador Peak Pro Link</t>
  </si>
  <si>
    <t>Polaco</t>
  </si>
  <si>
    <t>1 x Proxy - Onyx, 1 x Peak Pro 3DXL Chamber - Black, 1 x PUFFCO TRAVEL CASE ROJO, 2 x Iso Wipes × 400</t>
  </si>
  <si>
    <t>PUFFCO TRAVEL CASE ROJO</t>
  </si>
  <si>
    <t>pago en eft usd 500 los dos pedidos</t>
  </si>
  <si>
    <t>PUFFCO TRAVEL CASE STORM</t>
  </si>
  <si>
    <t>5 x Iso Wipes × 400</t>
  </si>
  <si>
    <t>PUFFCO TRAVEL CASE PLATEADO</t>
  </si>
  <si>
    <t>BigFun! Puffco Pivot Tops - Drei</t>
  </si>
  <si>
    <t>BigFun! Puffco Pivot Tops - LIL' Frosty</t>
  </si>
  <si>
    <t>1 x Peak Pro 3DXL - Onyx, 2 x Peak Pro 3DXL - Pearl, 2 x Proxy - Haze, 1 x Peak - Canyon, 1 x Peak - Pine, 3 x Adaptador Peak Pro Link, 2 x Pivot Pine, 2 x Pivot - Onyx, 2 x Peak Pro 3DXL Chamber  clasico, 3 x Peak Pro 3DXL Chamber - Black, 2 x Hot knife Negro, 2 x Hot knife Pearl, 1 x Pivot Glass Adapter with 3D Chamber - Onyx, 2 x Pivot 3D Chamber 2-Pack - Onyx, 1 x PUFFCO TRAVEL CASE ROJO, 1 x Coil Caddy Kit with Terp Slurper Set × 1
Green / 14mm, 1 x Spinner 3 Matrix Green, 1 x Spinner 3 - Pink, 1 x Spinner 3 Purple, 2 x Pivot Tops Display - V1 (18), 1 x Infinity Mini Dab Rig - Clear, 1 x Apollo Mini Dab Rig - Pink, 1 x Peak Pro 3DXL Joystick Caps - Firestone Red, 1 x Peak Pro 3DXL Joystick Caps Glow in the Dark, 2 x Peak Pro 3DXL Joystick Caps - Orange, 2 x Peak Pro 3DXL Joystick Caps - Pink UV, 2 x Peak Pro 3DXL Joystick Caps - Slime, 2 x Peak Pro 3DXL Joystick Caps - Sunrise, 2 x Peak Pro TRAVEL GLASS, 2 x Iso Wipes × 400</t>
  </si>
  <si>
    <t>BigFun! Puffco Pivot Tops - LIL' X</t>
  </si>
  <si>
    <t>Bubble Pivot Top - Iridescent</t>
  </si>
  <si>
    <t>Bubble Peak Top - Iridescent</t>
  </si>
  <si>
    <t>BigFun! Puffco Peak Tops - Big X pinito</t>
  </si>
  <si>
    <t>BigFun! Puffco Peak Tops - Big Frosty muñeco nieve</t>
  </si>
  <si>
    <t>1 x Pivot Pine, 1 x Pivot - Onyx, 1 x Adaptador Peak Pro Link, 1 x Atlas Mini Dab Rig - Iridescent, 1 x Peak - Pine, 1 x Peak - Onyx, 2 x Terp Blender Bangers - Full Weld 90-14mm, 1 x Terp Blender Bangers - Full Weld 90-10mm, 1 x Clear Bucket Bangers - Standard 90-10mm XL, 1 x Clear Bucket Bangers - Standard 90-10mm, 1 x Iso Wipes × 400, 2 x Hot knife Pearl, 1 x Peak Pro 3DXL Joystick Caps - Yellow, 1 x Peak Pro 3DXL Joystick Caps - Vintage, 1 x Peak Pro 3DXL Joystick Caps - Transparent Red</t>
  </si>
  <si>
    <t>13-3 $1,467,781 al colo</t>
  </si>
  <si>
    <t>Tricolor Peak Tops - Canopy</t>
  </si>
  <si>
    <t>1 x Apollo Mini Dab Rig - Clear, 1 x Apollo Mini Dab Rig - Pink, 1 x Titan Mini Dab Rig - Clear, 1 x 8.5" Swiss Incycler - Iridescent, 1 x Atlas Mini Dab Rig - Clear, 1 x Teddy Peak Top Teddy Peak Top, 1 x MJ Arsenal Puffco Peak Tops - Quadra, 2 x MJ Arsenal Puffco Pivot Tops - Sidecar - Clear, 2 x MJ Arsenal Puffco Pivot Tops - Egg- Clear, 1 x Royale Mini Dab Rig - Clear, 1 x Mini Jig Mini Dab Rig Iridescent, 1 x Clear Bucket Bangers - Standard 90-10mm XL, 1 x Clear Bucket Bangers - Standard 90-10mm, 1 x Terp Blender Bangers - Full Weld 90-14mm, 1 x BigFun! Puffco Pivot Tops - LIL' X, 1 x Love Bug Pivot Top - Love Bug Pivot Top, 1 x Frog - Matrix Green (Blue Base), 1 x Pig - Milky Pink (Clear Base), 1 x Mushroom Matrix Green (Green Base), 1 x Mushroom 2 Milky Green, 1 x Turtle Matrix Green (Amber Shell), 1 x Chili Pepper Green (Red Hat), 1 x Ghost Smoke, 16 x Iso Wipes × 400, 3 x Pivot Pine, 3 x Pivot - Onyx</t>
  </si>
  <si>
    <t>Tricolor Peak Tops - Sorbet</t>
  </si>
  <si>
    <t>Tricolor Pivot Tops - Canopy</t>
  </si>
  <si>
    <t>1 x Pivot Pine, 1 x Pivot - Onyx, 1 x Peak - Canyon, 1 x Peak - Pine, 1 x Proxy - Haze, 1 x Peak Pro 3DXL Chamber  clasico, 2 x Peak Pro 3DXL Chamber - Black, 1 x Coil Caddy Kit with Terp Slurper Set × 1
Black / 10mm, 1 x Coil Caddy with 40mm Heater Coil × 3, 1 x Coil Caddy with Heater Coil × 3, 1 x Complete MiniNail Kit w/ Quartz Banger × 1
Orange / Flat Tip Dabber and Carb Cap, 1 x Peak Pro Glass 2.0, 10 x ROSIN BAGS PACK X 20 UNIDADES ( 5CM X 10 CM) MICRAJE 25, 1 x BigFun! Puffco Pivot Tops - Drei, 1 x BigFun! Puffco Pivot Tops - LIL' Frosty, 1 x Peak Pro 3DXL Joystick Caps - Transparent Red, 1 x Peak Pro 3DXL Joystick Caps - Vintage, 1 x Peak Pro 3DXL Joystick Caps - Yellow, 4 x Pivot Tops Display - V1 (18), 1 x Spinner 3 Matrix Green, 1 x Spinner 3 - Pink, 2 x Love Bug Pivot Top - Love Bug Pivot Top, 1 x Teddy Peak Top Teddy Peak Top, 3 x Clear Bucket Bangers - Standard 90-10mm, 4 x PAPEL REYNOLS</t>
  </si>
  <si>
    <t>Tricolor Pivot Tops - Sorbet</t>
  </si>
  <si>
    <t>Empire Glassworks Puffco Peak Tops - Renew the Redwood</t>
  </si>
  <si>
    <t>1 x Proxy - Haze</t>
  </si>
  <si>
    <t>Empire Glassworks Puffco Peak Tops - Rocket Ship</t>
  </si>
  <si>
    <t>1 x Peak Atomizer, 1 x Peak 3D Chamber - Onyx</t>
  </si>
  <si>
    <t>Empire Glassworks Puffco Peak Tops - Save the Bees</t>
  </si>
  <si>
    <t>Empire Glassworks Puffco Peak Tops - Save the Seas</t>
  </si>
  <si>
    <t>6 x Adaptador Peak Pro Link, 2 x Pivot 3D Chamber 2-Pack - Onyx, 2 x MJ Arsenal Puffco Pivot Tops - Egg- Clear, 2 x MJ Arsenal Puffco Pivot Tops - Sidecar - Clear, 1 x Mushroom - Green (Green Base), 1 x Mushroom Light Yellow (Green Base), 1 x Mushroom 2 Milky Purple, 1 x Mushroom Red (Green Base), 1 x Chili Pepper - Orange (Milky Yellow Hat), 1 x Chili Pepper Red (Yellow Hat), 1 x Ghost - Green, 1 x Ghost - Lavender, 1 x Spinner 3 Purple, 5 x Hot knife Pearl, 4 x Peak - Onyx, 3 x Peak - Pine, 3 x Peak - Canyon, 2 x Peak Pro TRAVEL GLASS, 2 x PUFFCO TRAVEL CASE ROJO, 2 x PUFFCO TRAVEL CASE PLATEADO, 10 x Pivot Pine, 10 x Pivot - Onyx, 1 x Proxy wizard - marron, 1 x Proxy Bub viejo - Onyx</t>
  </si>
  <si>
    <t>Peak Pro 3DXL Joystick Caps - Black Nebula</t>
  </si>
  <si>
    <t>Old Farmers</t>
  </si>
  <si>
    <t>2 x Proxy Core, 2 x Proxy Core silicona , 2 x Pivot Mouthpiece 2-Pack pine, 2 x Pivot Mouthpiece 2-Pack moca, 1 x Proxy Bub - Haze, 1 x Proxy Bub - Onyx, 2 x Plus Supercharger, 4 x Chamber Plus - Pearl, 1 x Peak Pro TRAVEL GLASS, 1 x Peak Pro Glass 2.0, 1 x Adaptador Peak Pro Link, 6 x Hot knife NEW NEGRO, 6 x Hot knife NEW PEARL, 2 x Peak Pro 3DXL Chamber  clasico, 2 x Peak Pro 3DXL Chamber - Black, 2 x Peak Pro 3D Chamber</t>
  </si>
  <si>
    <t>Peak Pro 3DXL Joystick Caps Blue Lagoon</t>
  </si>
  <si>
    <t>debe</t>
  </si>
  <si>
    <t>Peak Pro 3DXL Joystick Caps - Clear</t>
  </si>
  <si>
    <t>20 x Iso Wipes × 400</t>
  </si>
  <si>
    <t>Peak Pro 3DXL Joystick Caps - Eclipse</t>
  </si>
  <si>
    <t>Peak Pro 3DXL Joystick Caps - Firestone Red</t>
  </si>
  <si>
    <t>2 x Peak Pro 3DXL - Pearl, 2 x Peak Pro 3DXL - Onyx, 6 x Proxy 3D Chamber - Onyx, 6 x Peak 3D Chamber - Onyx, 6 x Proxy Core, 6 x Proxy Core silicona , 10 x Hot knife NEW NEGRO, 1 x Proxy Bub - Onyx</t>
  </si>
  <si>
    <t>Peak Pro 3DXL Joystick Caps Glow in the Dark</t>
  </si>
  <si>
    <t>1 x Peak Pro 3DXL - Onyx, 1 x Peak Pro 3DXL - Pearl, 1 x MJ Arsenal Puffco Pivot Tops - Sidecar - Clear, 3 x Hot knife NEW NEGRO, 3 x Hot knife NEW PEARL, 2 x Proxy Core, 2 x Proxy Core silicona , 2 x Peak 3D Chamber - Onyx, 1 x Peak Pro 3DXL Chamber - Black, 6 x Peak Atomizer</t>
  </si>
  <si>
    <t>Peak Pro 3DXL Joystick Caps - Orange</t>
  </si>
  <si>
    <t>Peak Pro 3DXL Joystick Caps - Pink UV</t>
  </si>
  <si>
    <t>1 x Peak Pro 3DXL - Onyx, 1 x Peak - Canyon, 2 x Proxy Core, 2 x Proxy Core silicona , 2 x Hot knife NEW NEGRO, 2 x Hot knife NEW PEARL</t>
  </si>
  <si>
    <t>Peak Pro 3DXL Joystick Caps - Slime</t>
  </si>
  <si>
    <t>1 x Peak Pro 3DXL - Pearl, 1 x Adaptador Peak Pro Link, 1 x Peak - Pine, 1 x Peak - Canyon, 1 x Peak - Onyx, 2 x Hot knife NEW NEGRO, 2 x Hot knife NEW PEARL, 1 x Proxy - Haze, 2 x Proxy Core, 2 x Proxy Core silicona , 2 x Pivot 3D Chamber 2-Pack - Onyx, 1 x Pivot Glass Adapter with 3D Chamber - Onyx, 3 x Iso Wipes × 400</t>
  </si>
  <si>
    <t>REPUESTO</t>
  </si>
  <si>
    <t>Peak Pro 3DXL Joystick Caps - Sunrise</t>
  </si>
  <si>
    <t>transfirio al COLO 18-3 varios comprobantes</t>
  </si>
  <si>
    <t>Peak Pro 3DXL Joystick Caps - Transparent Red</t>
  </si>
  <si>
    <t>3 x Proxy Core, 3 x Proxy Core silicona , 2 x Hot knife NEW NEGRO, 2 x Hot knife NEW PEARL</t>
  </si>
  <si>
    <t>Peak Pro 3DXL Joystick Caps - Vintage</t>
  </si>
  <si>
    <t>The Pot Club</t>
  </si>
  <si>
    <t>Peak Pro 3DXL Joystick Caps - Yellow</t>
  </si>
  <si>
    <t>4 x Pivot Pine, 4 x Pivot - Onyx, 2 x Peak - Onyx, 2 x Pivot Glass Adapter with 3D Chamber - Onyx, 1 x PUFFCO TRAVEL CASE ROJO, 1 x PUFFCO TRAVEL CASE PLATEADO, 2 x Proxy Core, 2 x Proxy Core silicona , 2 x Hot knife NEW NEGRO, 2 x Hot knife NEW PEARL</t>
  </si>
  <si>
    <t>Pivot Tops Display - V1 (18)</t>
  </si>
  <si>
    <t>1 x Peak Pro 3DXL - Onyx, 1 x Peak Pro 3DXL - Pearl, 5 x Proxy Core, 2 x Proxy Core silicona , 4 x Hot knife NEW NEGRO, 4 x Hot knife NEW PEARL, 1 x Peak Pro 3DXL Chamber  clasico, 1 x Peak Pro 3DXL Chamber - Black</t>
  </si>
  <si>
    <t>Pivot Tops Display - V2 (18)</t>
  </si>
  <si>
    <t>Chili Pepper Green (Red Hat)</t>
  </si>
  <si>
    <t>2 x Proxy Core, 2 x Proxy Core silicona , 2 x Hot knife NEW NEGRO, 2 x Hot knife NEW PEARL</t>
  </si>
  <si>
    <t>Chili Pepper - Orange (Milky Yellow Hat)</t>
  </si>
  <si>
    <t>1 x Peak Pro 3DXL - Onyx, 2 x Peak Pro 3DXL - Pearl, 2 x Hot knife NEW NEGRO, 2 x Hot knife NEW PEARL, 3 x Proxy Core, 3 x Proxy Core silicona , 1 x Peak - Pine, 2 x Peak - Onyx, 2 x Pivot Pine, 2 x Peak 3D Chamber - Onyx</t>
  </si>
  <si>
    <t>Chili Pepper Red (Yellow Hat)</t>
  </si>
  <si>
    <t>3 x Proxy 3D Chamber - Onyx</t>
  </si>
  <si>
    <t>Frog Green (Blue Base)</t>
  </si>
  <si>
    <t>Frog Lake Green (Blue Base)</t>
  </si>
  <si>
    <t>Iguana MDQ</t>
  </si>
  <si>
    <t>1 x Hot knife NEW NEGRO</t>
  </si>
  <si>
    <t>Frog Light Yellow (Blue Base)</t>
  </si>
  <si>
    <t>Frog - Matrix Green (Blue Base)</t>
  </si>
  <si>
    <t>Cannabis Social Club</t>
  </si>
  <si>
    <t>1 x Peak Pro 3DXL - Onyx, 1 x Hot knife NEW PEARL, 2 x Iso Wipes × 400</t>
  </si>
  <si>
    <t>Ghost Amber</t>
  </si>
  <si>
    <t>paga en EFT a nachito 20-3</t>
  </si>
  <si>
    <t>Ghost - Green</t>
  </si>
  <si>
    <t>1 x Coil Caddy Kit with Terp Slurper Set × 1
Black / 14mm, 1 x Coil Caddy Kit with Terp Slurper Set × 1
Green / 10mm, 2 x Hot knife NEW PEARL, 2 x Hot knife NEW NEGRO, 2 x Proxy Core, 2 x Proxy Core silicona , 10 x Iso Wipes × 400</t>
  </si>
  <si>
    <t>Ghost - Lavender</t>
  </si>
  <si>
    <t>Ghost Smoke</t>
  </si>
  <si>
    <t>2 x Pivot Pine, 2 x Pivot - Onyx</t>
  </si>
  <si>
    <t>Mushroom Blue (Green Base)</t>
  </si>
  <si>
    <t>Manuja Glass</t>
  </si>
  <si>
    <t>1 x Proxy Core</t>
  </si>
  <si>
    <t>Mushroom - Green (Green Base)</t>
  </si>
  <si>
    <t>Mushroom Light Yellow (Green Base)</t>
  </si>
  <si>
    <t>1 x Peak - Canyon, 1 x Peak - Onyx</t>
  </si>
  <si>
    <t>Mushroom Matrix Green (Green Base)</t>
  </si>
  <si>
    <t>5 x Hot knife NEW NEGRO, 5 x Hot knife NEW PEARL, 1 x Peak - Canyon, 1 x Peak - Pine, 2 x Peak - Onyx, 2 x Proxy Core, 2 x Pivot Pine, 2 x Pivot - Onyx</t>
  </si>
  <si>
    <t>Mushroom - Purple (Green Base)</t>
  </si>
  <si>
    <t>Mushroom Red (Green Base)</t>
  </si>
  <si>
    <t>Dedo de Momia</t>
  </si>
  <si>
    <t>2 x Proxy Core</t>
  </si>
  <si>
    <t>Transfirio al COLO 26-3 dos comprobantes</t>
  </si>
  <si>
    <t>Mushroom 2 - Green</t>
  </si>
  <si>
    <t>Mushroom 2 - Milky Blue</t>
  </si>
  <si>
    <t>Mushroom 2 Milky Green</t>
  </si>
  <si>
    <t>2 x Pivot - Onyx, 1 x Quartz deep dish (REPUESTO cazuela de cuarzo para banger híbrido x 2 u), 1 x Proxy 3D Chamber - Onyx</t>
  </si>
  <si>
    <t>Mushroom 2 Milky Purple</t>
  </si>
  <si>
    <t>Rasta Ñato</t>
  </si>
  <si>
    <t>1 x ROSIN BAGS PACK X 20 UNIDADES ( 5CM X 10 CM) MICRAJE 25, 1 x PAPEL REYNOLS</t>
  </si>
  <si>
    <t>Mushroom 2 - Yellow</t>
  </si>
  <si>
    <t>PAGO EN EFT USD 43 a Lucas 27-3</t>
  </si>
  <si>
    <t>1 x Peak Pro 3DXL - Onyx, 2 x Pivot - Onyx, 2 x ROSIN BAGS PACK X 20 UNIDADES ( 5CM X 10 CM) MICRAJE 25, 1 x PAPEL REYNOLS</t>
  </si>
  <si>
    <t>Pig - Milky Pink (Clear Base)</t>
  </si>
  <si>
    <t>2 transfer al colo</t>
  </si>
  <si>
    <t>Spinner 3 - Blue</t>
  </si>
  <si>
    <t>MARSHAL Lean</t>
  </si>
  <si>
    <t xml:space="preserve">2 x Peak Pro 3DXL Chamber - Black, 2 x Hot knife NEW NEGRO, 2 x Hot knife NEW PEARL, 2 x Proxy Core silicona </t>
  </si>
  <si>
    <t>Spinner 3 Green</t>
  </si>
  <si>
    <t>1 x Teddy Peak Top Teddy Peak Top</t>
  </si>
  <si>
    <t>Spinner 3 - Smoke</t>
  </si>
  <si>
    <t>Spinner 3 - Lake Green</t>
  </si>
  <si>
    <t>Vaporever</t>
  </si>
  <si>
    <t>1 x Pivot Pine, 1 x Pivot - Onyx</t>
  </si>
  <si>
    <t>Spinner 3 Matrix Green</t>
  </si>
  <si>
    <t>1 x Peak Pro 3DXL - Onyx, 2 x Proxy Core, 2 x Hot knife NEW PEARL, 1 x Hot knife NEW NEGRO, 1 x Adaptador Peak Pro Link, 4 x ROSIN BAGS PACK X 20 UNIDADES ( 5CM X 10 CM) MICRAJE 25, 1 x ROSIN BAGS PACK X 25 UNIDADES ( 6 CM X 11 CM) MICRAJE 25, 1 x Teddy Peak Top Teddy Peak Top, 1 x Peak - Onyx</t>
  </si>
  <si>
    <t>Spinner 3 - Pink</t>
  </si>
  <si>
    <t>PAGO EN EFT USD 1358 a Lucas 30-3</t>
  </si>
  <si>
    <t>Spinner 3 Purple</t>
  </si>
  <si>
    <t>Astro Grow La Plata</t>
  </si>
  <si>
    <t>2 x Hot knife NEW NEGRO, 2 x Hot knife NEW PEARL, 1 x BigFun! Puffco Pivot Tops - Drei, 2 x Proxy Core silicona , 2 x Proxy Core</t>
  </si>
  <si>
    <t>Turtle - Dark Red (Amber Shell)</t>
  </si>
  <si>
    <t>1 x MJ Arsenal Puffco Peak Tops - Halo, 1 x MJ Arsenal Puffco Peak Tops - Tempest, 1 x MJ Arsenal Puffco Peak Tops - Fabcycler, 1 x Pivot Tops Display - V1 (18), 1 x Pivot Tops Display - V2 (18), 1 x BigFun! Puffco Pivot Tops - Drei, 1 x MJ Arsenal Puffco Pivot Tops - Gourdy (Limited Edition), 1 x Stabwood Dab Tool - Red, 1 x Stabwood Dab Tool-Green, 1 x Stabwood Dab Tool - Blue, 1 x Peak Pro 3DXL Chamber - Black</t>
  </si>
  <si>
    <t>Turtle - Green (Amber Shell)</t>
  </si>
  <si>
    <t>Turtle Lake Green (Amber Shell)</t>
  </si>
  <si>
    <t>1 x Peak Pro 3DXL - Onyx, 1 x Peak Pro 3DXL - Pearl, 1 x Pivot Pine, 1 x PUFFCO TRAVEL CASE PLATEADO, 1 x Pivot Tops Display - V1 (18), 1 x Pivot Tops Display - V2 (18), 1 x BigFun! Puffco Pivot Tops - LIL' X, 1 x MJ Arsenal Puffco Pivot Tops - Gourdy (Limited Edition), 1 x MJ Arsenal Puffco Peak Tops - Quadra, 2 x Hot knife NEW NEGRO, 1 x Hot knife NEW PEARL, 2 x Peak 3D Chamber - Onyx, 1 x Peak Pro Glass 2.0, 1 x Proxy Bub Wizard - Haze, 1 x Proxy - Haze, 1 x Proxy - Onyx, 4 x Proxy Core silicona , 1 x Stabwood Dab Tool - Blue, 1 x Stabwood Dab Tool-Green, 1 x Stabwood Dab Tool - Red</t>
  </si>
  <si>
    <t>Turtle Matrix Green (Amber Shell)</t>
  </si>
  <si>
    <t>Clear Bucket Bangers Standar - Standard 90-10mm</t>
  </si>
  <si>
    <t>2 x Peak Pro 3DXL - Onyx, 2 x Peak Pro 3DXL - Pearl, 1 x Teddy Peak Top Teddy Peak Top, 1 x Proxy Core silicona , 2 x Hot knife NEW NEGRO, 1 x MJ Arsenal Puffco Peak Tops - Quadra, 4 x Terp Blender Bangers Gold - Full Weld 90-10mm, 1 x Turbine Mini Dab Rig - Clear, 1 x Time Turner Mini Dab Rig Clear, 1 x The Plasma Core Rig - Clear</t>
  </si>
  <si>
    <t>Clear Bucket Bangers Standar - Standard 90-10mm XL</t>
  </si>
  <si>
    <t>5 x Proxy - Haze, 5 x Proxy - Onyx, 2 x Hot knife NEW NEGRO, 2 x Hot knife NEW PEARL, 2 x Royale Mini Dab Rig - Iridescent, 2 x MJ Arsenal Puffco Peak Tops - Tempest, 1 x MJ Arsenal Puffco Peak Tops Lasso Clear, 2 x MJ Arsenal Puffco Pivot Tops - Gourdy (Limited Edition), 1 x Stabwood Dab Tool - Blue, 1 x MJ Arsenal Puffco Peak Tops - Quadra, 2 x Iso Wipes × 400, 1 x Peak Pro 3DXL Chamber - Black, 1 x Peak 3D Chamber - Onyx, 1 x Peak - Pine, 1 x Peak - Canyon, 1 x Peak - Onyx, 5 x ROSIN BAGS PACK X 20 UNIDADES ( 5CM X 10 CM) MICRAJE 25, 1 x Adaptador Peak Pro Link, 4 x Pivot - Onyx, 2 x Pivot Pine, 2 x PUFFCO TRAVEL CASE ROJO, 1 x PUFFCO TRAVEL CASE PLATEADO</t>
  </si>
  <si>
    <t>Clear Bucket Bangers Gold - Full Weld Large 90-10mm</t>
  </si>
  <si>
    <t>Hourglass Bangers - Full Weld 90 - 10mm</t>
  </si>
  <si>
    <t>1 x BigFun! Puffco Pivot Tops - LIL' X, 7 x Pivot Tops Display - V1 (18)</t>
  </si>
  <si>
    <t>Sidewinder Bangers - Full Weld 90 - 10mm</t>
  </si>
  <si>
    <t>2 x Pivot Pine, 2 x Pivot - Onyx, 2 x Hot knife NEW NEGRO, 2 x Hot knife NEW PEARL, 1 x Pivot Glass Adapter with 3D Chamber - Onyx, 2 x PAPEL REYNOLS, 1 x Stabwood Dab Tool - Blue, 1 x Stabwood Dab Tool-Green, 1 x Stabwood Dab Tool - Red, 1 x Bloopcycler Dab Rig - Clear, 1 x Infinity Mini Dab Rig - Clear, 1 x Chili Pepper Red (Yellow Hat), 2 x Pivot Tops Display - V1 (18), 1 x Pivot Tops Display - V2 (18), 2 x Plus Supercharger</t>
  </si>
  <si>
    <t>Terp Blender Bangers Gold - Full Weld 90-10mm</t>
  </si>
  <si>
    <t>SUM de PEDIDO</t>
  </si>
  <si>
    <t>2 x Iso Wipes × 400</t>
  </si>
  <si>
    <t>Terp Blender Bangers Gold - Full Weld 90-14mm</t>
  </si>
  <si>
    <t>Ale ONG</t>
  </si>
  <si>
    <t>Terp Slurper Bangers Gold - Full Weld 90-14mm</t>
  </si>
  <si>
    <t>2 x Pivot Pine</t>
  </si>
  <si>
    <t>Wooden Dab Tools - Painted Wood 1A</t>
  </si>
  <si>
    <t>blas Maldita tangie</t>
  </si>
  <si>
    <t>Wooden Dab Tools - Stabwood - Assorted</t>
  </si>
  <si>
    <t>Brasilero</t>
  </si>
  <si>
    <t>PAGA EN EFT viernes santo entrega nachito</t>
  </si>
  <si>
    <t>CABBY ONG ROSARIO</t>
  </si>
  <si>
    <t>Stabwood Dab Tool - Blue</t>
  </si>
  <si>
    <t>Canal de hidroponia</t>
  </si>
  <si>
    <t>Santi</t>
  </si>
  <si>
    <t>1 x Peak Pro 3DXL - Onyx, 2 x Iso Wipes × 400</t>
  </si>
  <si>
    <t>cliente merlo</t>
  </si>
  <si>
    <t>Stabwood Dab Tool-Green</t>
  </si>
  <si>
    <t>Conex Distribuidora</t>
  </si>
  <si>
    <t>Dealer del Oeste</t>
  </si>
  <si>
    <t>Stabwood Dab Tool - Red</t>
  </si>
  <si>
    <t>MJ Excalibur Excalibur</t>
  </si>
  <si>
    <t>1 x Peak Pro 3DXL - Pearl, 3 x ROSIN BAGS PACK X 20 UNIDADES ( 5CM X 10 CM) MICRAJE 25</t>
  </si>
  <si>
    <t>Franco Neuquen</t>
  </si>
  <si>
    <t>MJ Arsenal Carb Caps - Mushroom - Spinner</t>
  </si>
  <si>
    <t xml:space="preserve">Transferio al colo </t>
  </si>
  <si>
    <t>1 x Hot knife NEW PEARL</t>
  </si>
  <si>
    <t>8.5" Swiss Incycler - Iridescent</t>
  </si>
  <si>
    <t>jonny</t>
  </si>
  <si>
    <t>jony ong</t>
  </si>
  <si>
    <t>Apollo Mini Dab Rig - Clear</t>
  </si>
  <si>
    <t>1 x Proxy Bub - Haze, 1 x Proxy 3D Chamber - Onyx</t>
  </si>
  <si>
    <t>las  brujas</t>
  </si>
  <si>
    <t>Las brujas</t>
  </si>
  <si>
    <t>Apollo Mini Dab Rig - Iridescent</t>
  </si>
  <si>
    <t>2 x Peak Pro 3DXL - Onyx, 1 x Proxy - Haze, 1 x Proxy - Onyx, 2 x Pivot Pine, 2 x Pivot - Onyx</t>
  </si>
  <si>
    <t>Lucas Dedo de momia</t>
  </si>
  <si>
    <t>Apollo Mini Dab Rig - Pink</t>
  </si>
  <si>
    <t>Lucky710</t>
  </si>
  <si>
    <t>Maldita Tangie</t>
  </si>
  <si>
    <t>2 x Pivot - Onyx</t>
  </si>
  <si>
    <t>Atlas Mini Dab Rig - Clear</t>
  </si>
  <si>
    <t>ONG corrientes cultiva</t>
  </si>
  <si>
    <t>Pato Grow</t>
  </si>
  <si>
    <t>Atlas Mini Dab Rig - Iridescent</t>
  </si>
  <si>
    <t>Bloopcycler Dab Rig - Clear</t>
  </si>
  <si>
    <t>1 x Peak Pro 3DXL - Pearl, 1 x Peak Pro 3DXL - Onyx, 1 x Proxy - Onyx, 1 x Hot knife NEW NEGRO, 1 x Hot knife NEW PEARL, 1 x Pivot - Onyx, 1 x Peak - Onyx</t>
  </si>
  <si>
    <t>Claude Mini Dab Rig - Clear</t>
  </si>
  <si>
    <t>AL COLO 27-4</t>
  </si>
  <si>
    <t>1 x Peak Pro 3DXL - Onyx, 1 x Proxy - Onyx, 1 x Pivot - Onyx, 1 x Proxy 3D Chamber - Onyx, 1 x MJ Arsenal Proxy Bubblers - Proxy Mini Bubbler, 2 x Hot knife NEW NEGRO, 2 x Hot knife NEW PEARL, 1 x Stabwood Dab Tool - Blue, 1 x Stabwood Dab Tool-Green, 1 x Stabwood Dab Tool - Red</t>
  </si>
  <si>
    <t>Gemini Mini Dab Rig - Clear</t>
  </si>
  <si>
    <t>Velaaa</t>
  </si>
  <si>
    <t>Suma total</t>
  </si>
  <si>
    <t>Infinity Mini Dab Rig - Clear</t>
  </si>
  <si>
    <t>1 x Hot knife NEW NEGRO, 1 x Hot knife NEW PEARL, 1 x Pivot Pine, 1 x Pivot - Onyx, 1 x Bloopcycler Dab Rig - Clear, 2 x Proxy - Onyx, 1 x Proxy - Haze, 1 x Peak Pro TRAVEL GLASS</t>
  </si>
  <si>
    <t>Jammer Mini Dab Rig - Clear</t>
  </si>
  <si>
    <t>Mini Jig Mini Dab Rig Clear</t>
  </si>
  <si>
    <t>2 x Pivot Pine, 2 x Pivot - Onyx, 3 x Pivot 3D Chamber 2-Pack - Onyx, 6 x Proxy 3D Chamber - Onyx</t>
  </si>
  <si>
    <t>Mini Jig Mini Dab Rig Iridescent</t>
  </si>
  <si>
    <t>1 x Proxy - Haze, 1 x Proxy - Onyx, 1 x Peak - Canyon, 1 x Peak 3D Chamber - Onyx, 2 x ROSIN BAGS PACK X 20 UNIDADES ( 5CM X 10 CM) MICRAJE 25, 1 x Infinity Mini Dab Rig - Clear, 2 x MJ Excalibur Excalibur</t>
  </si>
  <si>
    <t>Royale Mini Dab Rig - Clear</t>
  </si>
  <si>
    <t>transfirio al colo USD 504 (700.000) + 376600 21-4 al colo</t>
  </si>
  <si>
    <t>2 x Pivot - Onyx, 1 x Pivot Pine, 1 x PUFFCO TRAVEL CASE ROJO</t>
  </si>
  <si>
    <t>Royale Mini Dab Rig - Iridescent</t>
  </si>
  <si>
    <t>transfirio al colo $552,000 20/4</t>
  </si>
  <si>
    <t>Titan Mini Dab Rig - Clear</t>
  </si>
  <si>
    <t>1 x Peak Pro 3DXL - Onyx, 1 x Adaptador Peak Pro Link, 2 x ROSIN BAGS PACK X 20 UNIDADES ( 5CM X 10 CM) MICRAJE 25, 2 x PAPEL REYNOLS</t>
  </si>
  <si>
    <t>Time Turner Mini Dab Rig Clear</t>
  </si>
  <si>
    <t>1 x Hot knife NEW PEARL, 6 x Proxy Core, 1 x Coil Caddy Kit with Terp Slurper Set × 1
Green / 10mm</t>
  </si>
  <si>
    <t>The Plasma Core Rig - Clear</t>
  </si>
  <si>
    <t>Turbine Mini Dab Rig - Clear</t>
  </si>
  <si>
    <t>6 x Proxy Core, 1 x Proxy Core silicona , 2 x ROSIN BAGS PACK X 20 UNIDADES ( 5CM X 10 CM) MICRAJE 25, 2 x Peak - Pine, 2 x PAPEL REYNOLS</t>
  </si>
  <si>
    <t>Turret Mini Dab Rig - Clear</t>
  </si>
  <si>
    <t>2 x Pivot - Onyx, 1 x Peak - Pine, 1 x Peak - Canyon, 1 x Peak - Onyx, 2 x Chamber Plus - Pearl, 2 x Plus Supercharger, 1 x Peak Pro 3DXL Chamber - Black</t>
  </si>
  <si>
    <t>Ursa Mini Dab Rig - Clear</t>
  </si>
  <si>
    <t>MJ Arsenal Proxy Bubblers - Proxy Mini Bubbler</t>
  </si>
  <si>
    <t>1 x Peak - Onyx, 2 x Proxy - Haze, 1 x Peak Pro TRAVEL GLASS, 2 x Pivot - Onyx</t>
  </si>
  <si>
    <t>Love Bug Pivot Top - Love Bug Pivot Top</t>
  </si>
  <si>
    <t>MJ Arsenal Puffco Peak Tops Lasso Clear</t>
  </si>
  <si>
    <t>1 x Peak - Pine, 1 x Peak Pro Glass 2.0, 1 x Peak Pro TRAVEL GLASS, 1 x Peak Pro 3DXL Chamber - Black, 1 x MJ Arsenal Puffco Peak Tops - Quadra, 1 x The Plasma Core Rig - Clear, 1 x MJ Arsenal Proxy Bubblers - Proxy Mini Bubbler, 1 x Proxy Core</t>
  </si>
  <si>
    <t>MJ Arsenal Puffco Peak Tops - Fabcycler</t>
  </si>
  <si>
    <t>MJ Arsenal Plateau Peak Top - Clear</t>
  </si>
  <si>
    <t>2 x Cubo para lavar 6" 220 micras, 5 x ROSIN BAGS PACK X 25 UNIDADES ( 3,8 CM X 10 CM) MICRAJE VARIOS, 5 x ROSIN BAGS PACK X 20 UNIDADES ( 5CM X 10 CM) MICRAJE 25, 1 x PAPEL REYNOLS</t>
  </si>
  <si>
    <t>MJ Arsenal Puffco Peak Tops - Tempest</t>
  </si>
  <si>
    <t>transfirio 382110 al colo 18-4</t>
  </si>
  <si>
    <t>MJ Arsenal Puffco Peak Tops - Halo</t>
  </si>
  <si>
    <t>1 x Atlas Mini Dab Rig - Clear, 1 x Infinity Mini Dab Rig - Clear, 1 x Spinner 3 - Blue, 1 x Terp Blender Bangers Gold - Full Weld 90-10mm, 1 x Hot knife NEW NEGRO</t>
  </si>
  <si>
    <t>MJ Arsenal Puffco Peak Tops - Quadra</t>
  </si>
  <si>
    <t>2 x Peak Pro TRAVEL GLASS, 1 x Pivot Glass Adapter with 3D Chamber - Onyx, 2 x Peak Pro 3DXL Chamber - Black, 2 x Proxy Core silicona , 2 x Hot knife NEW NEGRO, 2 x Hot knife NEW PEARL, 10 x ROSIN BAGS PACK X 20 UNIDADES ( 5CM X 10 CM) MICRAJE 25, 2 x Proxy 3D Chamber - Onyx, 2 x Peak 3D Chamber - Onyx</t>
  </si>
  <si>
    <t>MJ Arsenal Puffco Pivot Tops - Sidecar - Clear</t>
  </si>
  <si>
    <t>MJ Arsenal Puffco Pivot Tops - Egg- Clear</t>
  </si>
  <si>
    <t>1 x Proxy Core, 1 x Pivot - Onyx, 1 x Pivot Pine, 1 x Hot knife NEW NEGRO, 1 x Hot knife NEW PEARL, 1 x BigFun! Puffco Pivot Tops - LIL' Frosty</t>
  </si>
  <si>
    <t>MJ Arsenal Plateau Pivot Top - Clear</t>
  </si>
  <si>
    <t>Dedo de momia</t>
  </si>
  <si>
    <t>1 x BigFun! Puffco Pivot Tops - LIL' Frosty</t>
  </si>
  <si>
    <t>Teddy Peak Top Teddy Peak Top</t>
  </si>
  <si>
    <t>transfirio 64400 al colo 21-4</t>
  </si>
  <si>
    <t>MJ Arsenal Puffco Peak Tops - Typhoon</t>
  </si>
  <si>
    <t>2 x Terp Slurper Bangers Gold - Full Weld 90-14mm, 2 x Terp Blender Bangers Gold - Full Weld 90-10mm, 4 x Proxy Core, 1 x Proxy Bub Wizard - Haze, 1 x Proxy Bub - Haze, 2 x Proxy Core silicona , 1 x Peak Pro TRAVEL GLASS, 1 x Pivot Pine, 2 x Hot knife NEW PEARL, 1 x Hot knife NEW NEGRO</t>
  </si>
  <si>
    <t>Empire Glassworks Puffco Peak Tops - Avenge the Arctic</t>
  </si>
  <si>
    <t>4 x Proxy Core, 2 x Pivot - Onyx, 2 x Pivot Pine</t>
  </si>
  <si>
    <t>Dia De Los Muertos Peak Top - Dia De Los Muertos</t>
  </si>
  <si>
    <t>Ducky Peak Top - Ducky</t>
  </si>
  <si>
    <t>2 x Proxy - Haze, 2 x Proxy - Onyx, 2 x Peak Pro 3DXL Chamber - Black, 2 x Peak Pro 3DXL Chamber  clasico, 1 x PUFFCO TRAVEL CASE ROJO, 1 x PUFFCO TRAVEL CASE PLATEADO, 5 x Hot knife NEW PEARL, 5 x Hot knife NEW NEGRO, 1 x MJ Arsenal Puffco Pivot Tops - Gourdy (Limited Edition), 10 x Pivot Tops Display - V2 (18)</t>
  </si>
  <si>
    <t>Gaming Flower Peak Top - Gaming Flower</t>
  </si>
  <si>
    <t>Manuja glass</t>
  </si>
  <si>
    <t>Gummy Bear Peak Top Gummy Bear</t>
  </si>
  <si>
    <t>transfirio al colo 27-4 152900</t>
  </si>
  <si>
    <t>10 x ROSIN BAGS PACK X 20UNIDADES ( 6 CM X 11 CM) 90 micras</t>
  </si>
  <si>
    <t>Popcorn Peak Top - Popcorn</t>
  </si>
  <si>
    <t>Ramen Cup Peak Top Ramen Cup</t>
  </si>
  <si>
    <t>1 x Proxy - Haze, 1 x Pivot Pine</t>
  </si>
  <si>
    <t>Peso</t>
  </si>
  <si>
    <t>RIPNDIP x Hemper Peak Attachment - High Nermal</t>
  </si>
  <si>
    <t>1 x Peak - Canyon, 3 x Pivot Pine, 2 x Hot knife NEW NEGRO, 1 x Hot knife NEW PEARL, 1 x Proxy 3D Chamber - Onyx</t>
  </si>
  <si>
    <t>Costo</t>
  </si>
  <si>
    <t>Space Fleet Peak Top - Space Fleet</t>
  </si>
  <si>
    <t>Trippy Shroom Peak Top - Trippy Shroom</t>
  </si>
  <si>
    <t>1 x Proxy Core silicona , 1 x Proxy - Haze, 1 x Proxy - Onyx, 1 x Proxy Bub - Haze, 1 x Proxy Bub - Onyx, 1 x Proxy Bub Wizard - Haze, 1 x Proxy Bub Wizard - Onyx, 1 x Peak - Pine, 1 x Adaptador Peak Pro Link, 1 x Bloopcycler Dab Rig - Clear</t>
  </si>
  <si>
    <t>Zen Bonsai Peak Top Zen Bonsai</t>
  </si>
  <si>
    <t>2 x Proxy Core, 1 x Proxy - Haze, 1 x Proxy - Onyx, 1 x Proxy Bub - Onyx, 2 x Proxy Core silicona , 2 x Proxy 3D Chamber - Onyx, 2 x Peak 3D Chamber - Onyx, 1 x Peak Pro 3D Chamber, 1 x Peak Pro 3DXL - Onyx, 2 x Hot knife NEW NEGRO</t>
  </si>
  <si>
    <t>Bubble Bangers - Full Weld 90-10mm</t>
  </si>
  <si>
    <t>1 x Adaptador Peak Pro Link, 1 x Peak Pro 3DXL - Pearl, 4 x Proxy Core, 2 x Hot knife NEW NEGRO, 2 x Hot knife NEW PEARL</t>
  </si>
  <si>
    <t>Bubble Bangers - Full Weld 90-14mm</t>
  </si>
  <si>
    <t>Terp Blender Bangers - Full Weld 90-10mm</t>
  </si>
  <si>
    <t>Terp Blender Bangers - Full Weld 90-14mm</t>
  </si>
  <si>
    <t>4 x Pivot Tops Display - V2 (18), 7 x Pivot Tops Display - V1 (18), 1 x BigFun! Puffco Pivot Tops - LIL' Frosty, 1 x BigFun! Puffco Pivot Tops - Drei, 900 x Frascos 3gr , 800 x Frascos 5gr</t>
  </si>
  <si>
    <t>Triad Mini Dab Rig - Clear</t>
  </si>
  <si>
    <t>MJ Arsenal Fab Egg Pivot Top Fab Egg Clear</t>
  </si>
  <si>
    <t>1 x Peak Pro 3DXL - Pearl, 1 x Proxy - Haze, 2 x Hot knife NEW PEARL</t>
  </si>
  <si>
    <t>352,200 al colo 4-4 y 565,000 a claudio cortinas oficina 6-5</t>
  </si>
  <si>
    <t>MJ Arsenal Proxy Bubblers - Proxy Bubbler</t>
  </si>
  <si>
    <t xml:space="preserve">3 x Peak - Onyx, 2 x Peak Pro 3DXL - Pearl, 1 x Proxy - Haze, 1 x Proxy - Onyx, 1 x Ursa Mini Dab Rig - Clear, 1 x Terp Blender Bangers Gold - Full Weld 90-10mm, 2250 x Frascos 3gr </t>
  </si>
  <si>
    <t>The Dock - Black</t>
  </si>
  <si>
    <t>Big Shot Torch GT 8000 - Black</t>
  </si>
  <si>
    <t>Big Shot Torch GT 8000 - Olive - Glow</t>
  </si>
  <si>
    <t>Pivot Pine</t>
  </si>
  <si>
    <t>2 x Proxy Core, 2 x Proxy Core silicona , 1 x Proxy - Haze, 1 x Proxy - Onyx, 1 x PUFFCO TRAVEL CASE ROJO, 1 x PUFFCO TRAVEL CASE PLATEADO, 2 x Peak Pro 3DXL Chamber  clasico, 1 x Peak Pro 3DXL Chamber - Black, 4 x Iso Wipes × 400, 1 x Peak Pro 3DXL - Pearl, 2 x Adaptador Peak Pro Link, 2 x Terp Blender Bangers Gold - Full Weld 90-10mm, 1 x MJ Arsenal Carb Caps - Mushroom - Spinner, 1 x MJ Arsenal Puffco Peak Tops - Quadra, 1 x Apollo Mini Dab Rig - Clear, 1 x Apollo Mini Dab Rig - Pink, 1 x Jammer Mini Dab Rig - Clear, 1 x Claude Mini Dab Rig - Clear, 1 x Coil Caddy Kit with Terp Slurper Set × 1
Black / 10mm</t>
  </si>
  <si>
    <t>Big Shot Torch GT 8000 - Olive-Black</t>
  </si>
  <si>
    <t>Big Buddy Solid - Black</t>
  </si>
  <si>
    <t xml:space="preserve">2 x Peak Pro 3DXL - Pearl, 2 x Iso Wipes × 400, 1 x Royale Mini Dab Rig - Iridescent, 4 x Peak Pro 3DXL Chamber - Black, 2 x Peak Pro 3DXL Chamber  clasico, 4 x Proxy - Haze, 1 x Proxy - Onyx, 2 x Pivot - Onyx, 2 x Pivot Pine, 18 x Plus Battery - Pearl, 44 x Plus Supercharger, 50 x Frascos 3gr </t>
  </si>
  <si>
    <t>Big Buddy Turbo - Black-Stainless</t>
  </si>
  <si>
    <t>Peak Pine</t>
  </si>
  <si>
    <t>Big Buddy Turbo - Blue-Stainless</t>
  </si>
  <si>
    <t>Peak - Canyon</t>
  </si>
  <si>
    <t>1 x Peak Pro 3DXL - Onyx, 1 x Peak Pro 3DXL - Pearl, 2 x Hot knife NEW NEGRO, 2 x Hot knife NEW PEARL</t>
  </si>
  <si>
    <t>Big Buddy Turbo - Orange-Stainless</t>
  </si>
  <si>
    <t>Big Buddy Turbo Pink-Stainless</t>
  </si>
  <si>
    <t>Peak Pro 3DXL Chamber - Black</t>
  </si>
  <si>
    <t>1 x Peak Pro 3DXL - Onyx, 1 x Proxy - Onyx, 1 x Hot knife NEW NEGRO, 1 x Hot knife NEW PEARL, 2 x Pivot 3D Chamber 2-Pack - Onyx</t>
  </si>
  <si>
    <t>Big Buddy Turbo - Red-Stainless</t>
  </si>
  <si>
    <t>Hot knife Negro</t>
  </si>
  <si>
    <t>Big Buddy Turbo - Teal-Stainless</t>
  </si>
  <si>
    <t>2 x Peak Pro 3DXL - Pearl, 1 x Proxy - Onyx, 2 x Proxy Core silicona , 1 x Proxy Bub Wizard - Onyx</t>
  </si>
  <si>
    <t>Big Buddy Turbo - White-Stainless</t>
  </si>
  <si>
    <t>Hot knife Pearl</t>
  </si>
  <si>
    <t>Lightbowlb Pivot Top - White</t>
  </si>
  <si>
    <t>agus HONNEY</t>
  </si>
  <si>
    <t>1 x ROSIN BAGS PACK X 20UNIDADES ( 6 CM X 11 CM) 90 micras, 1 x MJ Arsenal Puffco Pivot Tops - Sidecar - Clear</t>
  </si>
  <si>
    <t>Lightbowlb Peak Top - White</t>
  </si>
  <si>
    <t>1 x Proxy - Onyx, 1 x Peak - Pine, 1 x Peak - Canyon, 1 x Proxy Core silicona , 1 x Peak Pro 3DXL Chamber  clasico, 1 x Peak Pro 3D Chamber, 1 x Peak 3D Chamber - Onyx</t>
  </si>
  <si>
    <t>Empire Glassworks Puffco Peak Tops - Sriracha</t>
  </si>
  <si>
    <t>Peak Pro Glass 2,0</t>
  </si>
  <si>
    <t>High Jinx Cartoon Peak Top - High Jinx</t>
  </si>
  <si>
    <t>1 x Proxy - Onyx, 2 x Hot knife NEW NEGRO, 2 x Hot knife NEW PEARL, 2 x Proxy Core silicona , 100 x Frascos 3gr , 101 x Frascos 5gr</t>
  </si>
  <si>
    <t>That 70s Peak Top That 70s</t>
  </si>
  <si>
    <t>1 x Complete MiniNail Kit w/ Quartz Banger × 1
Purple / Flat Tip Dabber and Carb Cap, 3 x Peak - Canyon, 3 x Peak - Pine, 2 x Terp Blender Bangers Gold - Full Weld 90-14mm, 4 x Iso Wipes × 400, 6 x Proxy Core silicona HAZE, 4 x Pivot - Onyx, 1 x Apollo Mini Dab Rig - Clear, 1 x Atlas Mini Dab Rig - Clear, 9 x ROSIN BAGS PACK X 20UNIDADES ( 6 CM X 11 CM) 90 micras, 1 x BAG PEAK PRO</t>
  </si>
  <si>
    <t>UFO Vortex Peak Top - UFO Vortex</t>
  </si>
  <si>
    <t>Wishball Peak Top - Wishball</t>
  </si>
  <si>
    <t>1 x MJ Arsenal Puffco Pivot Tops - Egg- Clear, 4 x Pivot - Onyx, 4 x Hot knife NEW NEGRO, 2 x Peak 3D Chamber - Onyx, 1 x Proxy Bub - Onyx, 1 x Proxy Bub - Haze</t>
  </si>
  <si>
    <t>Bowlman Lantern Peak Top - Bowlman</t>
  </si>
  <si>
    <t>1 x Peak - Pine, 1 x Peak - Canyon, 1 x Hot knife NEW NEGRO, 1 x Pivot 3D Chamber 2-Pack - Onyx, 1 x Adaptador Peak Pro Link</t>
  </si>
  <si>
    <t>Chinese Takeout Peak Top Chinese Takeout</t>
  </si>
  <si>
    <t>Lucky Cat Peak Top - Lucky Cat</t>
  </si>
  <si>
    <t>1 x Hot knife NEW NEGRO, 1 x Hot knife NEW PEARL, 1 x Peak - Canyon, 2 x PAPEL REYNOLS, 2 x SLAD PAD CHICO (12 CM X 15 CM), 1 x SLAD PAD GRANDE (28 CM X 32 CM), 2 x ROSIN BAGS PACK X 20 UNIDADES ( 5CM X 10 CM) MICRAJE 25, 1 x Proxy Core, 1 x Proxy Core silicona ONIX, 1 x Proxy Core silicona HAZE</t>
  </si>
  <si>
    <t xml:space="preserve">pago </t>
  </si>
  <si>
    <t>transfer al colo a cuenta 600,000 pesos en breve gira el resto</t>
  </si>
  <si>
    <t>10" Mini Gumball Rig Blue Tones</t>
  </si>
  <si>
    <t xml:space="preserve">Pivot Mouthpiece 2-Pack </t>
  </si>
  <si>
    <t>10" Mini Gumball Rig - Pink</t>
  </si>
  <si>
    <t>1 x Hot knife NEW NEGRO, 1 x ROSIN BAGS PACK X 20 UNIDADES ( 5CM X 10 CM) MICRAJE 25, 1 x Peak Pro 3D Chamber</t>
  </si>
  <si>
    <t>pago</t>
  </si>
  <si>
    <t>transfer al colo 18/5</t>
  </si>
  <si>
    <t>11.5" Swiss Incycler - Iridescent</t>
  </si>
  <si>
    <t>BigFun</t>
  </si>
  <si>
    <t>1 x Peak Pro 3DXL - Onyx, 1 x Peak Pro 3DXL Chamber - Black, 1 x Complete MiniNail Kit w/ Quartz Banger × 1
Orange / Flat Tip Dabber and Carb Cap, 2 x Clear Bucket Bangers Gold - Full Weld Large 90-10mm</t>
  </si>
  <si>
    <t>8" Recycler 1A - Clear / Green</t>
  </si>
  <si>
    <t>8" Recycler 1A - Clear / Light Blue</t>
  </si>
  <si>
    <t>1 x Proxy Core, 1 x Hot knife NEW NEGRO</t>
  </si>
  <si>
    <t>8" Recycler 1A - Clear / Pink</t>
  </si>
  <si>
    <t>1 x Peak Pro 3DXL Chamber  clasico, 1 x Peak Pro 3DXL Chamber - Black</t>
  </si>
  <si>
    <t>8" Recycler 1A - Clear / Purple</t>
  </si>
  <si>
    <t>8" Recycler 1A - Matrix Green</t>
  </si>
  <si>
    <t>1 x Peak Pro 3DXL - Onyx, 1 x Hot knife NEW NEGRO</t>
  </si>
  <si>
    <t>Pro link</t>
  </si>
  <si>
    <t>8" Recycler 1A - Smoke / White</t>
  </si>
  <si>
    <t>1 x Peak Pro 3DXL - Onyx, 2 x Peak Pro 3DXL - Pearl, 14 x Proxy Core, 2 x Proxy - Haze, 3 x PAPEL REYNOLS, 3 x Pivot Pine, 3 x Pivot - Onyx, 10 x Pivot - Storm, 6 x Peak - Amarillo, 6 x Peak - Storm, 3 x Proxy Core silicona HAZE, 1 x Proxy Core silicona ONIX</t>
  </si>
  <si>
    <t>8" Recycler 1A - Smoke / Yellow</t>
  </si>
  <si>
    <t>8" Recycler 1A - Clear</t>
  </si>
  <si>
    <t>3 x Pivot - Storm, 2 x Pivot - Onyx, 1 x Pivot Mouthpiece 2-Pack pine, 1 x Proxy - Haze, 1 x Proxy Core silicona HAZE, 2 x Proxy Core, 1 x Peak Pro 3DXL - Pearl, 1 x Peak - Amarillo, 1 x Peak - Storm, 1 x Peak - Onyx, 3 x The Dock - Black, 1 x Peak Pro TRAVEL GLASS, 1 x Peak Pro Glass 2.0, 1 x MJ Arsenal Puffco Pivot Tops - Sidecar - Clear, 1 x PUFFCO TRAVEL CASE SHADOW, 1 x Proxy Bub - Onyx, 1 x Peak Pro 3DXL Chamber - Black, 1 x Proxy 3D Chamber - Onyx, 4 x Peak 3D Chamber - Onyx, 3 x Hot knife NEW NEGRO, 1 x Hot knife NEW PEARL</t>
  </si>
  <si>
    <t>8" Recycler 1A - Clear / Lake Blue</t>
  </si>
  <si>
    <t>8" Recycler 1A - Pink/Opaque Pink</t>
  </si>
  <si>
    <t>ROSIN BAGS PACK X 20 UNIDADES ( 5CM X 10 CM) MICRAJE 25</t>
  </si>
  <si>
    <t>1 x Apollo Mini Dab Rig - Pink, 1 x Time Turner Mini Dab Rig Clear, 1 x Jammer Mini Dab Rig - Clear, 1 x Atlas Mini Dab Rig - Iridescent, 1 x Ursa Mini Dab Rig - Clear, 1 x Mini Jig Mini Dab Rig Iridescent, 1 x Royale Mini Dab Rig - Clear, 1 x Gemini Mini Dab Rig - Clear, 1 x Titan Mini Dab Rig - Clear, 6 x Pivot 3D Chamber 2-Pack - Onyx, 6 x Peak 3D Chamber - Onyx, 6 x Proxy 3D Chamber - Onyx, 10 x Hot knife NEW PEARL, 5 x Hot knife NEW NEGRO</t>
  </si>
  <si>
    <t>5" Recycler 1A Clear with Green Accent</t>
  </si>
  <si>
    <t>5" Recycler 1A - Clear with Light Blue Accent</t>
  </si>
  <si>
    <t>2 x PUFFCO TRAVEL CASE STORM, 1 x PUFFCO TRAVEL CASE ROJO, 1 x PUFFCO TRAVEL CASE PLATEADO, 3 x Pivot - Storm, 1 x Peak - Amarillo, 1 x Peak - Storm, 1 x Peak - Onyx, 2 x Peak 3D Chamber - Onyx, 1 x Proxy - Haze, 3 x Proxy Core, 3 x Proxy Core silicona HAZE, 2 x Peak Pro TRAVEL GLASS, 1 x Adaptador Peak Pro Link, 10 x ROSIN BAGS PACK X 20 UNIDADES ( 5CM X 10 CM) MICRAJE 25, 1 x MJ Arsenal Puffco Pivot Tops - Sidecar - Clear, 1 x MJ Arsenal Puffco Pivot Tops - Egg- Clear, 2 x Peak Pro 3DXL Chamber - Black</t>
  </si>
  <si>
    <t>5" Recycler 1A - Clear with Pink Accent</t>
  </si>
  <si>
    <t>5" Recycler 1A - Clear with Purple Accent</t>
  </si>
  <si>
    <t>1 x PUFFCO TRAVEL CASE STORM, 1 x Pivot - Storm, 1 x Peak - Amarillo, 1 x Peak - Storm, 1 x Proxy Core</t>
  </si>
  <si>
    <t>5" Recycler 1A - Smoke / White</t>
  </si>
  <si>
    <t>ROSIN BAGS PACK X 25 UNIDADES ( 6 CM X 11 CM) MICRAJE 25</t>
  </si>
  <si>
    <t>5" Recycler 1A - Smoke / Yellow</t>
  </si>
  <si>
    <t>1 x Pivot 3D Chamber 2-Pack - Onyx</t>
  </si>
  <si>
    <t>7" Swiss Rig - Blue</t>
  </si>
  <si>
    <t>7" Swiss Rig - Green</t>
  </si>
  <si>
    <t>MALLAS PARA BUBBLE HASH 20 LITROS PACK x 8 unidades</t>
  </si>
  <si>
    <t>Alfredo indajaus</t>
  </si>
  <si>
    <t>1 x Chamber Plus - Pearl, 2 x Peak 3D Chamber - Onyx, 1 x Peak - Amarillo, 1 x Peak - Storm, 1 x Pivot - Storm</t>
  </si>
  <si>
    <t>7" Swiss Rig - Lavender</t>
  </si>
  <si>
    <t>Mushroom Globe Amber</t>
  </si>
  <si>
    <t>1 x Peak - Amarillo, 1 x Peak - Storm, 4 x Hot knife NEW NEGRO, 3 x Hot knife NEW PEARL, 2 x Proxy Core, 1 x Proxy - Haze, 1 x Peak Pro 3DXL Chamber - Black, 2 x Peak Pro 3DXL - Pearl, 1 x PUFFCO TRAVEL CASE ROJO</t>
  </si>
  <si>
    <t>Mushroom Globe - Blue</t>
  </si>
  <si>
    <t>Mushroom Globe White Red</t>
  </si>
  <si>
    <t>RAW Door Mats Black - Lit</t>
  </si>
  <si>
    <t>2 x Pivot - Storm, 2 x Pivot - Onyx, 1 x Peak - Amarillo, 1 x Peak - Storm, 1 x Peak - Canyon, 1 x Proxy - Haze, 1 x Peak Pro 3DXL Chamber - Black, 1 x Peak Pro 3DXL - Pearl, 9 x ROSIN BAGS PACK X 20 UNIDADES ( 5CM X 10 CM) MICRAJE 25, 1 x ROSIN BAGS PACK X 25 UNIDADES ( 3,8 CM X 10 CM) MICRAJE VARIOS</t>
  </si>
  <si>
    <t>RAW Door Mats Black Floor - Large</t>
  </si>
  <si>
    <t>RAW Door Mats Black Floor - Small</t>
  </si>
  <si>
    <t>2 x PUFFCO TRAVEL CASE ROJO, 2 x PUFFCO TRAVEL CASE PLATEADO, 6 x PUFFCO TRAVEL CASE STORM, 1 x Proxy - Onyx, 3 x Proxy - Haze</t>
  </si>
  <si>
    <t>Artículo</t>
  </si>
  <si>
    <t>$119</t>
  </si>
  <si>
    <t>$1,428</t>
  </si>
  <si>
    <t>MJ Arsenal Fabcycler Peak Top - Fabcycler</t>
  </si>
  <si>
    <t>Peak Onyx</t>
  </si>
  <si>
    <t>$71</t>
  </si>
  <si>
    <t>3 x Peak Pro 3DXL - Pearl, 25 x Frascos 3gr , 3 x ROSIN BAGS PACK X 25 UNIDADES ( 3,8 CM X 10 CM) MICRAJE VARIOS</t>
  </si>
  <si>
    <t>MJ Arsenal Halo Peak Top Walnut</t>
  </si>
  <si>
    <t>$852</t>
  </si>
  <si>
    <t>Sip N Rip Peak Top - Clear</t>
  </si>
  <si>
    <t>Pivot Onyx</t>
  </si>
  <si>
    <t>$25,50</t>
  </si>
  <si>
    <t>$765</t>
  </si>
  <si>
    <t>1 x Peak - Onyx, 1 x Pivot - Storm, 3 x Peak Pro 3DXL Chamber - Black, 1 x Peak 3D Chamber - Onyx</t>
  </si>
  <si>
    <t>Sip N Rip Pivot Top - Clear</t>
  </si>
  <si>
    <t>$53,50</t>
  </si>
  <si>
    <t>$321</t>
  </si>
  <si>
    <t>Alleycat Smoke</t>
  </si>
  <si>
    <t>$74</t>
  </si>
  <si>
    <t>$1,776</t>
  </si>
  <si>
    <t>Alleycat Smoke XL</t>
  </si>
  <si>
    <t>Peak Pro Link - Onyx</t>
  </si>
  <si>
    <t>$4,50</t>
  </si>
  <si>
    <t>$540</t>
  </si>
  <si>
    <t>4 x Proxy Core, 1 x Peak Pro 3DXL - Pearl, 2 x Proxy 3D Chamber - Onyx</t>
  </si>
  <si>
    <t>Balloon Dog - Blue</t>
  </si>
  <si>
    <t>Balloon Dog - Gold XL</t>
  </si>
  <si>
    <t>1 x Peak Pro 3DXL - Pearl, 1 x Pivot - Storm, 2 x Pivot - Onyx, 1 x Peak - Storm, 1 x Peak - Amarillo, 1 x Atlas Mini Dab Rig - Iridescent, 2 x Chamber Plus - Pearl</t>
  </si>
  <si>
    <t>Gaming Flower - Clear / Green</t>
  </si>
  <si>
    <t>1,699,815</t>
  </si>
  <si>
    <t>giro al colo 23-6</t>
  </si>
  <si>
    <t>Gaming Flower - Clear / Green XL</t>
  </si>
  <si>
    <t>ITEM</t>
  </si>
  <si>
    <t>SKU</t>
  </si>
  <si>
    <t>Snail XL - Teal / Pink</t>
  </si>
  <si>
    <t>PRECIO_UNIT</t>
  </si>
  <si>
    <t>2 x Peak - Amarillo, 2 x Peak - Storm, 4 x Pivot - Storm, 2 x PUFFCO TRAVEL CASE STORM, 1 x MALLAS PARA BUBBLE HASH 20 LITROS PACK x 8 unidades, 4 x ROSIN BAGS PACK X 25 UNIDADES ( 3,8 CM X 10 CM) MICRAJE VARIOS</t>
  </si>
  <si>
    <t>CANTIDAD</t>
  </si>
  <si>
    <t>TOTAL_PRECIO</t>
  </si>
  <si>
    <t>PESO_UNIT_ESTIMADO_KG</t>
  </si>
  <si>
    <t>Milkyway Peak Tops - Cascade - Amber</t>
  </si>
  <si>
    <t>KG USD</t>
  </si>
  <si>
    <t>1 x Peak Pro 3DXL - Pearl, 1 x Peak - Amarillo, 1 x Peak - Storm, 4 x Pivot - Storm</t>
  </si>
  <si>
    <t>BF-PA-PVTOPS-DRDL</t>
  </si>
  <si>
    <t>Milkyway Peak Tops - Cascade - Red</t>
  </si>
  <si>
    <t>Milkyway Peak Tops - Illusion 1 - Grandiose Black</t>
  </si>
  <si>
    <t>3 x Bloopcycler Dab Rig - Clear, 2 x Time Turner Mini Dab Rig Clear, 3 x Sidewinder Bangers - Full Weld 90 - 10mm, 2 x MJ Arsenal Puffco Pivot Tops - Sidecar - Clear, 4 x MJ Arsenal Plateau Pivot Top - Clear, 1 x Peak - Amarillo, 1 x Peak - Storm, 2 x MJ Arsenal Puffco Peak Tops - Quadra, 1 x MJ Arsenal Plateau Peak Top - Clear, 2 x MJ Arsenal Puffco Peak Tops - Fabcycler, 2 x BigFun! Puffco Pivot Tops - Drei, 2 x BigFun! Puffco Pivot Tops - LIL' Frosty, 2 x BigFun! Puffco Pivot Tops - LIL' X, 1 x Peak Pro Glass 2.0, 1 x Peak Pro TRAVEL GLASS, 2 x Apollo Mini Dab Rig - Iridescent, 1 x Empire Glassworks Puffco Peak Tops - Renew the Redwood, 1 x Empire Glassworks Puffco Peak Tops - Rocket Ship, 1 x Empire Glassworks Puffco Peak Tops - Save the Bees, 1 x Empire Glassworks Puffco Peak Tops - Save the Seas, 1 x Peak Pro 3DXL Chamber - Black, 3 x Wooden Dab Tools - Painted Wood 1A, 2 x Wooden Dab Tools - Stabwood - Assorted, 2 x Stabwood Dab Tool - Blue, 2 x Hourglass Bangers - Full Weld 90 - 10mm, 5 x Terp Blender Bangers Gold - Full Weld 90-10mm, 2 x Terp Blender Bangers Gold - Full Weld 90-14mm, 18 x Pivot Tops Display - V1 (18), 2 x Apollo Mini Dab Rig - Pink, 1 x Royale Mini Dab Rig - Clear, 1 x Royale Mini Dab Rig - Iridescent, 1 x BigFun! Puffco Peak Tops - Big Frosty muñeco nieve, 1 x BigFun! Puffco Peak Tops - Big X pinito, 1 x Bubble Peak Top - Iridescent</t>
  </si>
  <si>
    <t>Milkyway Peak Tops - Illusion 2 - The Sublime Smoke</t>
  </si>
  <si>
    <t>Milkyway Peak Tops Maya - Pixel</t>
  </si>
  <si>
    <t>1 x Proxy Bud RIPPLE , 1 x Proxy Bud RYAN FIT , 1 x Hot knife NEW NEGRO, 1 x Hot knife NEW PEARL</t>
  </si>
  <si>
    <t>Milkyway Peak Tops - Nectar - Amber</t>
  </si>
  <si>
    <t>Milkyway Peak Tops - Nectar - Purple</t>
  </si>
  <si>
    <t>1 x BigFun! Puffco Peak Tops - Big Frosty muñeco nieve, 1 x MJ Arsenal Plateau Peak Top - Clear, 2 x Peak Pro Glass 2.0, 1 x MJ Arsenal Proxy Bubblers - Proxy Mini Bubbler, 1 x Cubo para lavar 6" 220 micras, 2 x Terp Blender Bangers Gold - Full Weld 90-10mm, 5 x Hot knife NEW NEGRO, 5 x Hot knife NEW PEARL</t>
  </si>
  <si>
    <t>Ice Cream Peak Tops - Mint</t>
  </si>
  <si>
    <t>BF-PA-PVTOPS-SNWMN</t>
  </si>
  <si>
    <t>Ice Cream Peak Tops - Strawberry</t>
  </si>
  <si>
    <t>3 x Pivot - Storm, 1 x PUFFCO TRAVEL CASE PLATEADO, 1 x Proxy Core, 3 x TERP BALL 3mm x 3 unidades</t>
  </si>
  <si>
    <t>Ice Cream Peak Tops - Vanilla</t>
  </si>
  <si>
    <t>BF-PA-PVTOPS-XMAS</t>
  </si>
  <si>
    <t>Ice Cream Pivot Tops - Mint</t>
  </si>
  <si>
    <t>1 x Peak - Amarillo, 1 x Plus Supercharger</t>
  </si>
  <si>
    <t>Ice Cream Pivot Tops - Strawberry</t>
  </si>
  <si>
    <t>EMPIRE-CC-PKPR3DXLJYSTKCPS-BLKNBLS</t>
  </si>
  <si>
    <t>Ice Cream Pivot Tops - Vanilla</t>
  </si>
  <si>
    <t>1 x Pivot - Onyx, 2 x Pivot - Storm</t>
  </si>
  <si>
    <t>ACCESORIOS</t>
  </si>
  <si>
    <t>Big Shot Torch GT 8000-Gray-Black</t>
  </si>
  <si>
    <t>Big Shot Torch GT 8000 - Orange</t>
  </si>
  <si>
    <t>EMPIRECC--PKPR3DXLJYSTKCPS-BLULGN</t>
  </si>
  <si>
    <t>1 x Pivot - Storm, 1 x Pivot - Onyx, 1 x Hot knife NEW NEGRO, 1 x PUFFCO TRAVEL CASE PLATEADO</t>
  </si>
  <si>
    <t>Big Shot Torch GT 8000 - Purple-Glow</t>
  </si>
  <si>
    <t>giro al colo 18/6</t>
  </si>
  <si>
    <t>EMPIRECC--PKPR3DXLJYSTKCPS-CLR</t>
  </si>
  <si>
    <t>3 x Pivot - Onyx, 3 x Pivot - Storm, 1 x Proxy Bub - Haze, 1 x Peak Pro 3DXL Chamber - Black, 2 x Peak - Amarillo, 2 x Peak - Storm, 1 x Peak Atomizer, 1 x Peak 3D Chamber - Onyx, 1 x Hot knife NEW NEGRO, 3 x Hot knife NEW PEARL, 1 x Apollo Mini Dab Rig - Iridescent, 1 x Mini Jig Mini Dab Rig Clear</t>
  </si>
  <si>
    <t>Big Shot Torch GT 8000 - White Black (Limited Edition)</t>
  </si>
  <si>
    <t>Big Shot Torch GT 8000 - White Purple (Limited Edition)</t>
  </si>
  <si>
    <t>EMPIRE-CC-PKPR3DXLJYSTKCPS-ECLPS</t>
  </si>
  <si>
    <t>Peak + Proxy Joystick Caps - Black Nebula</t>
  </si>
  <si>
    <t>3 x Hot knife NEW NEGRO, 1 x Hot knife NEW PEARL</t>
  </si>
  <si>
    <t>Peak + Proxy Joystick Caps - Blue Lagoon</t>
  </si>
  <si>
    <t>1 x Peak Pro 3DXL - Pearl, 1 x Pivot - Storm</t>
  </si>
  <si>
    <t>EMPIRE-CC-PKPR3DXLJYSTKCPS-FRSTNRD</t>
  </si>
  <si>
    <t>Peak + Proxy Joystick Caps - Glow in the Dark</t>
  </si>
  <si>
    <t>Peak + Proxy Joystick Caps - Orange</t>
  </si>
  <si>
    <t>1 x Turret Mini Dab Rig - Clear, 1 x Peak Pro 3DXL - Onyx</t>
  </si>
  <si>
    <t>EMPIRE-CC-PKPR3DXLJYSTKCPS-GITD</t>
  </si>
  <si>
    <t>Peak + Proxy Joystick Caps - Pink Slyme</t>
  </si>
  <si>
    <t xml:space="preserve">2 x Pivot - Onyx, 50 x Frascos 3gr </t>
  </si>
  <si>
    <t>Peak + Proxy Joystick Caps - Transparent Red</t>
  </si>
  <si>
    <t>EMPIRE-CC-PKPR3DXLJYSTKCPS-ORA</t>
  </si>
  <si>
    <t>Peak + Proxy Joystick Caps - UV Pink</t>
  </si>
  <si>
    <t>1 x Peak - Onyx</t>
  </si>
  <si>
    <t>EMPIRECC--PKPR3DXLJYSTKCPS-PNKUV</t>
  </si>
  <si>
    <t>Peak + Proxy Joystick Caps - Yellow</t>
  </si>
  <si>
    <t>2 x ROSIN BAGS PACK X 25 UNIDADES ( 3,8 CM X 10 CM) MICRAJE VARIOS, 1 x MALLAS PARA BUBBLE HASH 20 LITROS PACK x 8 unidades, 1 x Cubo para lavar 6" 220 micras</t>
  </si>
  <si>
    <t>Gummy Bear - Teal</t>
  </si>
  <si>
    <t>EMPIRECC--PKPR3DXLJYSTKCPS-SLME</t>
  </si>
  <si>
    <t>Scare Bears - Teddy Bear - Amber</t>
  </si>
  <si>
    <t>1 x Pivot - Storm, 1 x Pivot - Onyx</t>
  </si>
  <si>
    <t>EMPIRE-CC-PKPR3DXLJYSTKCPS-SNRSE</t>
  </si>
  <si>
    <t>Tea Cup White</t>
  </si>
  <si>
    <t>giro al colo 30/6</t>
  </si>
  <si>
    <t>1 x Peak - Storm</t>
  </si>
  <si>
    <t>Tall Cylinder Bangers - Full Weld 45 - 14mm</t>
  </si>
  <si>
    <t>EMPIRE-CC-PKPR3DXLJYSTKCPS-TRNSRED</t>
  </si>
  <si>
    <t>Eft para puffco 12</t>
  </si>
  <si>
    <t>Tall Cylinder Bangers - Full Weld 90 - 14mm</t>
  </si>
  <si>
    <t>EMPIRECC--PKPR3DXLJYSTKCPS-VNTG</t>
  </si>
  <si>
    <t>1 x BigFun! Puffco Pivot Tops - Drei, 1 x BigFun! Puffco Pivot Tops - LIL' X, 1 x Bubble Pivot Top - Iridescent, 4 x Pivot Tops Display - V2 (18), 1 x MJ Arsenal Puffco Pivot Tops - Sidecar - Clear, 2 x MJ Arsenal Plateau Pivot Top - Clear, 1 x Bubble Peak Top - Iridescent, 1 x MJ Arsenal Puffco Pivot Tops - Egg- Clear, 1 x Sidewinder Bangers - Full Weld 90 - 10mm, 1 x Hourglass Bangers - Full Weld 90 - 10mm, 1 x Terp Blender Bangers Gold - Full Weld 90-10mm, 1 x MJ Arsenal Carb Caps - Mushroom - Spinner, 1 x Chili Pepper Green (Red Hat), 1 x Frog Green (Blue Base), 1 x Spinner 3 Green, 1 x Turtle - Dark Red (Amber Shell), 2 x Stabwood Dab Tool - Blue, 2 x Stabwood Dab Tool - Red, 2 x Stabwood Dab Tool-Green, 1 x Peak Pro 3DXL Joystick Caps Blue Lagoon, 1 x Peak Pro 3DXL Joystick Caps - Eclipse, 1 x Peak Pro 3DXL Joystick Caps - Firestone Red, 1 x Peak Pro 3DXL Joystick Caps - Orange, 1 x Peak Pro 3DXL Joystick Caps - Pink UV, 1 x Peak Pro 3DXL Joystick Caps - Slime, 2 x Proxy 3D Chamber - Onyx, 1 x Peak Pro 3DXL Chamber  clasico, 2 x Hot knife NEW PEARL, 2 x Hot knife NEW NEGRO, 1 x PUFFCO TRAVEL CASE ROJO, 1 x Pivot - Storm, 1 x Pivot - Onyx, 1 x Peak - Pine, 1 x Peak - Amarillo, 1 x Peak - Storm, 1 x Peak - Onyx, 1 x Proxy Core silicona HAZE, 1 x Apollo Mini Dab Rig - Pink, 1 x Apollo Mini Dab Rig - Clear, 1 x Gemini Mini Dab Rig - Clear, 1 x Mini Jig Mini Dab Rig Clear, 1 x Royale Mini Dab Rig - Clear, 1 x Jammer Mini Dab Rig - Clear, 1 x Ursa Mini Dab Rig - Clear, 1 x Claude Mini Dab Rig - Clear, 1 x Atlas Mini Dab Rig - Iridescent, 450 x Frascos 3gr , 400 x Frascos 5gr</t>
  </si>
  <si>
    <t>Terp Bubble Slurper Bangers - Full Weld 90-10mm</t>
  </si>
  <si>
    <t>EMPIRE-CC-PKPR3DXLJYSTKCPS-YEL</t>
  </si>
  <si>
    <t>Terp Bubble Slurper Bangers - Full Weld 90-14mm</t>
  </si>
  <si>
    <t>1 x Proxy Core, 1 x Proxy - Haze</t>
  </si>
  <si>
    <t>Stubby Klein - Blue</t>
  </si>
  <si>
    <t>EMPIRE-PA-PVTTOPDIS-18PK</t>
  </si>
  <si>
    <t>Stubby Klein - Jade</t>
  </si>
  <si>
    <t>1 x Pivot - Storm, 1 x Pivot - Onyx, 2 x Proxy - Haze, 1 x Peak - Onyx</t>
  </si>
  <si>
    <t>11" Mini Apiary - Pink</t>
  </si>
  <si>
    <t>4 x Pivot - Storm, 4 x Pivot - Onyx, 2 x Peak - Amarillo, 2 x Peak - Storm, 4 x Proxy - Haze, 4 x Hot knife NEW NEGRO, 2 x Hot knife NEW PEARL, 1 x Peak Pro 3D Chamber, 1 x Peak Pro 3DXL Chamber  clasico, 6 x Peak 3D Chamber - Onyx, 6 x Proxy 3D Chamber - Onyx, 15 x Peak Pro 3DXL - Indiglow 2,0, 6 x Peak Pro 3DXL Chamber - INDIGLOW, 18 x Hot Knife NEW INDIGLOW</t>
  </si>
  <si>
    <t>Terp Pearls - 2mm - Light Blue</t>
  </si>
  <si>
    <t>HG-CC-CHLIPEP-REDHT-GRN</t>
  </si>
  <si>
    <t>Terp Pearls 2mm - Pink</t>
  </si>
  <si>
    <t>6 x Pivot 3D Chamber 2-Pack - Onyx, 1 x Proxy Bub Wizard - Haze, 1 x Proxy Bub Wizard - Onyx, 2 x Proxy Bub - Onyx, 2 x Proxy Bub - Haze, 2 x Pivot Glass Adapter with 3D Chamber - Onyx</t>
  </si>
  <si>
    <t>HG-CC-CHLIPEP-MLKYLHT-ORA</t>
  </si>
  <si>
    <t>Terp Pearls 2mm - Purple</t>
  </si>
  <si>
    <t>Terp Pearls - 4mm - Green</t>
  </si>
  <si>
    <t>2 x Pivot - Storm, 1 x Pivot - Onyx</t>
  </si>
  <si>
    <t>HGCC--CHLIPEP-YLWHT-RED</t>
  </si>
  <si>
    <t>Terp Pearls - 6mm Light Blue</t>
  </si>
  <si>
    <t>HG-CC-FRG-BLUBSE-GRN</t>
  </si>
  <si>
    <t>Terp Pearls 6mm - Pink</t>
  </si>
  <si>
    <t>2 x Peak - Onyx, 2 x Pivot - Storm, 2 x Pivot - Onyx, 2 x Hot knife NEW NEGRO, 2 x Hot knife NEW PEARL</t>
  </si>
  <si>
    <t>Terp Pearls 6mm - Purple</t>
  </si>
  <si>
    <t>Eft ver MJ arsenal y vidrios Sixtar 2/7/2026</t>
  </si>
  <si>
    <t>HG-CC-FRG-BLUBSE-LKGRN</t>
  </si>
  <si>
    <t>MJ Arsenal Proxy Attachments - 10mm</t>
  </si>
  <si>
    <t>2 x Adaptador Peak Pro Link, 2 x Pivot - Storm, 2 x Peak - Amarillo, 2 x Peak - Storm, 6 x Peak 3D Chamber - Onyx, 2 x Pivot 3D Chamber 2-Pack - Onyx, 6 x Iso Wipes × 400</t>
  </si>
  <si>
    <t>HG-CC-FRG-BLUBSE-LTYEL</t>
  </si>
  <si>
    <t>MJ Arsenal Proxy Attachments - 10mm 45deg</t>
  </si>
  <si>
    <t>Phantom Proxy Water Pipe - Clear</t>
  </si>
  <si>
    <t>HG-CC-FRG-BLUBSE-MTXGRN</t>
  </si>
  <si>
    <t xml:space="preserve">1 x Pivot Glass Adapter with 3D Chamber - Onyx, 5 x Wooden Dab Tools - Stabwood - Assorted, 1 x Peak Pro 3DXL Joystick Caps - Eclipse, 1 x Peak Pro 3DXL Joystick Caps - Firestone Red, 1 x Peak Pro 3DXL Joystick Caps - Orange, 1 x Peak Pro 3DXL Joystick Caps - Pink UV, 16 x Frascos 3gr </t>
  </si>
  <si>
    <t>RAW Hats Baseball Flat Brim-Black</t>
  </si>
  <si>
    <t>Empire Glass</t>
  </si>
  <si>
    <t>RAW Hats - Big Brim Bucket Hat 1 1/4 (Medium)</t>
  </si>
  <si>
    <t>HG-CC-GHST-AMBR</t>
  </si>
  <si>
    <t>RAW Hats Big Brim Bucket Hat King Size (Large)</t>
  </si>
  <si>
    <t>HG-CC-GHST-GRN</t>
  </si>
  <si>
    <t>RAW Hats - RAW Flexfit Cap Black Medium</t>
  </si>
  <si>
    <t>4 x Peak Pro 3DXL - Indiglow 2,0, 5 x Hot Knife NEW INDIGLOW, 2 x Hot knife NEW NEGRO, 1 x MJ Arsenal Puffco Pivot Tops - Sidecar - Clear, 1 x MJ Arsenal Puffco Pivot Tops - Egg- Clear, 2 x The Dock - Black, 1 x Pivot Mouthpiece 2-Pack pine, 2 x Pivot Mouthpiece 2-Pack moca, 1 x Pivot Mouthpiece 2-Pack slate, 2 x Proxy Core silicona HAZE, 1 x Stabwood Dab Tool - Blue, 1 x Stabwood Dab Tool-Green, 1 x Stabwood Dab Tool - Red, 1 x Proxy - Haze, 1 x Proxy Bub - Haze, 1 x Peak Pro 3D Chamber</t>
  </si>
  <si>
    <t>HG-CC-GHST-LVNDR</t>
  </si>
  <si>
    <t>RAW Hats - RAW Flexfit Cap - Black - XL</t>
  </si>
  <si>
    <t>RAW Socks - Paper Pack</t>
  </si>
  <si>
    <t>HG-CC-GHST-SMK</t>
  </si>
  <si>
    <t>11 x Peak Pro 3DXL - Indiglow 2,0, 6 x Proxy - Haze, 4 x Pivot - Storm, 4 x Pivot - Onyx, 2 x Pivot Tops Display - V2 (18), 6 x Pivot Tops Display - V1 (18), 3 x BigFun! Puffco Pivot Tops - Drei, 3 x BigFun! Puffco Pivot Tops - LIL' Frosty, 3 x BigFun! Puffco Pivot Tops - LIL' X, 1 x Bubble Pivot Top - Iridescent, 2 x MJ Arsenal Plateau Pivot Top - Clear, 5 x Tricolor Pivot Tops - Sorbet, 5 x Tricolor Pivot Tops - Canopy, 2 x Tricolor Peak Tops - Sorbet, 2 x Tricolor Peak Tops - Canopy, 2 x MJ Arsenal Puffco Peak Tops - Quadra, 1 x Bloopcycler Dab Rig - Clear, 2 x Time Turner Mini Dab Rig Clear, 1 x MJ Arsenal Proxy Bubblers - Proxy Mini Bubbler, 1 x MJ Arsenal Proxy Bubblers - Proxy Bubbler, 1 x Triad Mini Dab Rig - Clear, 1 x Gaming Flower Peak Top - Gaming Flower, 2 x Gummy Bear Peak Top Gummy Bear, 2 x Popcorn Peak Top - Popcorn, 1 x Ramen Cup Peak Top Ramen Cup, 2 x Space Fleet Peak Top - Space Fleet, 1 x Trippy Shroom Peak Top - Trippy Shroom, 1 x Zen Bonsai Peak Top Zen Bonsai, 1 x Dia De Los Muertos Peak Top - Dia De Los Muertos, 1 x Ducky Peak Top - Ducky, 1 x Bubble Peak Top - Iridescent, 1 x Empire Glassworks Puffco Peak Tops - Rocket Ship</t>
  </si>
  <si>
    <t>RAW Socks - Tan</t>
  </si>
  <si>
    <t>RAW Backpacks - RAW Bakepack</t>
  </si>
  <si>
    <t>2 x Hot Knife NEW PLASMA, 4 x Peak Pro 3DXL - PLASMA, 1 x MJ Arsenal Plateau Peak Top - Clear, 2 x The Dock - Black, 1 x Bubble Bangers - Full Weld 90-14mm, 1 x Bubble Bangers - Full Weld 90-10mm, 1 x Space Fleet Peak Top - Space Fleet, 7 x ROSIN BAGS PACK X 20 UNIDADES ( 5CM X 10 CM) MICRAJE 25, 1 x Peak - Amarillo</t>
  </si>
  <si>
    <t>HG-CC-MSHRM1-GRNBSE-BLU</t>
  </si>
  <si>
    <t>RAW Gravity Cone - Clear</t>
  </si>
  <si>
    <t>MJ Arsenal Proxy Attachments - 14mm</t>
  </si>
  <si>
    <t>1 x Quartz Ebanger 14 mm Macho</t>
  </si>
  <si>
    <t>HG-CC-MSHRM1-GRNBSE-GRN</t>
  </si>
  <si>
    <t>MJ Arsenal Proxy Attachments - 14mm 45deg</t>
  </si>
  <si>
    <t>1 x Ramen Cup Peak Top Ramen Cup, 1 x Gummy Bear Peak Top Gummy Bear</t>
  </si>
  <si>
    <t/>
  </si>
  <si>
    <t>HG-CC-MSHRM1-GRNBSE-LTYEL</t>
  </si>
  <si>
    <t>FORMULA 420 PYREX-GLASS-METAL-CERAMIC    Al 12oz 24ct</t>
  </si>
  <si>
    <t>Formula 710 Advanced Cleaner    C 1_16oz_20ct</t>
  </si>
  <si>
    <t>Formula 710 Instant Cleaner     C2_12oz_24ct</t>
  </si>
  <si>
    <t>25 x Peak Pro 3DXL - PLASMA, 27 x Hot Knife NEW PLASMA, 6 x Peak Pro 3DXL Chamber - PLASMA, 4 x Empire Glassworks Puffco Peak Tops - Save the Seas, 2 x Empire Glassworks Puffco Peak Tops - Save the Bees, 1 x Trippy Shroom Peak Top - Trippy Shroom, 1 x Gummy Bear Peak Top Gummy Bear, 1 x Tricolor Peak Tops - Canopy, 1 x Tricolor Peak Tops - Sorbet, 2 x Popcorn Peak Top - Popcorn, 1 x Dia De Los Muertos Peak Top - Dia De Los Muertos, 1 x Zen Bonsai Peak Top Zen Bonsai, 1 x Ducky Peak Top - Ducky, 1 x Space Fleet Peak Top - Space Fleet, 1 x Gaming Flower Peak Top - Gaming Flower</t>
  </si>
  <si>
    <t>HG-CC-MSHRM1-GRNBSE-MTXGRN</t>
  </si>
  <si>
    <t>Dab Rite GO</t>
  </si>
  <si>
    <t>HG-CC-MSHRM1-GRNBSE-PUR</t>
  </si>
  <si>
    <t>1 x Triad Mini Dab Rig - Clear, 1 x Proxy Core silicona HAZE, 1 x Peak - Amarillo, 2 x Pivot - Storm, 1 x Pivot - Onyx, 1 x PUFFCO TRAVEL CASE STORM, 2 x Proxy - Haze, 1 x Adaptador Peak Pro Link</t>
  </si>
  <si>
    <t>SLURPER MOPS (LIMPIEZA DE BONGS)</t>
  </si>
  <si>
    <t>HG-CC-MSHRM1-GRNBSE-RED</t>
  </si>
  <si>
    <t>6 x Proxy 3D Chamber - Onyx</t>
  </si>
  <si>
    <t>GLOB MOPS CLASICO</t>
  </si>
  <si>
    <t>GLOB MOPS BENDABLE (SE DOBLA EL CABO DEL MOPS)</t>
  </si>
  <si>
    <t>HG-CC-MSHRM2-GRN</t>
  </si>
  <si>
    <t>KIT HIBRIDO (incluye pad antideslizante, cap/dabber, controlador, resistencia, cazuela)</t>
  </si>
  <si>
    <t>Canal de Hidroponia</t>
  </si>
  <si>
    <t>1 x MJ Arsenal Puffco Pivot Tops - Sidecar - Clear, 1 x Peak Pro 3DXL Chamber  clasico, 1 x MJ Arsenal Puffco Peak Tops - Fabcycler</t>
  </si>
  <si>
    <t>KIT CUARZO (incluye pad antideslizante, cap/dabber, controlador, resistencia, cazuela)</t>
  </si>
  <si>
    <t>Deep Dish Quartz Hybrid Nail (cazuela hibrida para 14-18 mm)</t>
  </si>
  <si>
    <t>giro al colo 8-7</t>
  </si>
  <si>
    <t>HG-CC-MSHRM2-MLKBLU</t>
  </si>
  <si>
    <t>Quartz deep dish (REPUESTO cazuela de cuarzo para banger híbrido x 2 u)</t>
  </si>
  <si>
    <t>Quartz Ebanger 14 mm Macho</t>
  </si>
  <si>
    <t>6 x Hot Knife NEW PLASMA, 2 x Pivot - Storm, 2 x Pivot - Onyx, 5 x Proxy - Haze, 1 x MJ Arsenal Puffco Pivot Tops - Sidecar - Clear, 1 x MJ Arsenal Plateau Peak Top - Clear, 1 x Peak Pro 3DXL Chamber  clasico, 1 x Tricolor Peak Tops - Canopy, 1 x Tricolor Peak Tops - Sorbet, 1 x BigFun! Puffco Peak Tops - Big Frosty muñeco nieve, 2 x MJ Arsenal Puffco Peak Tops - Quadra, 1 x Tricolor Pivot Tops - Canopy, 1 x Tricolor Pivot Tops - Sorbet, 3 x Iso Wipes × 400, 450 x Frascos 3gr , 400 x Frascos 5gr</t>
  </si>
  <si>
    <t>RESISTENCIA PARA MINI NAIL</t>
  </si>
  <si>
    <t>HG-CC-MSHRM2-MLKGRN</t>
  </si>
  <si>
    <t>COIL GUARD PARA MINI NAIL</t>
  </si>
  <si>
    <t>COIL STAND PARA MINI NAIL</t>
  </si>
  <si>
    <t>5 x Peak - Storm, 2 x Hot knife NEW NEGRO, 3 x Hot knife NEW PEARL</t>
  </si>
  <si>
    <t>FLAT TIP</t>
  </si>
  <si>
    <t>HG-CC-MSHRM2-MLKPUR</t>
  </si>
  <si>
    <t>NINJA SWORD</t>
  </si>
  <si>
    <t>SPACE NEEDLE</t>
  </si>
  <si>
    <t>MULTI TIP</t>
  </si>
  <si>
    <t>DABBER TIP PACK X 5 PUNTAS</t>
  </si>
  <si>
    <t>Nahu la comarca</t>
  </si>
  <si>
    <t>BUBBLE CAP</t>
  </si>
  <si>
    <t>GLASS STRAW CAP</t>
  </si>
  <si>
    <t>SLAD PAD GRANDE (28 CM X 32 CM)</t>
  </si>
  <si>
    <t>1 x Peak Pro 3DXL - PLASMA, 1 x Hot Knife NEW PLASMA</t>
  </si>
  <si>
    <t>SLAD PAD CHICO (12 CM X 15 CM)</t>
  </si>
  <si>
    <t>HG-CC-MSHRM2-YEL</t>
  </si>
  <si>
    <t>TITANIUM CAP</t>
  </si>
  <si>
    <t>SLAD PAD LED</t>
  </si>
  <si>
    <t>MAT MININAIL</t>
  </si>
  <si>
    <t>MAT APOLLO TERPENE</t>
  </si>
  <si>
    <t>MAT DABHEAD</t>
  </si>
  <si>
    <t>MAT SMOKAI</t>
  </si>
  <si>
    <t>Coil Caddy Kit with Terp Slurper Set × 1
Black / 14mm</t>
  </si>
  <si>
    <t>Coil Caddy Kit with Terp Slurper Set × 1
Black / 10mm</t>
  </si>
  <si>
    <t>Coil Caddy Kit with Terp Slurper Set × 1
Green / 14mm</t>
  </si>
  <si>
    <t>Coil Caddy Kit with Terp Slurper Set × 1
Green / 10mm</t>
  </si>
  <si>
    <t>HG-CC-PIG-MLKPNK-CLRBSE</t>
  </si>
  <si>
    <t>Complete MiniNail Kit w/ Quartz Banger × 1
Black / Flat Tip Dabber and Carb Cap</t>
  </si>
  <si>
    <t>Complete MiniNail Kit w/ Quartz Banger × 1
Green / Flat Tip Dabber and Carb Cap</t>
  </si>
  <si>
    <t>Iso Wipes × 400</t>
  </si>
  <si>
    <t>1 x Wishball Peak Top - Wishball, 1 x Chinese Takeout Peak Top Chinese Takeout, 1 x UFO Vortex Peak Top - UFO Vortex, 1 x Lucky Cat Peak Top - Lucky Cat, 1 x PUFFCO TRAVEL CASE ROJO, 1 x PUFFCO TRAVEL CASE PLATEADO, 2 x Hot knife NEW PEARL, 2 x Hot knife NEW NEGRO, 1 x Pivot - Onyx, 2 x Proxy 3D Chamber - Onyx, 1 x Big Buddy Turbo - Red-Stainless, 1 x Big Buddy Solid - Black, 1 x Big Shot Torch GT 8000 - Black, 1 x Big Shot Torch GT 8000 - Olive-Black, 1 x Big Shot Torch GT 8000 - Olive - Glow</t>
  </si>
  <si>
    <t>Spinner 3 - Green</t>
  </si>
  <si>
    <t>HG-CC-SPNR3-GRN</t>
  </si>
  <si>
    <t>Complete MiniNail Kit w/ Quartz Banger × 1
Purple / Flat Tip Dabber and Carb Cap</t>
  </si>
  <si>
    <t>Complete MiniNail Kit w/ Quartz Banger × 1
Orange / Flat Tip Dabber and Carb Cap</t>
  </si>
  <si>
    <t>Coil Caddy with 40mm Heater Coil × 3</t>
  </si>
  <si>
    <t>1 x RAW Door Mats Black - Lit, 1 x RAW Door Mats Black Floor - Large, 1 x RAW Door Mats Black Floor - Small</t>
  </si>
  <si>
    <t>HG-CC-SPNR3-MTX</t>
  </si>
  <si>
    <t>Coil Caddy with Heater Coil × 3</t>
  </si>
  <si>
    <t>1 x Peak Pro TRAVEL GLASS, 1 x Proxy Core silicona HAZE, 1 x Proxy - Haze, 1 x Pivot - Storm, 1 x Pivot - Onyx, 1 x Lightbowlb Peak Top - White, 1 x Bowlman Lantern Peak Top - Bowlman, 1 x 8" Recycler 1A - Clear / Purple</t>
  </si>
  <si>
    <t>ROSIN BAGS PACK X 20UNIDADES ( 3,8 CM X 10 CM) 120 micras</t>
  </si>
  <si>
    <t>HG-CC-SPNR3-PNK</t>
  </si>
  <si>
    <t>ROSIN BAGS PACK X 20UNIDADES ( 6 CM X 11 CM) 90 micras</t>
  </si>
  <si>
    <t>ROSIN BAGS PACK X 20UNIDADES ( 6 CM X 11 CM) 160 micras</t>
  </si>
  <si>
    <t>6 x Pivot - Storm, 12 x Pivot - Onyx, 5 x Peak Pro 3DXL - PLASMA, 4 x Hot knife NEW NEGRO, 1 x PUFFCO TRAVEL CASE STORM, 1 x Peak - Amarillo, 2 x Peak - Onyx, 1 x Peak - Storm, 1 x Bloopcycler Dab Rig - Clear, 1 x Big Buddy Solid - Black, 1 x Big Buddy Turbo - Black-Stainless, 1 x Big Buddy Turbo - Blue-Stainless, 1 x Big Shot Torch GT 8000 - Black, 1 x Big Shot Torch GT 8000 - Olive - Glow, 1 x Big Shot Torch GT 8000 - Olive-Black, 1 x Peak Pro TRAVEL GLASS SHADOW, 3 x BigFun! Puffco Pivot Tops - Drei, 4 x Lightbowlb Pivot Top - White, 1 x BigFun! Puffco Pivot Tops - LIL' Frosty, 1 x Tricolor Pivot Tops - Canopy, 1 x Tricolor Pivot Tops - Sorbet, 1 x RIPNDIP x Hemper Peak Attachment - High Nermal, 2 x Wishball Peak Top - Wishball, 3 x High Jinx Cartoon Peak Top - High Jinx, 2 x Popcorn Peak Top - Popcorn, 1 x Chinese Takeout Peak Top Chinese Takeout, 2 x Bowlman Lantern Peak Top - Bowlman, 1 x MJ Arsenal Halo Peak Top Walnut, 1 x Empire Glassworks Puffco Peak Tops - Save the Bees, 1 x Empire Glassworks Puffco Peak Tops - Sriracha, 4 x Pivot Tops Display - V1 (18), 1 x Lightbowlb Peak Top - White, 1 x 8" Recycler 1A - Smoke / Yellow, 1 x 8" Recycler 1A - Clear / Purple, 1 x MJ Arsenal Puffco Pivot Tops - Sidecar - Clear, 1 x MJ Arsenal Puffco Peak Tops - Tempest, 1 x 11.5" Swiss Incycler - Iridescent, 1 x 10" Mini Gumball Rig Blue Tones</t>
  </si>
  <si>
    <t>HG-CC-SPNR3-PUR</t>
  </si>
  <si>
    <t>MALLAS PARA BUBBLE HASH 40 LITROS PACK x 8 unidades</t>
  </si>
  <si>
    <t>Cubo para lavar 6" 220 micras</t>
  </si>
  <si>
    <t>Malla de recoleccion 12"x12"</t>
  </si>
  <si>
    <t>1 x RAW Door Mats Black - Lit</t>
  </si>
  <si>
    <t>HG-CC-TRTLAMBSHL-DKRD</t>
  </si>
  <si>
    <t>PAPEL REYNOLS</t>
  </si>
  <si>
    <t>5 GAL 8 B10 BAG KIT (ALL MESH)</t>
  </si>
  <si>
    <t>5 Gallon Zipper Bag</t>
  </si>
  <si>
    <t xml:space="preserve">200 x Frascos 3gr </t>
  </si>
  <si>
    <t>HG-CC-TRTLAMBSHL-GRN</t>
  </si>
  <si>
    <t>20-8 ALL MESH</t>
  </si>
  <si>
    <t>giro al colo 21-7</t>
  </si>
  <si>
    <t>20 GAL ZB</t>
  </si>
  <si>
    <t>HG-CC-TRTLAMBSHL-LKGRN</t>
  </si>
  <si>
    <t>Pressing Screen (5 pack)</t>
  </si>
  <si>
    <t>2 x Peak Pro 3DXL - PLASMA</t>
  </si>
  <si>
    <t xml:space="preserve">Frascos 3gr </t>
  </si>
  <si>
    <t>HG-CC-TRTLAMBSHL-MTXGRN</t>
  </si>
  <si>
    <t>Frascos 5gr</t>
  </si>
  <si>
    <t>TERP BALL 3mm x 3 unidades</t>
  </si>
  <si>
    <t>10 x Peak Pro 3DXL - PLASMA, 1 x Trippy Shroom Peak Top - Trippy Shroom, 1 x Lucky Cat Peak Top - Lucky Cat, 1 x That 70s Peak Top That 70s, 1 x Popcorn Peak Top - Popcorn, 1 x RIPNDIP x Hemper Peak Attachment - High Nermal, 2 x High Jinx Cartoon Peak Top - High Jinx, 2 x Gummy Bear Peak Top Gummy Bear, 1 x Wishball Peak Top - Wishball, 1 x Space Fleet Peak Top - Space Fleet, 1 x Bowlman Lantern Peak Top - Bowlman, 1 x Big Shot Torch GT 8000 - Black, 1 x Big Shot Torch GT 8000 - Olive - Glow, 1 x Big Buddy Turbo - Orange-Stainless, 1 x Big Buddy Turbo Pink-Stainless, 2 x Big Buddy Solid - Black, 1 x Lightbowlb Peak Top - White, 1 x Tricolor Peak Tops - Sorbet, 1 x MJ Arsenal Halo Peak Top Walnut, 1 x MJ Arsenal Puffco Peak Tops - Quadra, 1 x Proxy - Haze, 1 x MJ Arsenal Puffco Peak Tops - Tempest, 1 x UFO Vortex Peak Top - UFO Vortex, 2 x Peak Pro 3DXL Chamber  clasico, 1 x Tricolor Pivot Tops - Canopy, 1 x Tricolor Pivot Tops - Sorbet, 1 x Lightbowlb Pivot Top - White, 1 x Mushroom Globe - Blue, 1 x 8.5" Swiss Incycler - Iridescent, 1 x 8" Recycler 1A - Clear / Pink, 1 x 8" Recycler 1A - Clear / Green</t>
  </si>
  <si>
    <t>8,5" Swiss Incycler - Iridescent</t>
  </si>
  <si>
    <t>HG-DR-8-5INSWSREC-IRID</t>
  </si>
  <si>
    <t>Clear Bucket Bangers - Standard 90-10mm</t>
  </si>
  <si>
    <t>1 x MJ Arsenal Proxy Bubblers - Proxy Mini Bubbler, 1 x Peak Pro 3DXL Chamber  clasico</t>
  </si>
  <si>
    <t>MJARSENAL-ACC-QBUCK-MED90-10MM</t>
  </si>
  <si>
    <t>giro al colo 22-7</t>
  </si>
  <si>
    <t>Clear Bucket Bangers - Standard 90-10mm XL</t>
  </si>
  <si>
    <t>MJARSENAL-ACC-QBUCK-XL</t>
  </si>
  <si>
    <t>4 x Pivot - Storm, 1 x Pivot - Onyx, 1 x Wishball Peak Top - Wishball, 1 x Chinese Takeout Peak Top Chinese Takeout, 3 x Pivot Tops Display - V1 (18), 2 x PUFFCO TRAVEL CASE ROJO, 2 x PUFFCO TRAVEL CASE STORM, 1 x PUFFCO TRAVEL CASE PLATEADO, 2 x MJ Arsenal Puffco Peak Tops - Tempest, 1 x Big Buddy Solid - Black, 1 x Big Buddy Turbo - White-Stainless, 1 x Big Buddy Turbo - Teal-Stainless, 2 x Big Shot Torch GT 8000 - Black, 1 x Big Shot Torch GT 8000 - Olive - Glow, 1 x Big Shot Torch GT 8000 - Olive-Black, 3 x RAW Door Mats Black - Lit, 3 x RAW Door Mats Black Floor - Large, 4 x RAW Door Mats Black Floor - Small</t>
  </si>
  <si>
    <t>MJARSE-BNGR-FULWLD-90TPBLN</t>
  </si>
  <si>
    <t>5 x Peak Pro 3DXL - PLASMA, 6 x Hot Knife NEW PLASMA</t>
  </si>
  <si>
    <t>MJARSE-BNGR-FW14MM-TRPBLNDR</t>
  </si>
  <si>
    <t>MJARSENAL-MINIRIG-APOLLO</t>
  </si>
  <si>
    <t>3 x Peak Pro 3DXL - PLASMA, 1 x MJ Arsenal Puffco Peak Tops - Quadra, 1 x MJ Arsenal Fabcycler Peak Top - Fabcycler</t>
  </si>
  <si>
    <t>MJARSE-MINIRIG-IRIAPO</t>
  </si>
  <si>
    <t>giro al colo 3 transfer</t>
  </si>
  <si>
    <t>Human Grade</t>
  </si>
  <si>
    <t>MJARSE-MINIRIG-PNKAPO</t>
  </si>
  <si>
    <t>6 x Peak Pro 3DXL - PLASMA, 6 x Hot Knife NEW PLASMA, 1 x Peak - Storm, 1 x Peak - Onyx, 1 x Hot knife NEW PEARL, 1 x Hot knife NEW NEGRO, 3 x Peak Pro 3DXL Chamber  clasico, 1 x PUFFCO TRAVEL CASE ROJO, 1 x PUFFCO TRAVEL CASE STORM</t>
  </si>
  <si>
    <t>MJARSENAL-MINIRIG-ATLAS</t>
  </si>
  <si>
    <t>8 x Peak Pro 3DXL - PLASMA, 8 x Proxy Core, 12 x Hot Knife NEW PLASMA, 6 x Proxy 3D Chamber - Onyx, 1 x Dia De Los Muertos Peak Top - Dia De Los Muertos, 1 x Adaptador Peak Pro Link, 2 x Big Shot Torch GT 8000 - Olive - Glow, 3 x Big Shot Torch GT 8000 - Black, 1 x Terp Blender Bangers Gold - Full Weld 90-10mm, 1 x Terp Blender Bangers Gold - Full Weld 90-14mm, 1 x Bubble Bangers - Full Weld 90-14mm, 1 x Bubble Bangers - Full Weld 90-10mm, 1 x Peak Atomizer, 1 x Peak Pro Glass 2.0</t>
  </si>
  <si>
    <t>MJA-WP-MINRIG-IRIE-ATLS</t>
  </si>
  <si>
    <t>12 x Peak Pro 3DXL Chamber - PLASMA</t>
  </si>
  <si>
    <t>MJA-DR-MKRPS-BLPR</t>
  </si>
  <si>
    <t>12 x Peak Pro 3DXL Chamber - PLASMA, 3 x Peak Pro 3DXL - PLASMA, 16 x Hot Knife NEW PLASMA, 1 x Peak Pro TRAVEL GLASS SHADOW, 1 x Dia De Los Muertos Peak Top - Dia De Los Muertos, 2 x Ramen Cup Peak Top Ramen Cup, 3 x Proxy - Haze, 2 x Proxy Core, 2 x Proxy Core silicona HAZE, 1 x Proxy Core silicona ONIX, 1 x Big Shot Torch GT 8000 - Olive-Black, 1 x Pivot - Onyx, 2 x BAG PEAK PRO, 2 x Bloopcycler Dab Rig - Clear, 1 x Proxy Bub - Haze, 1 x Proxy Bub viejo - Onyx, 4 x Peak 3D Chamber - Onyx, 1 x Terp Blender Bangers Gold - Full Weld 90-10mm</t>
  </si>
  <si>
    <t>MJARSENAL-MINIRIG-INFINITY</t>
  </si>
  <si>
    <t>MJA-WP-MINRIG-IRIE-MINJIG</t>
  </si>
  <si>
    <t>2 x Pivot - Onyx, 2 x Pivot - Storm, 1 x Pivot Glass Adapter with 3D Chamber - Onyx, 1 x PUFFCO TRAVEL CASE PLATEADO, 1 x MJ Arsenal Puffco Pivot Tops - Egg- Clear, 2 x Pivot Tops Display - V1 (18), 3 x Proxy - Haze, 2 x Proxy Core, 1 x Proxy Bub - Onyx, 1 x Proxy Bub Wizard - Haze, 1 x Hot Knife NEW PLASMA, 1 x Hot knife NEW PEARL, 1 x Hot knife NEW NEGRO, 1 x Peak - Amarillo, 1 x Peak - Onyx, 3 x Peak Pro 3DXL - PLASMA, 2 x Peak Pro 3D Chamber, 1 x Peak Pro 3DXL Joystick Caps Blue Lagoon, 2 x Adaptador Peak Pro Link, 2 x BAG PEAK PRO, 1 x Peak Pro Glass 2.0, 1 x Peak Pro TRAVEL GLASS</t>
  </si>
  <si>
    <t>MJARSENAL-MINIRIG-ROYALE</t>
  </si>
  <si>
    <t>lean TEGRIDAD</t>
  </si>
  <si>
    <t>1 x Chinese Takeout Peak Top Chinese Takeout</t>
  </si>
  <si>
    <t>MJARSE-MINIRIG-IRIROY</t>
  </si>
  <si>
    <t>MJARSENAL-MINIRIG-TITAN</t>
  </si>
  <si>
    <t>4 x Proxy Core, 12 x Hot Knife NEW PLASMA, 2 x Peak Pro 3DXL Chamber - PLASMA, 1 x Proxy Core silicona ONIX, 1 x Proxy Core silicona HAZE</t>
  </si>
  <si>
    <t>MJARSENAL-MINIRIG-URSA</t>
  </si>
  <si>
    <t>1 x Peak Pro 3DXL - PLASMA</t>
  </si>
  <si>
    <t>MJA-PA-VDAY2026LE-LVBGPVTOP</t>
  </si>
  <si>
    <t>5 x Peak Pro 3DXL - PLASMA, 2 x Hot Knife NEW PLASMA, 3 x Hot knife NEW PEARL, 4 x Hot knife NEW NEGRO, 2 x Peak - Storm, 2 x Peak - Onyx</t>
  </si>
  <si>
    <t>MJA-PA-AR-QDRAPKTOP-CLR</t>
  </si>
  <si>
    <t>1 x Proxy Core, 1 x Proxy - Haze, 2 x Peak - Amarillo, 2 x Peak - Storm, 1 x PUFFCO TRAVEL CASE STORM, 2 x Peak Pro 3DXL Chamber - PLASMA, 2 x Hot knife NEW PEARL</t>
  </si>
  <si>
    <t>1 x Peak Pro 3DXL - PLASMA, 1 x Proxy Core, 1 x Proxy - Haze, 1 x Peak - Amarillo, 2 x Pivot - Onyx, 2 x Pivot - Storm, 2 x Iso Wipes × 400, 5 x Hot knife NEW PEARL</t>
  </si>
  <si>
    <t>MJA-RG-PVTTOP-SDECAR-CLR</t>
  </si>
  <si>
    <t>nachito lleva al colo 4-8 USD 1650</t>
  </si>
  <si>
    <t>MJA-PA-VDAY2026LE-TDYPKTP</t>
  </si>
  <si>
    <t>4 x Hot knife NEW PEARL, 1 x Proxy - Haze, 2 x Peak Pro 3DXL - PLASMA</t>
  </si>
  <si>
    <t>Código</t>
  </si>
  <si>
    <t>Descripción</t>
  </si>
  <si>
    <t>1 x Pivot Glass Adapter with 3D Chamber - Onyx, 2 x Pivot - Storm, 3 x Pivot - Onyx, 1 x Peak - Onyx, 1 x Peak - Storm, 3 x Proxy - Haze, 1 x Proxy Core silicona HAZE, 1 x Wishball Peak Top - Wishball, 1 x Tricolor Pivot Tops - Canopy, 3 x Hot knife NEW PEARL, 3 x Hot knife NEW NEGRO, 1 x Empire Glassworks Puffco Peak Tops - Renew the Redwood, 8 x Pivot Tops Display - V2 (18), 2 x PUFFCO TRAVEL CASE PLATEADO, 2 x PUFFCO TRAVEL CASE STORM, 1 x Peak Pro 3DXL Joystick Caps Blue Lagoon, 1 x Peak Pro 3DXL Joystick Caps - Eclipse, 1 x Peak Pro 3DXL Joystick Caps - Firestone Red, 1 x Peak Pro 3DXL Joystick Caps - Orange, 1 x Peak Pro 3DXL Joystick Caps - Pink UV</t>
  </si>
  <si>
    <t>Cantidad (Unidades Totales)</t>
  </si>
  <si>
    <t>Precio Unitario</t>
  </si>
  <si>
    <t>Precio Total</t>
  </si>
  <si>
    <t>S/C</t>
  </si>
  <si>
    <t>MiniNail - Coil Caddy Kit with Terp Slurper Set (Black, 14mm)</t>
  </si>
  <si>
    <t>1 x Proxy Core, 1 x Hot knife NEW PEARL</t>
  </si>
  <si>
    <t>nachito lleva al colo 4-8 USD 240</t>
  </si>
  <si>
    <t>5 x Peak Pro 3DXL - PLASMA, 5 x Proxy - Haze, 2 x Peak Pro 3DXL Chamber - PLASMA, 1 x Peak - Amarillo, 1 x Peak - Storm, 1 x Peak - Onyx, 1 x MJ Arsenal Puffco Peak Tops - Fabcycler, 1 x Tricolor Pivot Tops - Canopy, 2 x Lightbowlb Pivot Top - White, 1 x Lightbowlb Peak Top - White, 2 x Gummy Bear Peak Top Gummy Bear, 2 x High Jinx Cartoon Peak Top - High Jinx, 1 x Wishball Peak Top - Wishball, 1 x UFO Vortex Peak Top - UFO Vortex, 1 x That 70s Peak Top That 70s, 1 x Popcorn Peak Top - Popcorn, 1 x Trippy Shroom Peak Top - Trippy Shroom, 1 x Gaming Flower Peak Top - Gaming Flower, 1 x Space Fleet Peak Top - Space Fleet, 1 x Dia De Los Muertos Peak Top - Dia De Los Muertos, 1 x Ducky Peak Top - Ducky, 1 x Ramen Cup Peak Top Ramen Cup, 1 x Turtle - Dark Red (Amber Shell), 1 x Turtle - Green (Amber Shell), 1 x Chili Pepper Green (Red Hat), 1 x Chili Pepper - Orange (Milky Yellow Hat), 1 x Spinner 3 - Smoke, 1 x Spinner 3 - Lake Green, 1 x Frog Green (Blue Base), 1 x Frog Lake Green (Blue Base)</t>
  </si>
  <si>
    <t>alto vuelo</t>
  </si>
  <si>
    <t>1 x Proxy Core, 2 x Hot knife NEW NEGRO, 1 x Hot knife NEW PEARL, 1 x Pivot - Onyx, 2 x Pivot Tops Display - V1 (18), 1 x Trippy Shroom Peak Top - Trippy Shroom</t>
  </si>
  <si>
    <t>1 x A1 - FORMULA 420 PYREX-GLASS-METAL-CERAMIC    Al 12oz 24ct, 1 x Formula 710 Instant Cleaner     C2_12oz_24ct, 1 x Formula 710 Advanced Cleaner    C 1_16oz_20ct</t>
  </si>
  <si>
    <t>1 x Proxy Core silicona ONIX, 1 x Proxy Core silicona HAZE, 1 x Proxy Bub - Onyx, 4 x ROSIN BAGS PACK X 20 UNIDADES ( 5CM X 10 CM) MICRAJE 25, 1 x Pivot - Storm, 1 x Pivot - Onyx</t>
  </si>
  <si>
    <t>2 x Pivot - Storm, 2 x Pivot - Onyx, 2 x Hot knife NEW PEARL</t>
  </si>
  <si>
    <t>1 x Tricolor Peak Tops - Canopy, 1 x Peak 3D Chamber - Onyx, 1 x Peak Pro 3DXL - PLASMA, 1 x Peak - Amarillo, 1 x UFO Vortex Peak Top - UFO Vortex, 1 x MJ Arsenal Puffco Peak Tops - Fabcycler, 6 x ROSIN BAGS PACK X 20UNIDADES ( 6 CM X 11 CM) 90 micras, 6 x ROSIN BAGS PACK X 20UNIDADES ( 3,8 CM X 10 CM) 120 micras</t>
  </si>
  <si>
    <t>transfer a ruso GER</t>
  </si>
  <si>
    <t>1 x Proxy Core, 2 x Pivot - Onyx, 1 x Pivot - Storm, 1 x Gummy Bear Peak Top Gummy Bear, 1 x Ducky Peak Top - Ducky, 1 x High Jinx Cartoon Peak Top - High Jinx, 1 x UFO Vortex Peak Top - UFO Vortex, 1 x That 70s Peak Top That 70s, 1 x 8" Recycler 1A - Smoke / Yellow, 1 x PUFFCO TRAVEL CASE STORM, 1 x 8" Recycler 1A - Smoke / White, 4 x Iso Wipes × 400, 1 x Pivot Tops Display - V1 (18), 4 x Pivot Tops Display - V2 (18)</t>
  </si>
  <si>
    <t>MiniNail - Coil Caddy Kit with Terp Slurper Set (Black, 10mm)</t>
  </si>
  <si>
    <t>2 x Pivot Tops Display - V2 (18)</t>
  </si>
  <si>
    <t>3 x Peak Pro 3DXL - Onyx, 3 x Peak Pro 3DXL - Pearl, 6 x Pivot 3D Chamber 2-Pack - Onyx, 3 x Pivot - Storm, 3 x Pivot - Onyx</t>
  </si>
  <si>
    <t>MiniNail - Coil Caddy Kit with Terp Slurper Set (Green, 14mm)</t>
  </si>
  <si>
    <t>guille NAESA</t>
  </si>
  <si>
    <t>4 x Peak Pro 3DXL - PLASMA, 8 x Peak Pro 3DXL - Onyx, 9 x Peak Pro 3DXL - Pearl, 6 x Peak Pro 3DXL Chamber - PLASMA, 3 x Pivot - Onyx, 2 x Pivot - Storm, 2 x Hot knife NEW PEARL, 2 x Peak Pro TRAVEL GLASS SHADOW, 2 x PUFFCO TRAVEL CASE PLATEADO, 2 x PUFFCO TRAVEL CASE STORM, 2 x PUFFCO TRAVEL CASE ROJO, 1 x Adaptador Peak Pro Link</t>
  </si>
  <si>
    <t>10 x Peak Pro 3DXL - PLASMA, 6 x Pivot 3D Chamber 2-Pack - Onyx, 2 x Peak Pro 3DXL Chamber  clasico, 3 x Peak Pro 3DXL Chamber - PLASMA, 1 x MJ Arsenal Puffco Pivot Tops - Sidecar - Clear, 1 x Terp Blender Bangers - Full Weld 90-10mm</t>
  </si>
  <si>
    <t>5 x FORMULA 420 PYREX-GLASS-METAL-CERAMIC    Al 12oz 24ct, 5 x Formula 710 Advanced Cleaner    C 1_16oz_20ct, 5 x Formula 710 Instant Cleaner     C2_12oz_24ct, 1 x Proxy wizard - marron, 2 x Peak - Onyx, 2 x Peak Pro 3DXL Chamber - PLASMA, 2 x Pivot - Onyx, 2 x Pivot - Storm, 1 x Time Turner Mini Dab Rig Clear, 2 x Gemini Mini Dab Rig - Clear, 2 x Hot knife NEW PEARL, 1 x Hot knife NEW NEGRO, 2 x Claude Mini Dab Rig - Clear, 5 x ROSIN BAGS PACK X 20UNIDADES ( 6 CM X 11 CM) 90 micras, 5 x ROSIN BAGS PACK X 25 UNIDADES ( 3,8 CM X 10 CM) MICRAJE VARIOS, 1 x 8" Recycler 1A - Smoke / White, 2 x 8" Recycler 1A - Matrix Green, 1 x 8" Recycler 1A - Clear / Pink, 2 x 8" Recycler 1A - Clear / Light Blue, 1 x 8" Recycler 1A - Clear / Green, 2 x PUFFCO TRAVEL CASE STORM, 1 x PUFFCO TRAVEL CASE PLATEADO, 1 x Infinity Mini Dab Rig - Clear</t>
  </si>
  <si>
    <t>MiniNail - Coil Caddy Kit with Terp Slurper Set (Green, 10mm)</t>
  </si>
  <si>
    <t>2 x Peak Pro 3DXL - PLASMA, 2 x Proxy - Haze, 6 x Proxy - Onyx, 3 x Proxy Core, 4 x Pivot - Storm, 4 x Pivot - Onyx, 2 x Peak - Amarillo, 4 x Peak - Storm, 4 x Peak - Onyx, 3 x Peak Pro 3DXL Chamber  clasico, 3 x Peak Pro 3DXL Chamber - PLASMA, 2 x Peak Pro TRAVEL GLASS, 6 x Peak 3D Chamber - Onyx, 6 x Proxy 3D Chamber - Onyx, 6 x Pivot 3D Chamber 2-Pack - Onyx</t>
  </si>
  <si>
    <t>19 x Peak Pro 3DXL - PLASMA, 2 x Proxy Core, 1 x Proxy Core silicona ONIX, 1 x Proxy - Onyx, 1 x MJ Arsenal Puffco Peak Tops - Fabcycler, 1 x 8" Recycler 1A - Smoke / Yellow, 31 x Frascos 5gr</t>
  </si>
  <si>
    <t>MiniNail - Complete MiniNail Kit w/ Quartz Banger (Black)</t>
  </si>
  <si>
    <t>1 x Balloon Dog - Gold XL, 1 x Balloon Dog - Blue, 1 x Alleycat Smoke XL, 1 x Alleycat Smoke, 1 x Gaming Flower - Clear / Green, 1 x Gaming Flower - Clear / Green XL, 2 x Snail XL - Teal / Pink, 1 x Big Buddy Turbo Pink-Stainless, 2 x MJ Arsenal Halo Peak Top Walnut, 2 x MJ Arsenal Proxy Bubblers - Proxy Bubbler, 1 x Milkyway Peak Tops - Nectar - Purple, 1 x Milkyway Peak Tops - Cascade - Red, 1 x RIPNDIP x Hemper Peak Attachment - High Nermal, 1 x MJ Arsenal Proxy Attachments - 14mm 45deg, 2 x MJ Arsenal Proxy Attachments - 14mm</t>
  </si>
  <si>
    <t>MiniNail - Complete MiniNail Kit w/ Quartz Banger (Green)</t>
  </si>
  <si>
    <t>1 x Dia De Los Muertos Peak Top - Dia De Los Muertos, 1 x Trippy Shroom Peak Top - Trippy Shroom</t>
  </si>
  <si>
    <t>1 x Peak - Storm, 1 x Proxy Core silicona ONIX, 1 x Proxy Core silicona HAZE, 1 x MJ Arsenal Proxy Bubblers - Proxy Mini Bubbler, 2 x MJ Arsenal Proxy Attachments - 14mm, 1 x PUFFCO TRAVEL CASE STORM, 1 x PUFFCO TRAVEL CASE PLATEADO, 1 x Milkyway Peak Tops - Illusion 1 - Grandiose Black, 1 x Milkyway Peak Tops - Illusion 2 - The Sublime Smoke, 1 x Milkyway Peak Tops - Cascade - Amber, 1 x Terp Blender Bangers Gold - Full Weld 90-14mm, 1 x Terp Blender Bangers - Full Weld 90-10mm, 1 x Bubble Bangers - Full Weld 90-14mm</t>
  </si>
  <si>
    <t>MiniNail - Iso Wipes</t>
  </si>
  <si>
    <t>2 x Pivot - Onyx, 2 x Pivot - Storm, 2 x Hot Knife NEW PLASMA, 2 x Hot Knife NEW PINE, 1 x Proxy Core PINE, 1 x Proxy Core ONIX, 1 x MJ Arsenal Puffco Pivot Tops - Sidecar - Clear</t>
  </si>
  <si>
    <t>MiniNail - Complete MiniNail Kit w/ Quartz Banger (Purple)</t>
  </si>
  <si>
    <t>2 x Tricolor Pivot Tops - Sorbet</t>
  </si>
  <si>
    <t>MiniNail - Complete MiniNail Kit w/ Quartz Banger (Orange)</t>
  </si>
  <si>
    <t>1 x Milkyway Peak Tops - Nectar - Purple, 1 x Milkyway Peak Tops - Cascade - Red, 1 x Milkyway Peak Tops - Nectar - Amber, 1 x Milkyway Peak Tops - Illusion 2 - The Sublime Smoke, 2 x Time Turner Mini Dab Rig Clear, 1 x 8" Recycler 1A - Smoke / Yellow, 1 x Proxy Bub Wizard - Haze, 1 x Proxy Bub Wizard - Onyx, 1 x Big Buddy Turbo - Blue-Stainless, 1 x Big Buddy Turbo Pink-Stainless, 2 x Adaptador Peak Pro Link, 1 x Iso Wipes × 400, 1 x Coil Caddy with 40mm Heater Coil × 3, 1 x Proxy Bub - Onyx, 1 x Proxy Bub - Haze, 4 x Peak - Amarillo, 1 x Peak - Storm, 3 x Proxy Core ONIX, 6 x Proxy Core PINE, 3 x Proxy Core silicona ONIX, 3 x Proxy Core silicona HAZE, 1 x PUFFCO TRAVEL CASE PLATEADO, 10 x Hot Knife NEW PINE, 10 x Hot Knife NEW PLASMA, 6 x Hot knife NEW PEARL, 6 x Hot knife NEW NEGRO, 1 x Peak Pro 3DXL - PLASMA, 1 x Peak Pro 3DXL - Onyx, 10 x Pivot - Storm, 10 x Pivot - Onyx, 2 x Ramen Cup Peak Top Ramen Cup, 2 x That 70s Peak Top That 70s, 6 x Peak 3D Chamber - Onyx, 3 x Sip N Rip Pivot Top - Clear, 5 x ROSIN BAGS PACK X 20UNIDADES ( 6 CM X 11 CM) 90 micras, 5 x ROSIN BAGS PACK X 20UNIDADES ( 3,8 CM X 10 CM) 120 micras, 1 x MJ Arsenal Proxy Bubblers - Proxy Mini Bubbler, 1 x 8.5" Swiss Incycler - Iridescent</t>
  </si>
  <si>
    <t>1 x Peak - Onyx, 1 x Peak - Storm, 1 x Peak - Amarillo, 2 x Peak Pro 3DXL - Onyx, 1 x Proxy - Haze, 1 x Proxy - Onyx, 1 x Proxy Core silicona ONIX, 1 x Proxy Core silicona HAZE, 2 x Proxy Core PINE, 1 x Proxy Core ONIX, 3 x Pivot - Storm, 3 x Pivot - Onyx, 3 x Hot knife NEW PEARL, 3 x Hot Knife NEW PINE, 3 x Hot knife NEW NEGRO, 1 x Peak Pro 3DXL Chamber - PLASMA, 1 x Peak Pro 3DXL Chamber  clasico, 1 x High Jinx Cartoon Peak Top - High Jinx, 1 x Gummy Bear Peak Top Gummy Bear, 1 x Wishball Peak Top - Wishball, 1 x UFO Vortex Peak Top - UFO Vortex, 1 x Popcorn Peak Top - Popcorn, 1 x MJ Arsenal Puffco Peak Tops - Tempest, 2 x Pivot Tops Display - V2 (18), 1 x Pivot Tops Display - V1 (18), 1 x Bubble Pivot Top - Iridescent, 1 x Atlas Mini Dab Rig - Clear, 1 x Royale Mini Dab Rig - Iridescent, 1 x Infinity Mini Dab Rig - Clear, 1 x Mini Jig Mini Dab Rig Iridescent, 3 x Peak 3D Chamber - Onyx, 3 x Pivot 3D Chamber 2-Pack - Onyx, 2 x Proxy 3D Chamber - Onyx</t>
  </si>
  <si>
    <t>MiniNail - Coil Caddy with 40mm Heater Coil</t>
  </si>
  <si>
    <t>4 x Proxy Core PINE, 1 x Peak - Storm, 2 x Peak - Onyx, 3 x Pivot - Storm, 4 x Pivot - Onyx, 18 x Hot Knife NEW PLASMA, 12 x Hot Knife NEW PINE, 6 x Hot knife NEW NEGRO, 1 x Titan Mini Dab Rig - Clear, 1 x Time Turner Mini Dab Rig Clear</t>
  </si>
  <si>
    <t>3 x Pivot 3D Chamber 2-Pack - Onyx, 4 x Pivot - Storm, 4 x Pivot - Onyx, 5 x Proxy - Onyx, 3 x Hot Knife NEW PLASMA, 3 x Hot Knife NEW PINE, 1 x Peak Pro 3DXL - Onyx, 1 x Peak - Amarillo, 1 x Peak - Storm, 1 x Peak - Onyx, 2 x Proxy Core PINE, 2 x Peak 3D Chamber - Onyx, 1 x Peak Pro 3DXL Joystick Caps - Eclipse, 1 x Peak Pro 3DXL Joystick Caps - Orange, 1 x Peak Pro 3DXL Joystick Caps - Pink UV, 2 x Peak Pro 3DXL Joystick Caps - Slime, 4 x Peak Pro 3DXL Joystick Caps - Yellow</t>
  </si>
  <si>
    <t>MiniNail - Coil Caddy with Heater Coil</t>
  </si>
  <si>
    <t>B10</t>
  </si>
  <si>
    <t>Bubblebagdude - 5 GAL 8 BAG KIT (ALL MESH)</t>
  </si>
  <si>
    <t>6 x Proxy Core PINE, 5 x Hot Knife NEW PINE</t>
  </si>
  <si>
    <t>B23</t>
  </si>
  <si>
    <t>Bubblebagdude - 5 Gallon Zipper Bag</t>
  </si>
  <si>
    <t>2 x Hot knife NEW PEARL, 2 x Hot knife NEW NEGRO, 2 x Hot Knife NEW PINE</t>
  </si>
  <si>
    <t>B19</t>
  </si>
  <si>
    <t>Bubblebagdude - 20-8 ALL MESH</t>
  </si>
  <si>
    <t>1 x Peak Pro 3DXL - Onyx, 1 x Peak Pro 3DXL - Pearl, 1 x Phantom Proxy Water Pipe - Clear, 1 x Milkyway Peak Tops - Cascade - Red, 1 x Pivot - Storm, 1 x Pivot - Onyx, 2 x Hot Knife NEW PINE, 1 x Hot knife NEW PEARL, 2 x Proxy Core PINE, 2 x Proxy 3D Chamber - Onyx, 1 x Snail XL - Teal / Pink, 2 x MJ Arsenal Puffco Pivot Tops - Sidecar - Clear, 1 x MJ Arsenal Puffco Pivot Tops - Egg- Clear, 1 x Peak - Amarillo, 1 x Peak - Storm, 1 x Proxy Core silicona ONIX, 1 x Proxy Core silicona HAZE, 1 x Proxy - Haze, 1 x Proxy - Onyx, 1 x Ice Cream Peak Tops - Strawberry, 1 x Tricolor Peak Tops - Canopy, 1 x Ramen Cup Peak Top Ramen Cup, 1 x Ice Cream Pivot Tops - Vanilla, 1 x Tricolor Pivot Tops - Canopy, 1 x Sip N Rip Pivot Top - Clear, 1 x Pivot Tops Display - V1 (18), 1 x Pivot Tops Display - V2 (18), 1 x BigFun! Puffco Pivot Tops - Drei, 1 x MJ Arsenal Proxy Bubblers - Proxy Mini Bubbler, 1 x Tall Cylinder Bangers - Full Weld 45 - 14mm, 1 x Terp Bubble Slurper Bangers - Full Weld 90-14mm, 1 x Terp Blender Bangers Gold - Full Weld 90-14mm, 2 x Cubo para lavar 6" 220 micras, 1 x MALLAS PARA BUBBLE HASH 40 LITROS PACK x 8 unidades, 1 x MALLAS PARA BUBBLE HASH 20 LITROS PACK x 8 unidades, 1 x ROSIN BAGS PACK X 20UNIDADES ( 6 CM X 11 CM) 160 micras, 2 x ROSIN BAGS PACK X 20UNIDADES ( 6 CM X 11 CM) 90 micras, 2 x ROSIN BAGS PACK X 20UNIDADES ( 3,8 CM X 10 CM) 120 micras, 4 x ROSIN BAGS PACK X 25 UNIDADES ( 6 CM X 11 CM) MICRAJE 25, 1 x Proxy Bub viejo - Onyx, 3 x Iso Wipes × 400, 50 x Frascos 5gr, 1 x MJ Arsenal Carb Caps - Mushroom - Spinner, 1 x Empire Glassworks Puffco Peak Tops - Save the Seas, 2 x Stabwood Dab Tool - Red, 1 x Stabwood Dab Tool-Green, 1 x Stabwood Dab Tool - Blue, 1 x Wooden Dab Tools - Stabwood - Assorted, 1 x Wooden Dab Tools - Painted Wood 1A, 1 x Big Buddy Turbo - White-Stainless, 1 x Big Shot Torch GT 8000 - Black, 1 x Dia De Los Muertos Peak Top - Dia De Los Muertos, 1 x UFO Vortex Peak Top - UFO Vortex, 3 x Formula 710 Instant Cleaner     C2_12oz_24ct, 3 x Formula 710 Advanced Cleaner    C 1_16oz_20ct, 3 x FORMULA 420 PYREX-GLASS-METAL-CERAMIC    Al 12oz 24ct, 1 x Ducky Peak Top - Ducky, 1 x 8.5" Swiss Incycler - Iridescent, 1 x 7" Swiss Rig - Lavender, 1 x 8" Recycler 1A - Clear / Lake Blue, 2 x RAW Door Mats Black Floor - Small</t>
  </si>
  <si>
    <t>2 x RIPNDIP x Hemper Peak Attachment - High Nermal, 2 x Lucky Cat Peak Top - Lucky Cat, 1 x Snail XL - Teal / Pink, 2 x Big Shot Torch GT 8000 - White Purple (Limited Edition), 2 x Big Shot Torch GT 8000 - Black, 1 x Stubby Klein - Jade, 2 x 7" Swiss Rig - Green, 1 x 7" Swiss Rig - Blue, 1 x 5" Recycler 1A - Clear with Pink Accent, 1 x 5" Recycler 1A - Clear with Purple Accent, 1 x 5" Recycler 1A - Smoke / White, 1 x 5" Recycler 1A - Smoke / Yellow, 1 x 8" Recycler 1A - Clear / Green, 1 x 8" Recycler 1A - Clear / Pink, 1 x 8" Recycler 1A - Clear / Purple, 2 x RAW Hats Big Brim Bucket Hat King Size (Large), 1 x RAW Hats - Big Brim Bucket Hat 1 1/4 (Medium), 1 x RAW Hats - RAW Flexfit Cap Black Medium, 2 x RAW Hats - RAW Flexfit Cap - Black - XL, 4 x RAW Socks - Paper Pack, 4 x RAW Socks - Tan, 2 x RAW Door Mats Black Floor - Small, 1 x Alleycat Smoke, 1 x Tea Cup White, 3 x Scare Bears - Teddy Bear - Amber, 2 x RAW Backpacks - RAW Bakepack, 1 x Alleycat Smoke XL, 1 x 11" Mini Apiary - Pink, 1 x Big Shot Torch GT 8000-Gray-Black, 1 x Big Shot Torch GT 8000 - Orange, 1 x Big Shot Torch GT 8000 - Purple-Glow, 1 x Big Shot Torch GT 8000 - White Black (Limited Edition), 2 x Bubble Bangers - Full Weld 90-10mm, 1 x Bubble Bangers - Full Weld 90-14mm, 2 x Terp Bubble Slurper Bangers - Full Weld 90-10mm, 1 x Terp Bubble Slurper Bangers - Full Weld 90-14mm, 2 x Peak Pro 3DXL Chamber  clasico</t>
  </si>
  <si>
    <t>B25</t>
  </si>
  <si>
    <t>Bubblebagdude - 20 GAL ZB</t>
  </si>
  <si>
    <t>2 x Peak + Proxy Joystick Caps - Black Nebula, 1 x Peak + Proxy Joystick Caps - Blue Lagoon, 1 x Peak + Proxy Joystick Caps - Glow in the Dark, 1 x Peak + Proxy Joystick Caps - Orange, 1 x Peak + Proxy Joystick Caps - Pink Slyme, 1 x Peak Pro 3DXL Joystick Caps - Black Nebula, 1 x Peak Pro 3DXL Joystick Caps - Clear, 1 x Peak Pro 3DXL Joystick Caps - Eclipse, 1 x Peak Pro 3DXL Joystick Caps - Firestone Red, 1 x Peak Pro 3DXL Joystick Caps Glow in the Dark, 1 x Peak Pro 3DXL Joystick Caps - Orange, 1 x Peak Pro 3DXL Joystick Caps - Pink UV, 1 x Peak Pro 3DXL Joystick Caps - Slime, 1 x Peak Pro 3DXL Joystick Caps - Sunrise, 1 x Peak Pro 3DXL Joystick Caps - Transparent Red, 2 x Peak Pro 3DXL Joystick Caps - Vintage, 1 x Peak Pro 3DXL Joystick Caps - Yellow, 2 x MJ Arsenal Proxy Bubblers - Proxy Mini Bubbler, 2 x Tall Cylinder Bangers - Full Weld 90 - 14mm, 1 x Tall Cylinder Bangers - Full Weld 45 - 14mm, 2 x Terp Bubble Slurper Bangers - Full Weld 90-14mm, 1 x Terp Bubble Slurper Bangers - Full Weld 90-10mm, 2 x Hot Knife NEW PLASMA, 1 x Scare Bears - Teddy Bear - Amber, 2 x Tea Cup White, 1 x Ice Cream Peak Tops - Vanilla, 1 x Ice Cream Peak Tops - Strawberry, 1 x Proxy Core PINE, 2 x RAW Hats - RAW Flexfit Cap - Black - XL, 2 x RAW Hats Big Brim Bucket Hat King Size (Large), 1 x RAW Hats - RAW Flexfit Cap Black Medium, 1 x RAW Hats - Big Brim Bucket Hat 1 1/4 (Medium), 3 x RAW Backpacks - RAW Bakepack, 3 x RIPNDIP x Hemper Peak Attachment - High Nermal, 1 x Big Shot Torch GT 8000 - White Purple (Limited Edition), 1 x Big Shot Torch GT 8000 - White Black (Limited Edition), 1 x Big Shot Torch GT 8000 - Orange, 3 x RAW Socks - Paper Pack, 3 x RAW Socks - Tan, 1 x 11" Mini Apiary - Pink</t>
  </si>
  <si>
    <t>B27</t>
  </si>
  <si>
    <t>Bubblebagdude - Pressing Screen (5 pack)</t>
  </si>
  <si>
    <t>1 x Peak Pro 3DXL - Onyx, 2 x Pivot - Storm, 2 x Pivot - Onyx, 1 x Hot knife NEW NEGRO, 1 x Hot knife NEW PEARL, 1 x Hot Knife NEW PINE, 1 x Peak - Storm, 1 x Peak - Amarillo</t>
  </si>
  <si>
    <t>1 x Peak Pro 3DXL - Onyx, 1 x Proxy Bub - Onyx, 6 x Proxy 3D Chamber - Onyx, 1 x Gummy Bear - Teal, 1 x Proxy Core silicona ONIX, 3 x Hot knife NEW PEARL, 2 x Pivot - Onyx, 2 x Pivot - Storm, 1 x PUFFCO TRAVEL CASE ROJO, 1 x Tall Cylinder Bangers - Full Weld 45 - 14mm, 1 x Terp Bubble Slurper Bangers - Full Weld 90-10mm, 1 x Time Turner Mini Dab Rig Clear, 1 x RAW Hats - RAW Flexfit Cap Black Medium, 1 x RAW Hats Big Brim Bucket Hat King Size (Large), 1 x RAW Hats - Big Brim Bucket Hat 1 1/4 (Medium), 1 x RAW Hats Baseball Flat Brim-Black, 1 x RAW Door Mats Black Floor - Small</t>
  </si>
  <si>
    <t>1 x Proxy Core PINE, 1 x Hot Knife NEW PINE, 1 x Tall Cylinder Bangers - Full Weld 90 - 14mm, 1 x Terp Blender Bangers - Full Weld 90-14mm, 1 x FORMULA 420 PYREX-GLASS-METAL-CERAMIC    Al 12oz 24ct, 1 x Formula 710 Advanced Cleaner    C 1_16oz_20ct, 1 x Formula 710 Instant Cleaner     C2_12oz_24ct, 1 x 11.5" Swiss Incycler - Iridescent, 2 x ROSIN BAGS PACK X 25 UNIDADES ( 6 CM X 11 CM) MICRAJE 25</t>
  </si>
  <si>
    <t>transsfer</t>
  </si>
  <si>
    <t>2 x Proxy Core ONIX, 1 x Pivot - Onyx</t>
  </si>
  <si>
    <t>2 x Peak Pro 3DXL - Onyx, 2 x Peak Pro 3DXL - Pearl, 4 x Proxy - Haze, 4 x Proxy - Onyx, 2 x Proxy Core PINE, 2 x Proxy Core ONIX, 6 x Pivot - Storm, 10 x Pivot - Onyx, 6 x Peak - Amarillo, 6 x Peak - Storm, 3 x Peak - Onyx, 1 x Peak Pro 3DXL Chamber - PLASMA, 6 x Hot knife NEW NEGRO, 6 x Hot knife NEW PEARL, 6 x Hot Knife NEW PINE, 3 x Peak 3D Chamber - Onyx, 2 x Pivot Glass Adapter with 3D Chamber - Onyx, 1 x Claude Mini Dab Rig - Clear, 2 x Infinity Mini Dab Rig - Clear, 1 x MJ Arsenal Plateau Peak Top - Clear, 1 x MJ Arsenal Puffco Peak Tops - Quadra, 1 x MJ Arsenal Puffco Pivot Tops - Sidecar - Clear</t>
  </si>
  <si>
    <t>1-10 eft al colo en MDQ</t>
  </si>
  <si>
    <t>1 x Peak Pro 3DXL - Onyx, 1 x Peak Pro 3DXL - Pearl, 1 x 10" Mini Gumball Rig Blue Tones, 1 x 8" Recycler 1A - Clear / Green, 1 x 8" Recycler 1A - Clear / Pink, 1 x 8" Recycler 1A - Clear / Purple, 1 x 8" Recycler 1A - Smoke / White, 1 x 8.5" Swiss Incycler - Iridescent, 5 x Pivot - Onyx, 2 x Proxy - Onyx, 1 x Proxy Core PINE, 1 x Proxy Core ONIX, 2 x Pivot 3D Chamber 2-Pack - Onyx, 3 x Infinity Mini Dab Rig - Clear, 1 x Apollo Mini Dab Rig - Iridescent, 1 x Atlas Mini Dab Rig - Iridescent, 1 x Royale Mini Dab Rig - Iridescent, 2 x MJ Arsenal Proxy Bubblers - Proxy Mini Bubbler, 2 x Peak Pro 3DXL Joystick Caps - Slime, 2 x Peak Pro 3DXL Joystick Caps - Pink UV, 1 x Peak Pro 3DXL Joystick Caps - Orange, 1 x Peak Pro 3DXL Joystick Caps Glow in the Dark, 2 x Peak Pro 3DXL Joystick Caps - Firestone Red, 2 x Peak Pro 3DXL Joystick Caps - Eclipse, 2 x Peak Pro 3DXL Joystick Caps - Clear, 1 x Peak + Proxy Joystick Caps - Black Nebula, 1 x Peak + Proxy Joystick Caps - Blue Lagoon, 1 x Peak + Proxy Joystick Caps - Glow in the Dark, 1 x Peak + Proxy Joystick Caps - Orange, 1 x Peak + Proxy Joystick Caps - Pink Slyme, 1 x Peak + Proxy Joystick Caps - Transparent Red, 2 x Clear Bucket Bangers Standar - Standard 90-10mm, 2 x Clear Bucket Bangers Standar - Standard 90-10mm XL, 1 x Terp Pearls 2mm - Pink, 1 x Terp Pearls 2mm - Purple, 1 x Terp Pearls - 2mm - Light Blue, 2 x Terp Pearls - 4mm - Green, 2 x Terp Pearls 6mm - Purple, 2 x Terp Pearls 6mm - Pink, 1 x Terp Pearls - 6mm Light Blue, 1 x BigFun! Puffco Pivot Tops - LIL' Frosty, 1 x Tall Cylinder Bangers - Full Weld 90 - 14mm, 1 x Terp Bubble Slurper Bangers - Full Weld 90-14mm, 1 x Bubble Bangers - Full Weld 90-10mm</t>
  </si>
  <si>
    <t>TOTAL</t>
  </si>
  <si>
    <t>1 x Snail XL - Teal / Pink, 1 x Terp Blender Bangers Gold - Full Weld 90-14mm, 1 x Gummy Bear - Teal, 1 x Scare Bears - Teddy Bear - Amber, 1 x Proxy Core PINE, 1 x Pivot - Storm, 1 x Hot knife NEW NEGRO, 1 x Hot knife NEW PEARL, 1 x Hot Knife NEW PINE, 1 x Big Shot Torch GT 8000 - Orange, 1 x Big Shot Torch GT 8000 - Purple-Glow, 1 x Stabwood Dab Tool - Red, 1 x Stabwood Dab Tool-Green, 1 x Stabwood Dab Tool - Blue, 1 x Phantom Proxy Water Pipe - Clear, 1 x Peak + Proxy Joystick Caps - Black Nebula, 1 x Peak + Proxy Joystick Caps - Blue Lagoon, 1 x Peak + Proxy Joystick Caps - Glow in the Dark</t>
  </si>
  <si>
    <t>1 x Peak Pro 3DXL - Onyx, 1 x Proxy - Onyx, 1 x Hot knife NEW NEGRO, 1 x Hot knife NEW PEARL, 1 x Hot Knife NEW PINE, 3 x Cubo para lavar 6" 220 micras, 1 x Peak Pro Glass 2.0, 2 x Proxy 3D Chamber - Onyx, 2 x Proxy Core PINE, 1 x Proxy Core ONIX</t>
  </si>
  <si>
    <t>2 x Proxy Core PINE, 2 x Proxy Core ONIX, 2 x Pivot - Onyx, 2 x Proxy 3D Chamber - Onyx, 9 x ROSIN BAGS PACK X 25 UNIDADES ( 6 CM X 11 CM) MICRAJE 25, 7 x ROSIN BAGS PACK X 20UNIDADES ( 6 CM X 11 CM) 90 micras, 1 x Adaptador Peak Pro Link, 1 x Big Shot Torch GT 8000 - Black, 1 x Big Shot Torch GT 8000-Gray-Black, 1 x Big Buddy Turbo - Red-Stainless, 2 x FORMULA 420 PYREX-GLASS-METAL-CERAMIC    Al 12oz 24ct, 2 x Formula 710 Advanced Cleaner    C 1_16oz_20ct, 2 x Formula 710 Instant Cleaner     C2_12oz_24ct, 1 x Peak Pro 3DXL Joystick Caps Glow in the Dark, 1 x Peak Pro 3DXL Joystick Caps - Transparent Red, 1 x Peak Pro 3DXL Joystick Caps - Yellow, 1 x PUFFCO TRAVEL CASE PLATEADO</t>
  </si>
  <si>
    <t>4 x Proxy Core PINE, 2 x Proxy 3D Chamber - Onyx, 1 x Terp Blender Bangers - Full Weld 90-10mm, 1 x Terp Bubble Slurper Bangers - Full Weld 90-10mm, 1 x Terp Blender Bangers Gold - Full Weld 90-14mm, 2 x Terp Pearls 6mm - Purple, 2 x Terp Pearls 6mm - Pink, 1 x Terp Pearls - 6mm Light Blue, 1 x Terp Pearls - 4mm - Green, 1 x Terp Pearls 2mm - Purple, 1 x Terp Pearls 2mm - Pink, 1 x Terp Pearls - 2mm - Light Blue, 4 x Iso Wipes × 400, 1 x Peak - Amarillo, 1 x Phantom Proxy Water Pipe - Clear</t>
  </si>
  <si>
    <t>JAMROCK</t>
  </si>
  <si>
    <t>1 x Proxy - Onyx, 1 x Stabwood Dab Tool - Red, 1 x Stabwood Dab Tool-Green, 1 x Stabwood Dab Tool - Blue, 1 x Wooden Dab Tools - Stabwood - Assorted, 1 x MJ Arsenal Puffco Peak Tops - Quadra, 1 x Peak - Storm, 1 x Tricolor Peak Tops - Canopy</t>
  </si>
  <si>
    <t>eft luke 29-9</t>
  </si>
  <si>
    <t>1 x Peak Pro 3DXL - Onyx, 3 x Peak Pro 3DXL - Pearl, 1 x 8" Recycler 1A - Clear / Lake Blue, 1 x 7" Swiss Rig - Lavender, 1 x 5" Recycler 1A - Clear with Pink Accent, 1 x 8.5" Swiss Incycler - Iridescent, 1 x Infinity Mini Dab Rig - Clear, 1 x Mini Jig Mini Dab Rig Iridescent, 1 x Peak Pro 3DXL Joystick Caps - Clear, 1 x Peak Pro 3DXL Joystick Caps - Eclipse, 1 x Peak Pro 3DXL Joystick Caps - Firestone Red, 1 x Peak + Proxy Joystick Caps - Black Nebula, 1 x Peak + Proxy Joystick Caps - Blue Lagoon, 1 x Peak + Proxy Joystick Caps - Glow in the Dark, 3 x Proxy - Haze, 3 x Proxy - Onyx, 2 x Proxy Core silicona HAZE, 2 x Proxy Core silicona ONIX, 2 x Proxy Core PINE, 1 x Terp Blender Bangers - Full Weld 90-14mm, 1 x Terp Blender Bangers - Full Weld 90-10mm, 4 x Pivot - Onyx, 2 x Hot knife NEW NEGRO, 6 x Hot knife NEW PEARL, 6 x Hot Knife NEW PINE, 1 x Adaptador Peak Pro Link, 1 x Peak Pro 3DXL Chamber - PLASMA, 1 x Pivot Glass Adapter with 3D Chamber - Onyx, 1 x Pivot 3D Chamber 2-Pack - Onyx, 2 x PUFFCO TRAVEL CASE PLATEADO, 3 x Peak - Amarillo, 2 x Proxy 3D Chamber - Onyx, 2 x Peak 3D Chamber - Onyx</t>
  </si>
  <si>
    <t>transfer colo 30-9</t>
  </si>
  <si>
    <t>1 x Proxy Core ONIX</t>
  </si>
  <si>
    <t>2 x Pivot - Onyx, 1 x Peak - Storm, 2 x Hot knife NEW NEGRO, 2 x Hot knife NEW PEARL, 2 x Hot Knife NEW PINE</t>
  </si>
  <si>
    <t>1 x 5" Recycler 1A Clear with Green Accent, 1 x 5" Recycler 1A - Clear with Light Blue Accent, 1 x 5" Recycler 1A - Clear with Purple Accent, 1 x 8" Recycler 1A - Clear / Pink, 1 x 10" Mini Gumball Rig - Pink, 1 x 10" Mini Gumball Rig Blue Tones, 2 x ROSIN BAGS PACK X 20UNIDADES ( 3,8 CM X 10 CM) 120 micras, 5 x ROSIN BAGS PACK X 20UNIDADES ( 6 CM X 11 CM) 90 micras, 13 x ROSIN BAGS PACK X 20UNIDADES ( 6 CM X 11 CM) 160 micras, 400 x Frascos 3gr , 400 x Frascos 5gr</t>
  </si>
  <si>
    <t>1 x Proxy Bub - Haze</t>
  </si>
  <si>
    <t>eft luke 30/9</t>
  </si>
  <si>
    <t>6 x Dab Rite GO</t>
  </si>
  <si>
    <t>Proxy core</t>
  </si>
  <si>
    <t>3 x Dab Rite GO</t>
  </si>
  <si>
    <t>1 x Milkyway Peak Tops - Illusion 2 - The Sublime Smoke</t>
  </si>
  <si>
    <t>Accesorio Proxy core</t>
  </si>
  <si>
    <t>Hot knife</t>
  </si>
  <si>
    <t>Código de Item</t>
  </si>
  <si>
    <t>Cantidad</t>
  </si>
  <si>
    <t>Precio Final</t>
  </si>
  <si>
    <t>KG TOTALES</t>
  </si>
  <si>
    <t>COSTO FINAL</t>
  </si>
  <si>
    <t>BF-PA-PVTOPS-DROL</t>
  </si>
  <si>
    <t>EMPRIE-PA-PVTTOPDIS-V2-18PK</t>
  </si>
  <si>
    <t>Chili Pepper - Green (Red Hat)</t>
  </si>
  <si>
    <t>HG-CC-CHLIPEP-YLWHT-RED</t>
  </si>
  <si>
    <t>Chili Pepper- Red (Yellow Hat)</t>
  </si>
  <si>
    <t>Frog Matrix Green (Blue Base)</t>
  </si>
  <si>
    <t>HG-CC-SPNR-BLU</t>
  </si>
  <si>
    <t>Spinner - Blue</t>
  </si>
  <si>
    <t>HG-CC-SPNR-GRN</t>
  </si>
  <si>
    <t>Spinner Green</t>
  </si>
  <si>
    <t>HG-CC-SPNR-LKGRN</t>
  </si>
  <si>
    <t>Spinner Lake Green</t>
  </si>
  <si>
    <t>HG-CC-SPNR-MTX</t>
  </si>
  <si>
    <t>Spinner - Matrix Green</t>
  </si>
  <si>
    <t>HG-CC-SPNR-PNK</t>
  </si>
  <si>
    <t>Spinner - Pink</t>
  </si>
  <si>
    <t>HG-CC-SPNR-PUR</t>
  </si>
  <si>
    <t>Spinner Purple</t>
  </si>
  <si>
    <t>HG-CC-SPNR-SMK</t>
  </si>
  <si>
    <t>Spinner - Smoke</t>
  </si>
  <si>
    <t>Turtle Dark Red (Amber Shell)</t>
  </si>
  <si>
    <t>Turtle Green (Amber Shell)</t>
  </si>
  <si>
    <t>HGCC--CHLIPEP-MLKYLHT-ORA</t>
  </si>
  <si>
    <t>Chili Pepper Orange (Milky Yellow Hat)</t>
  </si>
  <si>
    <t>HGCC--SPNR-CLR</t>
  </si>
  <si>
    <t>Spinner Clear</t>
  </si>
  <si>
    <t>MIA-PA-AR-ODRAPKTOP-CLR</t>
  </si>
  <si>
    <t>MIA-RP-PKATCHMNT-TMPST</t>
  </si>
  <si>
    <t>MJA-CA HLWN25LE-GRDY</t>
  </si>
  <si>
    <t>MJ Arsenal Puffco Pivot Tops - Gourdy (Limited Edition)</t>
  </si>
  <si>
    <t>MJA-DB-TMETRNR-CLR</t>
  </si>
  <si>
    <t>Excalibur Excalibur</t>
  </si>
  <si>
    <t>MJA-DR-MKRPS-GRIG</t>
  </si>
  <si>
    <t>MJA-DT-EXCLBR</t>
  </si>
  <si>
    <t>Teddy Peak Top-Teddy Peak Top</t>
  </si>
  <si>
    <t>MJA-DT-STBWD-BLU</t>
  </si>
  <si>
    <t>Atlas Mini Dab Rig Iridescent</t>
  </si>
  <si>
    <t>MJA-DT-STBWD-GRN</t>
  </si>
  <si>
    <t>Clear Bucket Bangers - Full Weld Large 90-10mm</t>
  </si>
  <si>
    <t>Terp Slurper Banger - Full Weld 90-10mm</t>
  </si>
  <si>
    <t>Royale Mini Dab Rig Iridescent</t>
  </si>
  <si>
    <t>MJA-DT-STBWD-RED</t>
  </si>
  <si>
    <t>MJA-HP-PRXYMINBUB-CLR</t>
  </si>
  <si>
    <t>Mini Jig Mini Dab Rig - Clear</t>
  </si>
  <si>
    <t>MJA-MINIRIG-TURBINE</t>
  </si>
  <si>
    <t>MJA-MINIRIG-TURRT</t>
  </si>
  <si>
    <t>MJA-PA-DOCK-PVT-BLK</t>
  </si>
  <si>
    <t>MJA-PA-PFCPKTOP-LSO-CLR</t>
  </si>
  <si>
    <t>MJA-PA-VDAYZ026LE-TDYPKTP</t>
  </si>
  <si>
    <t>MJA-RP-PKATCHMNT-FBCYCLR</t>
  </si>
  <si>
    <t>MJA-RP-PKATCHMNT-TMPST</t>
  </si>
  <si>
    <t>MJA-RP-PKATCHMNT-WDACC</t>
  </si>
  <si>
    <t>MJARSE-BNGR-FULWLD-90LRG</t>
  </si>
  <si>
    <t>MJARSE-BNGR-FULWLD-90TPSLR</t>
  </si>
  <si>
    <t>MJARSENAL-ACC-CC-MUSSP</t>
  </si>
  <si>
    <t>MJARSENAL-MINIRIG-CLAUDE</t>
  </si>
  <si>
    <t>Pedido</t>
  </si>
  <si>
    <t>MJARSENAL-MINIRIG-GEMINI</t>
  </si>
  <si>
    <t>GEr</t>
  </si>
  <si>
    <t>Luke</t>
  </si>
  <si>
    <t>Monto fc</t>
  </si>
  <si>
    <t>PAGO A CUENTA CON EL COLO</t>
  </si>
  <si>
    <t>Fee COLO POR GIRO</t>
  </si>
  <si>
    <t>KG SIXTAR</t>
  </si>
  <si>
    <t>MJARSENAL-MINIRIG-JAMMER</t>
  </si>
  <si>
    <t>MJARSENAL-MINIRIG-MINIJIG</t>
  </si>
  <si>
    <t>USD</t>
  </si>
  <si>
    <t>GER PLANTO</t>
  </si>
  <si>
    <t>puffco</t>
  </si>
  <si>
    <t>$26,436.00</t>
  </si>
  <si>
    <t>pedido iniicial</t>
  </si>
  <si>
    <t>$7,911.00</t>
  </si>
  <si>
    <t>pedido post polaco</t>
  </si>
  <si>
    <t>ONG HIGH UP</t>
  </si>
  <si>
    <t>mallas THE PRESS CLUB</t>
  </si>
  <si>
    <t>mallas para prensar</t>
  </si>
  <si>
    <t>Vendedor Tincho</t>
  </si>
  <si>
    <t>MJA</t>
  </si>
  <si>
    <t>$2,424.91</t>
  </si>
  <si>
    <t>bongs de vidrio</t>
  </si>
  <si>
    <t>Vendedor Agustin</t>
  </si>
  <si>
    <t>Producto</t>
  </si>
  <si>
    <t>pro lin reestock</t>
  </si>
  <si>
    <t>COCO SALTA 420</t>
  </si>
  <si>
    <t>Cant</t>
  </si>
  <si>
    <t>$6,315.00</t>
  </si>
  <si>
    <t>Fob</t>
  </si>
  <si>
    <t>reestock pivot peak link</t>
  </si>
  <si>
    <t>Mininail</t>
  </si>
  <si>
    <t>FOB Total</t>
  </si>
  <si>
    <t>Descuento FC</t>
  </si>
  <si>
    <t>Envio Fc</t>
  </si>
  <si>
    <t>Sixstar</t>
  </si>
  <si>
    <t>Costo Unitario</t>
  </si>
  <si>
    <t>Glob Mops</t>
  </si>
  <si>
    <t>Colo 6,5%</t>
  </si>
  <si>
    <t>Ganancia 50%</t>
  </si>
  <si>
    <t>Formula 420</t>
  </si>
  <si>
    <t>Precio venta</t>
  </si>
  <si>
    <t>papel reynols amazon luke</t>
  </si>
  <si>
    <t>Total Venta</t>
  </si>
  <si>
    <t>pago luke con TC</t>
  </si>
  <si>
    <t>Al 12oz 24ct</t>
  </si>
  <si>
    <t>Ryanfit Glass pivot</t>
  </si>
  <si>
    <t>pago colo con TC</t>
  </si>
  <si>
    <t>mallas THE PRESS CLUB reestock</t>
  </si>
  <si>
    <t>MJA reestock</t>
  </si>
  <si>
    <t>puffco producto nuevo</t>
  </si>
  <si>
    <t>C1_16oz_20ct</t>
  </si>
  <si>
    <t>C2_12oz_24ct</t>
  </si>
  <si>
    <t>Totales</t>
  </si>
  <si>
    <t>LITMAT</t>
  </si>
  <si>
    <t>MAT LARGE</t>
  </si>
  <si>
    <t>MAT SMALL</t>
  </si>
  <si>
    <t>MJ ARSENAL</t>
  </si>
  <si>
    <t xml:space="preserve">HUMAN GRADE </t>
  </si>
  <si>
    <t>RIG</t>
  </si>
  <si>
    <t>FECHA INGRESO</t>
  </si>
  <si>
    <t>SOCIO (Lucas/German)</t>
  </si>
  <si>
    <t>MONTO PUESTO</t>
  </si>
  <si>
    <t>FECHA GASTO</t>
  </si>
  <si>
    <t>DETALLE (Qué se pagó)</t>
  </si>
  <si>
    <t>MONTO GASTADO</t>
  </si>
  <si>
    <t>FECHA</t>
  </si>
  <si>
    <t>MOVIMIENTO</t>
  </si>
  <si>
    <t>ENTRADA</t>
  </si>
  <si>
    <t>SALIDA</t>
  </si>
  <si>
    <t>SALDO EN CAJA</t>
  </si>
  <si>
    <t>Lucas</t>
  </si>
  <si>
    <t>Sixstar Puffco 1</t>
  </si>
  <si>
    <t>German</t>
  </si>
  <si>
    <t>Sixstar Press club</t>
  </si>
  <si>
    <t>Sixstar Puffco 2</t>
  </si>
  <si>
    <t>Sixstar Reynols</t>
  </si>
  <si>
    <t>Sixstar Puffco 3</t>
  </si>
  <si>
    <t>Sixstar MJ ARSENAL</t>
  </si>
  <si>
    <t>Sixstar Mininail/bubble</t>
  </si>
  <si>
    <t>Sixstar puffco 4</t>
  </si>
  <si>
    <t>Nacho</t>
  </si>
  <si>
    <t>Coca</t>
  </si>
  <si>
    <t>Sistar puffco 5 (proxy core)</t>
  </si>
  <si>
    <t>Le di 300 dls que habia dejado FACU LP para completar el retiro</t>
  </si>
  <si>
    <t>nachito al dia</t>
  </si>
  <si>
    <t>Le di pesos que dejo Marshal</t>
  </si>
  <si>
    <t>reserva oficina Leloir</t>
  </si>
  <si>
    <t>le di dolares que dejo Marshal</t>
  </si>
  <si>
    <t>Sixstar MJ ARSENAL 2 29kg</t>
  </si>
  <si>
    <t>le di a nachito resto de Marshal y y Social club 428 sobran en EFT USD 177</t>
  </si>
  <si>
    <t>pago bolsas la despensa</t>
  </si>
  <si>
    <t>de los 177 use 120 para el pago de bolsas $187500 sobran USD 57</t>
  </si>
  <si>
    <t>Sixtar puffco 6 (pro proxy) 64,5kg</t>
  </si>
  <si>
    <t>2000 de eft de Tincho UY + 300 marshal 1-4 + 151 cambio</t>
  </si>
  <si>
    <t>oficina leloir (deposito 500 + honorarios 570+ alquiler 50dls (400 fueron de reserva)</t>
  </si>
  <si>
    <t>1840 de eft de Tincho sobran USD 631</t>
  </si>
  <si>
    <t>puffco 7 (core + hot +acc) 14kg</t>
  </si>
  <si>
    <t>mallas press club 16,5 kg</t>
  </si>
  <si>
    <t>Puesta a punto oficina insumos electricidad LED</t>
  </si>
  <si>
    <t>puffco 8 (proxy v2, pro hot</t>
  </si>
  <si>
    <t>cortinas oficina</t>
  </si>
  <si>
    <t>se abono con parte de pedido de maldita tangie</t>
  </si>
  <si>
    <t>coca abril y mayo</t>
  </si>
  <si>
    <t>Alquiler Mayo y Junio</t>
  </si>
  <si>
    <t>expensas e impuestos ver</t>
  </si>
  <si>
    <t>puffco 9 reestoc 46kg</t>
  </si>
  <si>
    <t>puffco 10 producto nuevo 93kg</t>
  </si>
  <si>
    <t>retirar holanda 134kg + 57kg vol</t>
  </si>
  <si>
    <t>MJA vidrios 3 usa 23kg</t>
  </si>
  <si>
    <t>puffco 11 pivot knife 27,5</t>
  </si>
  <si>
    <t>edenor, municipal ofi</t>
  </si>
  <si>
    <t xml:space="preserve">coca junio </t>
  </si>
  <si>
    <t>nachito</t>
  </si>
  <si>
    <t>puffco 12 71kg</t>
  </si>
  <si>
    <t>bolsas la despensa</t>
  </si>
  <si>
    <t>nacho al dia</t>
  </si>
  <si>
    <t>alquiler Julio y aogsto</t>
  </si>
  <si>
    <t>600 de guille naesa + 300 nahu la comarca</t>
  </si>
  <si>
    <t>coca</t>
  </si>
  <si>
    <t>expensas e impuestos luz caldera  cochera</t>
  </si>
  <si>
    <t>Pines fundido en bronce LA DESPENSA (para expo cannabis) 500 uni</t>
  </si>
  <si>
    <t>remeras LA DESPENSA expo cannabis 30 unidades</t>
  </si>
  <si>
    <t xml:space="preserve">nacho al dia </t>
  </si>
  <si>
    <t>puffco 13 + medusa 150kg</t>
  </si>
  <si>
    <t>Fecha</t>
  </si>
  <si>
    <t>Pesos</t>
  </si>
  <si>
    <t>puffco 14 + resto de medusa 95kg</t>
  </si>
  <si>
    <t>Fee</t>
  </si>
  <si>
    <t>RECIBIDO</t>
  </si>
  <si>
    <t>puffco 15</t>
  </si>
  <si>
    <t>Chequeado</t>
  </si>
  <si>
    <t>TC</t>
  </si>
  <si>
    <t xml:space="preserve">nachito al dia </t>
  </si>
  <si>
    <t>ANTERIOR</t>
  </si>
  <si>
    <t>vidrios 43kg</t>
  </si>
  <si>
    <t>puffco 2 cargas juntas 16/17 193</t>
  </si>
  <si>
    <t>medusa 110 kg</t>
  </si>
  <si>
    <t>estantes x 3</t>
  </si>
  <si>
    <t>x</t>
  </si>
  <si>
    <t>alquiler sep y octubre 2026</t>
  </si>
  <si>
    <t>mueble de vidrio y repisas led</t>
  </si>
  <si>
    <t xml:space="preserve">coca </t>
  </si>
  <si>
    <t xml:space="preserve">expensas </t>
  </si>
  <si>
    <t>dab rite 21kg medidor de temperatura termometro infrarojo</t>
  </si>
  <si>
    <t>The press Club</t>
  </si>
  <si>
    <t>Total de pedido</t>
  </si>
  <si>
    <t>Comision</t>
  </si>
  <si>
    <t>a Rendir</t>
  </si>
  <si>
    <t>Fecha Pago</t>
  </si>
  <si>
    <t>Pago</t>
  </si>
  <si>
    <t>SALDO ACTUAL:</t>
  </si>
  <si>
    <t>PAGO PUFFCO</t>
  </si>
  <si>
    <t>INGRESO LUCAS</t>
  </si>
  <si>
    <t>Juan Carlos Morales</t>
  </si>
  <si>
    <t>Rodrigo Orellano</t>
  </si>
  <si>
    <t>Gaston Balsamo</t>
  </si>
  <si>
    <t>Abril Barbaria</t>
  </si>
  <si>
    <t>Facundo Millan</t>
  </si>
  <si>
    <t>Rodrigo Hanun</t>
  </si>
  <si>
    <t>Leandro Lujan</t>
  </si>
  <si>
    <t>PAGO MEDUSA</t>
  </si>
  <si>
    <t>PAGO MININAIL</t>
  </si>
  <si>
    <t>Nachito</t>
  </si>
  <si>
    <t>PAGO REYNOLS</t>
  </si>
  <si>
    <t>CARGO POR USD</t>
  </si>
  <si>
    <t>Palomeque Matias</t>
  </si>
  <si>
    <t>Flavio Papa</t>
  </si>
  <si>
    <t>Bosio German</t>
  </si>
  <si>
    <t>EMPIRE GLASS</t>
  </si>
  <si>
    <t>Rodrigo Sosa</t>
  </si>
  <si>
    <t>Astrogrow</t>
  </si>
  <si>
    <t>COMISION USD 2900 (REUNION CON GER ESE DIA SE PAGO)</t>
  </si>
  <si>
    <t>COMISION USD 5915 17-6</t>
  </si>
  <si>
    <t>PAGO PUFCO</t>
  </si>
  <si>
    <t>PAGO TIN UY</t>
  </si>
  <si>
    <t>BUBBLE BAG</t>
  </si>
  <si>
    <t>Metrallier Matias</t>
  </si>
  <si>
    <t>HEMPER</t>
  </si>
  <si>
    <t>COMISION USD 4782 25-7</t>
  </si>
  <si>
    <t>Robledo Cristian</t>
  </si>
  <si>
    <t>Cruz Jonathan</t>
  </si>
  <si>
    <t>Fujii Lucas</t>
  </si>
  <si>
    <t>Veron Arami</t>
  </si>
  <si>
    <t>Creavero Negocios</t>
  </si>
  <si>
    <t>Brea Carolina</t>
  </si>
  <si>
    <t>Nuñez Agustin</t>
  </si>
  <si>
    <t>Orellano Rodrigo</t>
  </si>
  <si>
    <t>Millan Facundo</t>
  </si>
  <si>
    <t>Leloir Club</t>
  </si>
  <si>
    <t>Torres Gonzalo</t>
  </si>
  <si>
    <t>Leguizamon Agustin</t>
  </si>
  <si>
    <t>Barbaria Abril</t>
  </si>
  <si>
    <t>The press club</t>
  </si>
  <si>
    <t>Pinilla Martin</t>
  </si>
  <si>
    <t>Rosso Geronimo</t>
  </si>
  <si>
    <t>Morales Juan</t>
  </si>
  <si>
    <t>eft</t>
  </si>
  <si>
    <t>Carranza Alejandro</t>
  </si>
  <si>
    <t>Saldana Florencia</t>
  </si>
  <si>
    <t>Louge Nazareno</t>
  </si>
  <si>
    <t>Morales Juan Carlos</t>
  </si>
  <si>
    <t>Romera Luciano</t>
  </si>
  <si>
    <t>Albarez Jonathan</t>
  </si>
  <si>
    <t>eft utilizado para pagar six 6</t>
  </si>
  <si>
    <t>Castillo Nicolas</t>
  </si>
  <si>
    <t>Aquino Ignacio</t>
  </si>
  <si>
    <t>Scherger Horacio</t>
  </si>
  <si>
    <t>Zubizarreta Emiliano</t>
  </si>
  <si>
    <t>Diaz Martin</t>
  </si>
  <si>
    <t>Farias Sergio</t>
  </si>
  <si>
    <t>eft  a  lucas utilizado para pagar oficina Resta dinero</t>
  </si>
  <si>
    <t xml:space="preserve">pesos a lucas </t>
  </si>
  <si>
    <t>Mauro Maria</t>
  </si>
  <si>
    <t>Russo Lucas</t>
  </si>
  <si>
    <t>Aguilo Joaquin</t>
  </si>
  <si>
    <t>Martinelli Micaela</t>
  </si>
  <si>
    <t>VANDERVERG</t>
  </si>
  <si>
    <t>Villegas Nicolas</t>
  </si>
  <si>
    <t>Nuñez Lucas</t>
  </si>
  <si>
    <t>Fernandez Joaquin</t>
  </si>
  <si>
    <t>Sarapura Rodrigo</t>
  </si>
  <si>
    <t>Colina Ana</t>
  </si>
  <si>
    <t>Quilaleo Nicolas</t>
  </si>
  <si>
    <t>entregado al colo 27-4</t>
  </si>
  <si>
    <t>Zibizarreta Emiliano</t>
  </si>
  <si>
    <t>Menendez Matias</t>
  </si>
  <si>
    <t>Peralta Bruno</t>
  </si>
  <si>
    <t>Paz Damian</t>
  </si>
  <si>
    <t>Valdez Emir</t>
  </si>
  <si>
    <t>Bernardelli Franco</t>
  </si>
  <si>
    <t>BLAZE SOPLETE</t>
  </si>
  <si>
    <t>Accesorio</t>
  </si>
  <si>
    <t>Balado Nahuel</t>
  </si>
  <si>
    <t>Huaro Matias</t>
  </si>
  <si>
    <t>eft nachito lleva a YAMIL por CARGA 30-4</t>
  </si>
  <si>
    <t>Derenovsky David</t>
  </si>
  <si>
    <t>MArtinelli Micaela</t>
  </si>
  <si>
    <t>Caballero Fabricio</t>
  </si>
  <si>
    <t>eft nachito lleva  a YAMIL y cancela deuda de USD 1800</t>
  </si>
  <si>
    <t>Viola Patricio</t>
  </si>
  <si>
    <t>eft a nachito RETIRA SIXTAR USD 1748 RESTO GUARDAR PARA GER</t>
  </si>
  <si>
    <t>Algasibiur David</t>
  </si>
  <si>
    <t>eft sixtar parte Holanda</t>
  </si>
  <si>
    <t>Brafa Juan</t>
  </si>
  <si>
    <t>eft a nachito para el colo</t>
  </si>
  <si>
    <t>TR GLOBAL</t>
  </si>
  <si>
    <t>3 transfer al colo</t>
  </si>
  <si>
    <t>eft para enviar al COLO el dia miercoles 8-7 con nachito</t>
  </si>
  <si>
    <t>5 transfer al colo</t>
  </si>
  <si>
    <t>Japas Manuel</t>
  </si>
  <si>
    <t>Moco 10g + cartuchos c/resi  (atencion al colo por todo)</t>
  </si>
  <si>
    <t>Guardia Paola</t>
  </si>
  <si>
    <t>Guedes Santiago</t>
  </si>
  <si>
    <t>eft al colo nachito 25-7</t>
  </si>
  <si>
    <t>Valverde Jose</t>
  </si>
  <si>
    <t>venta peak pro cofla</t>
  </si>
  <si>
    <t>Gobelli Hernan</t>
  </si>
  <si>
    <t>Jara Humberto</t>
  </si>
  <si>
    <t>933,000  300,000</t>
  </si>
  <si>
    <t xml:space="preserve">eft </t>
  </si>
  <si>
    <t>Rolando Paulo</t>
  </si>
  <si>
    <t>Blsamo Lucas</t>
  </si>
  <si>
    <t>Banay Joaquin</t>
  </si>
  <si>
    <t>Goat SA</t>
  </si>
  <si>
    <t>Accesorios</t>
  </si>
  <si>
    <t>eft para dejar al colo 24-8 con nachito por giro</t>
  </si>
  <si>
    <t>Morrone Dante</t>
  </si>
  <si>
    <t>5M + 1600 dls total USD 4825 para dejar al colo el 24-8 con nachito por giro a Medusa de 10K</t>
  </si>
  <si>
    <t>Fernandez Liliana</t>
  </si>
  <si>
    <t>eft colo giro china y usa</t>
  </si>
  <si>
    <t>eft para mandar a colo china y usa</t>
  </si>
  <si>
    <t>Singlau Leandro</t>
  </si>
  <si>
    <t>eft entregado a colo</t>
  </si>
  <si>
    <t>Expanse Emerald</t>
  </si>
  <si>
    <t>Defranchi Rodrigo</t>
  </si>
  <si>
    <t>Guille Rosario</t>
  </si>
  <si>
    <t>2 plasma peak pro falla devolucion</t>
  </si>
  <si>
    <t>Hernandez Miguel</t>
  </si>
  <si>
    <t>Aosc Civil Cultivo V</t>
  </si>
  <si>
    <t>546000 + 390000</t>
  </si>
  <si>
    <t>Juan Manuel</t>
  </si>
  <si>
    <t>Desimone Ayelen</t>
  </si>
  <si>
    <t>Bustos Evelin</t>
  </si>
  <si>
    <t>Castro Martin</t>
  </si>
  <si>
    <t>Brusco Emiliano</t>
  </si>
  <si>
    <t>Deglise Adrian</t>
  </si>
  <si>
    <t>Paiva Esteban</t>
  </si>
  <si>
    <t>Medina Matias</t>
  </si>
  <si>
    <t>Sanchez Martin</t>
  </si>
  <si>
    <t>Caruso Sergio</t>
  </si>
  <si>
    <t>Ybarra Evelyn</t>
  </si>
  <si>
    <t>Deantoni Ezequiel</t>
  </si>
  <si>
    <t>GLOBAL</t>
  </si>
  <si>
    <t>NO SE</t>
  </si>
  <si>
    <t>Baquero Ezequiel</t>
  </si>
  <si>
    <t>MEDUSA</t>
  </si>
  <si>
    <t>Oubina David</t>
  </si>
  <si>
    <t>Zalazar Luis</t>
  </si>
  <si>
    <t>Sarmiento Martin</t>
  </si>
  <si>
    <t>HUMAN GRADE</t>
  </si>
  <si>
    <t>RIGS</t>
  </si>
  <si>
    <t>Barroso Luis</t>
  </si>
  <si>
    <t>Muller Valeria</t>
  </si>
  <si>
    <t>Braslavsky Renzo</t>
  </si>
  <si>
    <t>De Guevara Lucila</t>
  </si>
  <si>
    <t>Mendoza Matias</t>
  </si>
  <si>
    <t>Aguilera Marcos</t>
  </si>
  <si>
    <t>Perez Mauro</t>
  </si>
  <si>
    <t>Yanadel Mariano</t>
  </si>
  <si>
    <t>Cuevas Nehuen</t>
  </si>
  <si>
    <t>Grasso Lucas</t>
  </si>
  <si>
    <t>Nuñe Agustin</t>
  </si>
  <si>
    <t>Guille</t>
  </si>
  <si>
    <t>Cheque</t>
  </si>
  <si>
    <t>Reyes Pedro</t>
  </si>
  <si>
    <t>Paterno Ezequiel</t>
  </si>
  <si>
    <t>Belgrano Group</t>
  </si>
  <si>
    <t>Greheb</t>
  </si>
  <si>
    <t>Linares Moises</t>
  </si>
  <si>
    <t>Baez Alejandro</t>
  </si>
  <si>
    <t>Rosello Braian</t>
  </si>
  <si>
    <t>Yensen Salvador</t>
  </si>
  <si>
    <t>Carriquiry Julieta</t>
  </si>
  <si>
    <t>Gonzalez Jeremias</t>
  </si>
  <si>
    <t>Diaz Nicolas</t>
  </si>
  <si>
    <t>Polanco Saul</t>
  </si>
  <si>
    <t>Digilio Juan</t>
  </si>
  <si>
    <t>Aldeco Daniel</t>
  </si>
  <si>
    <t>Bartolome Jeronimo</t>
  </si>
  <si>
    <t>Perego Alan</t>
  </si>
  <si>
    <t>Dip Gustavo</t>
  </si>
  <si>
    <t>Farinon Jose</t>
  </si>
  <si>
    <t>Singlau LEandro</t>
  </si>
  <si>
    <t>Commenge Andrea</t>
  </si>
  <si>
    <t>Dominguez Julian</t>
  </si>
  <si>
    <t>Garcia Hugo</t>
  </si>
  <si>
    <t>Lopez Camila</t>
  </si>
  <si>
    <t>RAW</t>
  </si>
  <si>
    <t>Visca Ana</t>
  </si>
  <si>
    <t>Crovi Tomas</t>
  </si>
  <si>
    <t>Ferro</t>
  </si>
  <si>
    <t>CS GROUP</t>
  </si>
  <si>
    <t>Bukovac Mariano</t>
  </si>
  <si>
    <t>Rogel Lucas</t>
  </si>
  <si>
    <t>Tononi Tamara</t>
  </si>
  <si>
    <t>THE PRESS CLUB</t>
  </si>
  <si>
    <t>Ayala juan</t>
  </si>
  <si>
    <t xml:space="preserve">BIG FUN </t>
  </si>
  <si>
    <t>Ayrton Valdivieso</t>
  </si>
  <si>
    <t>Longo Rosana</t>
  </si>
  <si>
    <t>Puertola Juan</t>
  </si>
  <si>
    <t>Dominguez Rafael</t>
  </si>
  <si>
    <t>Herrera Rene</t>
  </si>
  <si>
    <t>Arias Jimena</t>
  </si>
  <si>
    <t>Pereyra Luis</t>
  </si>
  <si>
    <t>Cabrera Alfredo</t>
  </si>
  <si>
    <t>Vinxxuela</t>
  </si>
  <si>
    <t>Biassi Franco</t>
  </si>
  <si>
    <t>Diaz Gustavo</t>
  </si>
  <si>
    <t>Caballero Alejo</t>
  </si>
  <si>
    <t>MILKYWAY</t>
  </si>
  <si>
    <t>Sosa Jose</t>
  </si>
  <si>
    <t>Green Vibes</t>
  </si>
  <si>
    <t>Gil Brian</t>
  </si>
  <si>
    <t>Lentini Lucas</t>
  </si>
  <si>
    <t>Nery Melanie</t>
  </si>
  <si>
    <t>Bailon Santiago</t>
  </si>
  <si>
    <t>LOUIS</t>
  </si>
  <si>
    <t>Fleita Jose</t>
  </si>
  <si>
    <t>Lorda Joaquin</t>
  </si>
  <si>
    <t>Martinez Matias</t>
  </si>
  <si>
    <t>Castilla Daniel</t>
  </si>
  <si>
    <t>IV THOUGHT</t>
  </si>
  <si>
    <t>Colin Atkins</t>
  </si>
  <si>
    <t>Medusa</t>
  </si>
  <si>
    <t>EFT a GER 11-5</t>
  </si>
  <si>
    <t>eft nachito al colo 25-7</t>
  </si>
  <si>
    <t>Pago en Efectivo/Transf USD</t>
  </si>
  <si>
    <t>FORMULA</t>
  </si>
  <si>
    <t>LIQUIDOS</t>
  </si>
  <si>
    <t>Dab Rite</t>
  </si>
  <si>
    <t>GLOB MOPS</t>
  </si>
  <si>
    <t>Ver valores nueva impo</t>
  </si>
  <si>
    <t>Obs.</t>
  </si>
  <si>
    <t>MINI NAIL</t>
  </si>
  <si>
    <t>LUCAS LO UTILIZO PARA PAGAR los 30kg de SIXTAR 5 del 13-03</t>
  </si>
  <si>
    <t>accesorio</t>
  </si>
  <si>
    <t>MALLAS</t>
  </si>
  <si>
    <t>Observaciones</t>
  </si>
  <si>
    <t>$</t>
  </si>
  <si>
    <t>transfer a RUSSO GER</t>
  </si>
  <si>
    <t>ong</t>
  </si>
  <si>
    <t>rasta paz  copa</t>
  </si>
  <si>
    <t>REYNOLS</t>
  </si>
  <si>
    <t>PAPELES</t>
  </si>
  <si>
    <t>BUBBLEBAGDUDE</t>
  </si>
  <si>
    <t>eft a caja para puffco 12</t>
  </si>
  <si>
    <t>China</t>
  </si>
  <si>
    <t>FRASCOS</t>
  </si>
  <si>
    <t>eft a nachito, se agarro 300 dls para cubrir viajes hasta hoy.</t>
  </si>
  <si>
    <t>3 depositos por banco al colo</t>
  </si>
  <si>
    <t>ACOMODADO COMO DISTRIBUIDOR</t>
  </si>
  <si>
    <t>1570+</t>
  </si>
  <si>
    <t>Eft en mano luke</t>
  </si>
  <si>
    <t>eft en mano luke</t>
  </si>
  <si>
    <t>eft en mano luke al colo</t>
  </si>
  <si>
    <t>devolucion de equipo roto</t>
  </si>
  <si>
    <t>usar parte para alquiler 300 y quedan 200 para gastos o retiro de carga analizar</t>
  </si>
  <si>
    <t xml:space="preserve">mhflia </t>
  </si>
  <si>
    <t>tranfer colo</t>
  </si>
  <si>
    <t>corresponde a devolucion de mercaderia 2 PEAK PRO 2 PRO LINK</t>
  </si>
  <si>
    <t>eft a nachito pago deuda con nachito</t>
  </si>
  <si>
    <t>a cuenta para Sixtar dos envios USD 1919 10-6 (retiros del 8-6 y 9-6)</t>
  </si>
  <si>
    <t>eft para pagar alquiler  900 (pagamos dos meses juntos)</t>
  </si>
  <si>
    <t>eft para colo 23-7</t>
  </si>
  <si>
    <t>eft para ahorro  25-7 llevo nachito</t>
  </si>
  <si>
    <t>eft para ahorro 25-7 llevo nachito</t>
  </si>
  <si>
    <t>eft para colo 25-7 llevo nachito</t>
  </si>
  <si>
    <t>transfer 3-8</t>
  </si>
  <si>
    <t>eft para colo lunes 3 de agosto que vuelvo de viaje / entrego nachito</t>
  </si>
  <si>
    <t>eft para colo martes 4 de agosto lleva nachito</t>
  </si>
  <si>
    <t>eft para colo giro china</t>
  </si>
  <si>
    <t>eft para giro china</t>
  </si>
  <si>
    <t>devolucion de 8 peak pro, 3 travel case</t>
  </si>
  <si>
    <t>devolucion de 2 peak pro, 1 pro link, 4 chamber peak pro 3DXL</t>
  </si>
  <si>
    <t>eft para retiro Sixtar</t>
  </si>
  <si>
    <t>russo GER</t>
  </si>
  <si>
    <t>obs</t>
  </si>
  <si>
    <t>eft para puffco 12</t>
  </si>
  <si>
    <t>eft para MJ ARSENAL 4</t>
  </si>
  <si>
    <t xml:space="preserve">eft sixtar puffco </t>
  </si>
  <si>
    <t>colo</t>
  </si>
  <si>
    <t>Luke recupera 2207 y sobran USD 550 + 290.000 pesos</t>
  </si>
  <si>
    <t>217,5 a favor de ONG por diferencia proxy</t>
  </si>
  <si>
    <t>A PARTIR DE ESTE PEDIDO EL PROXY ES PRECIO DISTRI, POR TEMA DAB CLUB</t>
  </si>
  <si>
    <t>108,75 a favor de ONG por diferencia proxy</t>
  </si>
  <si>
    <t xml:space="preserve">fc lucas retira eft por caja para darle al colo martes 4-8 y enviar con nachito /  mas el saldo de la importacion en eft </t>
  </si>
  <si>
    <t>fc lucas retira eft por cajero para darle al colo ver cuando.</t>
  </si>
  <si>
    <t xml:space="preserve"> (pago coca, expensas, nachito)</t>
  </si>
  <si>
    <t>fc lucas enrroque para retirar carga medusa</t>
  </si>
  <si>
    <t>2 transfer 2,500,000 + 3,500,000</t>
  </si>
  <si>
    <t>fc Ger transferencias a el</t>
  </si>
  <si>
    <t>cheques</t>
  </si>
  <si>
    <t>devolucion de vidrio</t>
  </si>
  <si>
    <t>Mhflia Srl</t>
  </si>
  <si>
    <t>transfer</t>
  </si>
  <si>
    <t>obs.</t>
  </si>
  <si>
    <t>eft al colo miercoles 8-7 lleva nachito</t>
  </si>
  <si>
    <t>eft para el colo 23-7</t>
  </si>
  <si>
    <t>eft para caja colo 25-7 nachito</t>
  </si>
  <si>
    <t>eft para colo, lleva nachito el 4-8</t>
  </si>
  <si>
    <t>eft para colo lleva nchito el 4-8, esta semana leandro trae el saldo</t>
  </si>
  <si>
    <t>pesos</t>
  </si>
  <si>
    <t>eft para cpuffco 14</t>
  </si>
  <si>
    <t>eft pesos para colo lunes 24-8</t>
  </si>
  <si>
    <t>eft para el colo cubrir giros lleva nachito</t>
  </si>
  <si>
    <t>eft para el colo cubrir giros llevo nachito</t>
  </si>
  <si>
    <t>ruso 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</si>
</sst>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[$$]#,##0.00"/>
    <numFmt numFmtId="166" formatCode="d-m"/>
    <numFmt numFmtId="167" formatCode="#,##0.00\ [$€-1]"/>
    <numFmt numFmtId="168" formatCode="d-m-yyyy"/>
    <numFmt numFmtId="169" formatCode="dd-mm-yyyy"/>
    <numFmt numFmtId="170" formatCode="d/MM/yyyy"/>
    <numFmt numFmtId="171" formatCode="dd-mm"/>
    <numFmt numFmtId="172" formatCode="d/m"/>
    <numFmt numFmtId="173" formatCode="d/m/yyyy"/>
  </numFmts>
  <fonts count="14">
    <font>
      <sz val="10.0"/>
      <color rgb="FF000000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Google Sans Text"/>
    </font>
    <font>
      <b/>
      <u/>
      <sz val="11.0"/>
      <color rgb="FF0000F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&quot;Google Sans Text&quot;"/>
    </font>
    <font>
      <sz val="18.0"/>
      <color rgb="FF555555"/>
      <name val="-apple-system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2.0"/>
      <color rgb="FF555555"/>
      <name val="Arial"/>
    </font>
    <font>
      <color rgb="FF222222"/>
      <name val="-apple-system"/>
    </font>
  </fonts>
  <fills count="1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  <fill>
      <patternFill patternType="solid">
        <fgColor rgb="FF434343"/>
        <bgColor rgb="FF434343"/>
      </patternFill>
    </fill>
    <fill>
      <patternFill patternType="solid">
        <fgColor rgb="FFB45F06"/>
        <bgColor rgb="FFB45F06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top style="thin">
        <color rgb="FFE5E5E5"/>
      </top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0" xfId="0" applyFont="1" applyNumberFormat="1"/>
    <xf borderId="0" fillId="0" fontId="1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center" readingOrder="0"/>
    </xf>
    <xf borderId="0" fillId="0" fontId="3" numFmtId="164" xfId="0" applyAlignment="1" applyFont="1" applyNumberFormat="1">
      <alignment readingOrder="0"/>
    </xf>
    <xf borderId="0" fillId="2" fontId="3" numFmtId="0" xfId="0" applyAlignment="1" applyFill="1" applyFont="1">
      <alignment horizontal="center"/>
    </xf>
    <xf borderId="0" fillId="0" fontId="3" numFmtId="165" xfId="0" applyFont="1" applyNumberFormat="1"/>
    <xf borderId="0" fillId="0" fontId="4" numFmtId="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1" numFmtId="165" xfId="0" applyFont="1" applyNumberFormat="1"/>
    <xf borderId="0" fillId="0" fontId="5" numFmtId="0" xfId="0" applyAlignment="1" applyFont="1">
      <alignment readingOrder="0"/>
    </xf>
    <xf borderId="0" fillId="0" fontId="3" numFmtId="165" xfId="0" applyAlignment="1" applyFont="1" applyNumberFormat="1">
      <alignment horizontal="center"/>
    </xf>
    <xf borderId="0" fillId="3" fontId="3" numFmtId="164" xfId="0" applyAlignment="1" applyFill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165" xfId="0" applyAlignment="1" applyFill="1" applyFont="1" applyNumberFormat="1">
      <alignment readingOrder="0"/>
    </xf>
    <xf borderId="0" fillId="0" fontId="3" numFmtId="0" xfId="0" applyFont="1"/>
    <xf borderId="0" fillId="3" fontId="3" numFmtId="0" xfId="0" applyFill="1" applyFont="1"/>
    <xf borderId="0" fillId="2" fontId="3" numFmtId="165" xfId="0" applyFill="1" applyFont="1" applyNumberFormat="1"/>
    <xf borderId="0" fillId="4" fontId="3" numFmtId="164" xfId="0" applyAlignment="1" applyFill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4" fontId="3" numFmtId="165" xfId="0" applyAlignment="1" applyFill="1" applyFont="1" applyNumberFormat="1">
      <alignment readingOrder="0"/>
    </xf>
    <xf borderId="0" fillId="4" fontId="3" numFmtId="165" xfId="0" applyFill="1" applyFont="1" applyNumberFormat="1"/>
    <xf borderId="0" fillId="4" fontId="3" numFmtId="0" xfId="0" applyFill="1" applyFont="1"/>
    <xf borderId="0" fillId="4" fontId="3" numFmtId="166" xfId="0" applyAlignment="1" applyFill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4" fontId="3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165" xfId="0" applyFill="1" applyFont="1" applyNumberFormat="1"/>
    <xf borderId="0" fillId="4" fontId="3" numFmtId="10" xfId="0" applyFill="1" applyFont="1" applyNumberFormat="1"/>
    <xf borderId="0" fillId="0" fontId="1" numFmtId="165" xfId="0" applyAlignment="1" applyFont="1" applyNumberFormat="1">
      <alignment horizontal="center"/>
    </xf>
    <xf borderId="0" fillId="4" fontId="3" numFmtId="165" xfId="0" applyAlignment="1" applyFill="1" applyFont="1" applyNumberFormat="1">
      <alignment horizontal="center"/>
    </xf>
    <xf borderId="0" fillId="4" fontId="7" numFmtId="4" xfId="0" applyAlignment="1" applyFill="1" applyFont="1" applyNumberFormat="1">
      <alignment horizontal="right" vertical="bottom"/>
    </xf>
    <xf borderId="0" fillId="0" fontId="3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2" fontId="6" numFmtId="165" xfId="0" applyAlignment="1" applyFill="1" applyFont="1" applyNumberFormat="1">
      <alignment horizontal="right" vertical="bottom"/>
    </xf>
    <xf borderId="0" fillId="4" fontId="7" numFmtId="4" xfId="0" applyAlignment="1" applyFill="1" applyFont="1" applyNumberFormat="1">
      <alignment horizontal="right" readingOrder="0" vertical="bottom"/>
    </xf>
    <xf borderId="0" fillId="3" fontId="3" numFmtId="165" xfId="0" applyFill="1" applyFont="1" applyNumberFormat="1"/>
    <xf borderId="0" fillId="3" fontId="2" numFmtId="0" xfId="0" applyAlignment="1" applyFill="1" applyFont="1">
      <alignment readingOrder="0"/>
    </xf>
    <xf borderId="0" fillId="2" fontId="3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3" fontId="3" numFmtId="166" xfId="0" applyAlignment="1" applyFill="1" applyFont="1" applyNumberFormat="1">
      <alignment readingOrder="0"/>
    </xf>
    <xf borderId="0" fillId="4" fontId="3" numFmtId="0" xfId="0" applyAlignment="1" applyFill="1" applyFont="1">
      <alignment horizontal="center" readingOrder="0"/>
    </xf>
    <xf borderId="0" fillId="4" fontId="1" numFmtId="165" xfId="0" applyAlignment="1" applyFill="1" applyFont="1" applyNumberFormat="1">
      <alignment readingOrder="0"/>
    </xf>
    <xf borderId="0" fillId="4" fontId="7" numFmtId="4" xfId="0" applyAlignment="1" applyFill="1" applyFont="1" applyNumberFormat="1">
      <alignment horizontal="center" readingOrder="0" vertical="bottom"/>
    </xf>
    <xf borderId="0" fillId="4" fontId="7" numFmtId="4" xfId="0" applyAlignment="1" applyFill="1" applyFont="1" applyNumberFormat="1">
      <alignment horizontal="center" vertical="bottom"/>
    </xf>
    <xf borderId="0" fillId="0" fontId="7" numFmtId="4" xfId="0" applyAlignment="1" applyFont="1" applyNumberFormat="1">
      <alignment horizontal="center" vertical="bottom"/>
    </xf>
    <xf borderId="0" fillId="0" fontId="7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3" fontId="3" numFmtId="165" xfId="0" applyAlignment="1" applyFill="1" applyFont="1" applyNumberFormat="1">
      <alignment horizontal="center"/>
    </xf>
    <xf borderId="0" fillId="0" fontId="8" numFmtId="0" xfId="0" applyAlignment="1" applyFont="1">
      <alignment readingOrder="0"/>
    </xf>
    <xf borderId="0" fillId="0" fontId="7" numFmtId="4" xfId="0" applyAlignment="1" applyFont="1" applyNumberFormat="1">
      <alignment horizontal="center" readingOrder="0" vertical="bottom"/>
    </xf>
    <xf borderId="0" fillId="5" fontId="3" numFmtId="0" xfId="0" applyAlignment="1" applyFill="1" applyFont="1">
      <alignment readingOrder="0"/>
    </xf>
    <xf borderId="0" fillId="5" fontId="3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0" fillId="5" fontId="3" numFmtId="165" xfId="0" applyAlignment="1" applyFill="1" applyFont="1" applyNumberFormat="1">
      <alignment readingOrder="0"/>
    </xf>
    <xf borderId="0" fillId="5" fontId="3" numFmtId="10" xfId="0" applyFill="1" applyFont="1" applyNumberFormat="1"/>
    <xf borderId="0" fillId="5" fontId="3" numFmtId="165" xfId="0" applyAlignment="1" applyFill="1" applyFont="1" applyNumberFormat="1">
      <alignment horizontal="center"/>
    </xf>
    <xf borderId="0" fillId="4" fontId="6" numFmtId="4" xfId="0" applyAlignment="1" applyFill="1" applyFont="1" applyNumberFormat="1">
      <alignment horizontal="right" vertical="bottom"/>
    </xf>
    <xf borderId="0" fillId="5" fontId="3" numFmtId="0" xfId="0" applyAlignment="1" applyFill="1" applyFont="1">
      <alignment horizontal="center"/>
    </xf>
    <xf borderId="0" fillId="4" fontId="6" numFmtId="4" xfId="0" applyAlignment="1" applyFill="1" applyFont="1" applyNumberFormat="1">
      <alignment horizontal="center" vertical="bottom"/>
    </xf>
    <xf borderId="0" fillId="5" fontId="6" numFmtId="0" xfId="0" applyAlignment="1" applyFill="1" applyFont="1">
      <alignment horizontal="center" readingOrder="0" vertical="bottom"/>
    </xf>
    <xf borderId="0" fillId="5" fontId="6" numFmtId="0" xfId="0" applyAlignment="1" applyFill="1" applyFont="1">
      <alignment vertical="bottom"/>
    </xf>
    <xf borderId="0" fillId="5" fontId="6" numFmtId="165" xfId="0" applyAlignment="1" applyFill="1" applyFont="1" applyNumberFormat="1">
      <alignment horizontal="right" vertical="bottom"/>
    </xf>
    <xf borderId="0" fillId="0" fontId="3" numFmtId="0" xfId="0" applyFont="1"/>
    <xf borderId="0" fillId="6" fontId="3" numFmtId="0" xfId="0" applyAlignment="1" applyFill="1" applyFont="1">
      <alignment readingOrder="0"/>
    </xf>
    <xf borderId="0" fillId="6" fontId="3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6" fontId="1" numFmtId="0" xfId="0" applyAlignment="1" applyFill="1" applyFont="1">
      <alignment readingOrder="0"/>
    </xf>
    <xf borderId="0" fillId="6" fontId="3" numFmtId="165" xfId="0" applyAlignment="1" applyFill="1" applyFont="1" applyNumberFormat="1">
      <alignment readingOrder="0"/>
    </xf>
    <xf borderId="0" fillId="6" fontId="3" numFmtId="10" xfId="0" applyFill="1" applyFont="1" applyNumberFormat="1"/>
    <xf borderId="0" fillId="6" fontId="3" numFmtId="165" xfId="0" applyAlignment="1" applyFill="1" applyFont="1" applyNumberFormat="1">
      <alignment horizontal="center"/>
    </xf>
    <xf borderId="0" fillId="6" fontId="3" numFmtId="0" xfId="0" applyAlignment="1" applyFill="1" applyFont="1">
      <alignment horizontal="center"/>
    </xf>
    <xf borderId="0" fillId="7" fontId="3" numFmtId="0" xfId="0" applyAlignment="1" applyFill="1" applyFont="1">
      <alignment readingOrder="0"/>
    </xf>
    <xf borderId="0" fillId="7" fontId="3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7" fontId="1" numFmtId="0" xfId="0" applyAlignment="1" applyFill="1" applyFont="1">
      <alignment readingOrder="0"/>
    </xf>
    <xf borderId="0" fillId="7" fontId="3" numFmtId="165" xfId="0" applyFill="1" applyFont="1" applyNumberFormat="1"/>
    <xf borderId="0" fillId="7" fontId="3" numFmtId="10" xfId="0" applyFill="1" applyFont="1" applyNumberFormat="1"/>
    <xf borderId="0" fillId="7" fontId="3" numFmtId="165" xfId="0" applyAlignment="1" applyFill="1" applyFont="1" applyNumberFormat="1">
      <alignment horizontal="center"/>
    </xf>
    <xf borderId="0" fillId="4" fontId="6" numFmtId="4" xfId="0" applyAlignment="1" applyFill="1" applyFont="1" applyNumberFormat="1">
      <alignment horizontal="right" readingOrder="0" vertical="bottom"/>
    </xf>
    <xf borderId="0" fillId="7" fontId="3" numFmtId="0" xfId="0" applyAlignment="1" applyFill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3" numFmtId="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/>
    </xf>
    <xf borderId="0" fillId="7" fontId="3" numFmtId="165" xfId="0" applyAlignment="1" applyFill="1" applyFont="1" applyNumberFormat="1">
      <alignment readingOrder="0"/>
    </xf>
    <xf borderId="0" fillId="7" fontId="3" numFmtId="0" xfId="0" applyAlignment="1" applyFill="1" applyFont="1">
      <alignment horizontal="center"/>
    </xf>
    <xf borderId="0" fillId="8" fontId="3" numFmtId="0" xfId="0" applyAlignment="1" applyFill="1" applyFont="1">
      <alignment readingOrder="0"/>
    </xf>
    <xf borderId="0" fillId="0" fontId="3" numFmtId="169" xfId="0" applyAlignment="1" applyFont="1" applyNumberFormat="1">
      <alignment readingOrder="0"/>
    </xf>
    <xf borderId="0" fillId="9" fontId="3" numFmtId="0" xfId="0" applyAlignment="1" applyFill="1" applyFont="1">
      <alignment readingOrder="0"/>
    </xf>
    <xf borderId="0" fillId="8" fontId="3" numFmtId="0" xfId="0" applyFill="1" applyFont="1"/>
    <xf borderId="0" fillId="0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3" fontId="8" numFmtId="0" xfId="0" applyAlignment="1" applyFill="1" applyFont="1">
      <alignment horizontal="center" readingOrder="0"/>
    </xf>
    <xf borderId="0" fillId="9" fontId="1" numFmtId="165" xfId="0" applyAlignment="1" applyFill="1" applyFont="1" applyNumberFormat="1">
      <alignment horizontal="center"/>
    </xf>
    <xf borderId="0" fillId="4" fontId="9" numFmtId="0" xfId="0" applyAlignment="1" applyFill="1" applyFont="1">
      <alignment readingOrder="0"/>
    </xf>
    <xf borderId="1" fillId="0" fontId="1" numFmtId="165" xfId="0" applyAlignment="1" applyBorder="1" applyFont="1" applyNumberFormat="1">
      <alignment horizontal="center"/>
    </xf>
    <xf borderId="0" fillId="10" fontId="3" numFmtId="0" xfId="0" applyAlignment="1" applyFill="1" applyFont="1">
      <alignment readingOrder="0"/>
    </xf>
    <xf borderId="0" fillId="10" fontId="3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0" fontId="1" numFmtId="0" xfId="0" applyAlignment="1" applyFill="1" applyFont="1">
      <alignment readingOrder="0"/>
    </xf>
    <xf borderId="0" fillId="10" fontId="3" numFmtId="165" xfId="0" applyAlignment="1" applyFill="1" applyFont="1" applyNumberFormat="1">
      <alignment readingOrder="0"/>
    </xf>
    <xf borderId="0" fillId="10" fontId="3" numFmtId="10" xfId="0" applyFill="1" applyFont="1" applyNumberFormat="1"/>
    <xf borderId="0" fillId="10" fontId="3" numFmtId="165" xfId="0" applyAlignment="1" applyFill="1" applyFont="1" applyNumberFormat="1">
      <alignment horizontal="center"/>
    </xf>
    <xf borderId="0" fillId="10" fontId="3" numFmtId="0" xfId="0" applyAlignment="1" applyFill="1" applyFont="1">
      <alignment horizontal="center"/>
    </xf>
    <xf borderId="0" fillId="0" fontId="3" numFmtId="170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70" xfId="0" applyFont="1" applyNumberFormat="1"/>
    <xf borderId="0" fillId="0" fontId="3" numFmtId="171" xfId="0" applyAlignment="1" applyFont="1" applyNumberFormat="1">
      <alignment readingOrder="0"/>
    </xf>
    <xf borderId="0" fillId="3" fontId="3" numFmtId="165" xfId="0" applyAlignment="1" applyFill="1" applyFont="1" applyNumberFormat="1">
      <alignment horizontal="center" readingOrder="0"/>
    </xf>
    <xf borderId="0" fillId="0" fontId="3" numFmtId="172" xfId="0" applyAlignment="1" applyFont="1" applyNumberForma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166" xfId="0" applyAlignment="1" applyFont="1" applyNumberFormat="1">
      <alignment horizontal="center" readingOrder="0"/>
    </xf>
    <xf borderId="0" fillId="2" fontId="3" numFmtId="165" xfId="0" applyAlignment="1" applyFill="1" applyFont="1" applyNumberFormat="1">
      <alignment horizontal="center" readingOrder="0"/>
    </xf>
    <xf borderId="0" fillId="3" fontId="3" numFmtId="166" xfId="0" applyAlignment="1" applyFill="1" applyFont="1" applyNumberFormat="1">
      <alignment horizontal="center" readingOrder="0"/>
    </xf>
    <xf borderId="0" fillId="2" fontId="3" numFmtId="165" xfId="0" applyAlignment="1" applyFill="1" applyFont="1" applyNumberFormat="1">
      <alignment horizontal="center"/>
    </xf>
    <xf borderId="0" fillId="3" fontId="10" numFmtId="0" xfId="0" applyAlignment="1" applyFill="1" applyFont="1">
      <alignment horizontal="center" readingOrder="0"/>
    </xf>
    <xf borderId="0" fillId="0" fontId="3" numFmtId="164" xfId="0" applyFont="1" applyNumberFormat="1"/>
    <xf borderId="0" fillId="0" fontId="3" numFmtId="2" xfId="0" applyFont="1" applyNumberFormat="1"/>
    <xf borderId="0" fillId="6" fontId="6" numFmtId="0" xfId="0" applyAlignment="1" applyFill="1" applyFont="1">
      <alignment horizontal="center" vertical="bottom"/>
    </xf>
    <xf borderId="0" fillId="6" fontId="6" numFmtId="0" xfId="0" applyAlignment="1" applyFill="1" applyFont="1">
      <alignment vertical="bottom"/>
    </xf>
    <xf borderId="0" fillId="6" fontId="6" numFmtId="165" xfId="0" applyAlignment="1" applyFill="1" applyFont="1" applyNumberFormat="1">
      <alignment horizontal="right" vertical="bottom"/>
    </xf>
    <xf borderId="0" fillId="2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3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 vertical="bottom"/>
    </xf>
    <xf borderId="0" fillId="11" fontId="6" numFmtId="0" xfId="0" applyAlignment="1" applyFill="1" applyFont="1">
      <alignment vertical="bottom"/>
    </xf>
    <xf borderId="0" fillId="11" fontId="6" numFmtId="165" xfId="0" applyAlignment="1" applyFill="1" applyFont="1" applyNumberFormat="1">
      <alignment horizontal="right" vertical="bottom"/>
    </xf>
    <xf borderId="0" fillId="11" fontId="3" numFmtId="10" xfId="0" applyFill="1" applyFont="1" applyNumberFormat="1"/>
    <xf borderId="0" fillId="11" fontId="3" numFmtId="165" xfId="0" applyAlignment="1" applyFill="1" applyFont="1" applyNumberFormat="1">
      <alignment horizontal="center"/>
    </xf>
    <xf borderId="0" fillId="0" fontId="6" numFmtId="4" xfId="0" applyAlignment="1" applyFont="1" applyNumberFormat="1">
      <alignment horizontal="right" readingOrder="0" vertical="bottom"/>
    </xf>
    <xf borderId="0" fillId="11" fontId="6" numFmtId="0" xfId="0" applyAlignment="1" applyFill="1" applyFont="1">
      <alignment horizontal="center" readingOrder="0" vertical="bottom"/>
    </xf>
    <xf borderId="0" fillId="0" fontId="3" numFmtId="171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10" fontId="6" numFmtId="0" xfId="0" applyAlignment="1" applyFill="1" applyFont="1">
      <alignment horizontal="center" readingOrder="0" vertical="bottom"/>
    </xf>
    <xf borderId="0" fillId="10" fontId="6" numFmtId="0" xfId="0" applyAlignment="1" applyFill="1" applyFont="1">
      <alignment vertical="bottom"/>
    </xf>
    <xf borderId="0" fillId="9" fontId="3" numFmtId="0" xfId="0" applyFill="1" applyFont="1"/>
    <xf borderId="0" fillId="10" fontId="6" numFmtId="165" xfId="0" applyAlignment="1" applyFill="1" applyFont="1" applyNumberFormat="1">
      <alignment horizontal="right" vertical="bottom"/>
    </xf>
    <xf borderId="0" fillId="10" fontId="6" numFmtId="0" xfId="0" applyAlignment="1" applyFill="1" applyFont="1">
      <alignment horizontal="center" readingOrder="0" vertical="bottom"/>
    </xf>
    <xf borderId="0" fillId="10" fontId="6" numFmtId="0" xfId="0" applyAlignment="1" applyFill="1" applyFont="1">
      <alignment horizontal="center" vertical="bottom"/>
    </xf>
    <xf borderId="0" fillId="10" fontId="3" numFmtId="165" xfId="0" applyFill="1" applyFont="1" applyNumberFormat="1"/>
    <xf borderId="0" fillId="12" fontId="3" numFmtId="0" xfId="0" applyAlignment="1" applyFill="1" applyFont="1">
      <alignment readingOrder="0"/>
    </xf>
    <xf borderId="0" fillId="12" fontId="3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2" fontId="3" numFmtId="165" xfId="0" applyFill="1" applyFont="1" applyNumberFormat="1"/>
    <xf borderId="0" fillId="12" fontId="3" numFmtId="10" xfId="0" applyFill="1" applyFont="1" applyNumberFormat="1"/>
    <xf borderId="0" fillId="12" fontId="3" numFmtId="165" xfId="0" applyAlignment="1" applyFill="1" applyFont="1" applyNumberFormat="1">
      <alignment horizontal="center"/>
    </xf>
    <xf borderId="0" fillId="0" fontId="3" numFmtId="172" xfId="0" applyAlignment="1" applyFont="1" applyNumberFormat="1">
      <alignment horizontal="center" readingOrder="0"/>
    </xf>
    <xf borderId="0" fillId="13" fontId="3" numFmtId="0" xfId="0" applyAlignment="1" applyFill="1" applyFont="1">
      <alignment readingOrder="0"/>
    </xf>
    <xf borderId="0" fillId="5" fontId="3" numFmtId="165" xfId="0" applyFill="1" applyFont="1" applyNumberFormat="1"/>
    <xf borderId="0" fillId="6" fontId="3" numFmtId="165" xfId="0" applyFill="1" applyFont="1" applyNumberFormat="1"/>
    <xf borderId="0" fillId="11" fontId="3" numFmtId="165" xfId="0" applyFill="1" applyFont="1" applyNumberFormat="1"/>
    <xf borderId="0" fillId="11" fontId="3" numFmtId="0" xfId="0" applyAlignment="1" applyFill="1" applyFont="1">
      <alignment horizontal="center" readingOrder="0"/>
    </xf>
    <xf borderId="0" fillId="7" fontId="3" numFmtId="0" xfId="0" applyFill="1" applyFont="1"/>
    <xf borderId="0" fillId="4" fontId="3" numFmtId="165" xfId="0" applyAlignment="1" applyFill="1" applyFont="1" applyNumberFormat="1">
      <alignment horizontal="center" readingOrder="0"/>
    </xf>
    <xf borderId="0" fillId="5" fontId="6" numFmtId="0" xfId="0" applyAlignment="1" applyFill="1" applyFont="1">
      <alignment vertical="bottom"/>
    </xf>
    <xf borderId="0" fillId="5" fontId="6" numFmtId="0" xfId="0" applyAlignment="1" applyFill="1" applyFont="1">
      <alignment horizontal="center" vertical="bottom"/>
    </xf>
    <xf borderId="0" fillId="11" fontId="6" numFmtId="0" xfId="0" applyAlignment="1" applyFill="1" applyFont="1">
      <alignment vertical="bottom"/>
    </xf>
    <xf borderId="0" fillId="14" fontId="6" numFmtId="0" xfId="0" applyAlignment="1" applyFill="1" applyFont="1">
      <alignment vertical="bottom"/>
    </xf>
    <xf borderId="0" fillId="14" fontId="3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14" fontId="6" numFmtId="0" xfId="0" applyAlignment="1" applyFill="1" applyFont="1">
      <alignment horizontal="center" readingOrder="0" vertical="bottom"/>
    </xf>
    <xf borderId="0" fillId="14" fontId="3" numFmtId="0" xfId="0" applyAlignment="1" applyFill="1" applyFont="1">
      <alignment readingOrder="0"/>
    </xf>
    <xf borderId="0" fillId="14" fontId="3" numFmtId="165" xfId="0" applyFill="1" applyFont="1" applyNumberFormat="1"/>
    <xf borderId="0" fillId="14" fontId="3" numFmtId="10" xfId="0" applyFill="1" applyFont="1" applyNumberFormat="1"/>
    <xf borderId="0" fillId="14" fontId="3" numFmtId="165" xfId="0" applyAlignment="1" applyFill="1" applyFont="1" applyNumberFormat="1">
      <alignment horizontal="center"/>
    </xf>
    <xf borderId="0" fillId="14" fontId="6" numFmtId="0" xfId="0" applyAlignment="1" applyFill="1" applyFont="1">
      <alignment horizontal="center" vertical="bottom"/>
    </xf>
    <xf borderId="0" fillId="0" fontId="6" numFmtId="166" xfId="0" applyAlignment="1" applyFont="1" applyNumberFormat="1">
      <alignment horizontal="center" vertical="bottom"/>
    </xf>
    <xf borderId="0" fillId="0" fontId="6" numFmtId="165" xfId="0" applyAlignment="1" applyFont="1" applyNumberFormat="1">
      <alignment vertical="bottom"/>
    </xf>
    <xf borderId="0" fillId="0" fontId="6" numFmtId="165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6" numFmtId="165" xfId="0" applyAlignment="1" applyFont="1" applyNumberFormat="1">
      <alignment horizontal="center" readingOrder="0" vertical="bottom"/>
    </xf>
    <xf borderId="0" fillId="2" fontId="6" numFmtId="165" xfId="0" applyAlignment="1" applyFill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6" numFmtId="166" xfId="0" applyAlignment="1" applyFont="1" applyNumberFormat="1">
      <alignment horizontal="center" readingOrder="0" vertical="bottom"/>
    </xf>
    <xf borderId="0" fillId="4" fontId="6" numFmtId="165" xfId="0" applyAlignment="1" applyFill="1" applyFont="1" applyNumberFormat="1">
      <alignment horizontal="center" readingOrder="0" vertical="bottom"/>
    </xf>
    <xf borderId="0" fillId="4" fontId="6" numFmtId="165" xfId="0" applyAlignment="1" applyFill="1" applyFont="1" applyNumberFormat="1">
      <alignment horizontal="center" vertical="bottom"/>
    </xf>
    <xf borderId="0" fillId="2" fontId="6" numFmtId="165" xfId="0" applyAlignment="1" applyFill="1" applyFont="1" applyNumberFormat="1">
      <alignment horizontal="center" readingOrder="0" vertical="bottom"/>
    </xf>
    <xf borderId="0" fillId="0" fontId="3" numFmtId="165" xfId="0" applyFont="1" applyNumberFormat="1"/>
    <xf borderId="0" fillId="4" fontId="3" numFmtId="0" xfId="0" applyFill="1" applyFont="1"/>
    <xf borderId="0" fillId="4" fontId="6" numFmtId="0" xfId="0" applyAlignment="1" applyFill="1" applyFont="1">
      <alignment vertical="bottom"/>
    </xf>
    <xf borderId="0" fillId="4" fontId="6" numFmtId="0" xfId="0" applyAlignment="1" applyFill="1" applyFont="1">
      <alignment horizontal="center" readingOrder="0" vertical="bottom"/>
    </xf>
    <xf borderId="0" fillId="15" fontId="3" numFmtId="0" xfId="0" applyAlignment="1" applyFill="1" applyFont="1">
      <alignment readingOrder="0"/>
    </xf>
    <xf borderId="0" fillId="15" fontId="3" numFmtId="0" xfId="0" applyAlignment="1" applyFill="1" applyFont="1">
      <alignment horizontal="center" readingOrder="0"/>
    </xf>
    <xf borderId="0" fillId="0" fontId="3" numFmtId="14" xfId="0" applyAlignment="1" applyFont="1" applyNumberFormat="1">
      <alignment readingOrder="0"/>
    </xf>
    <xf borderId="0" fillId="15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15" fontId="3" numFmtId="0" xfId="0" applyAlignment="1" applyFill="1" applyFont="1">
      <alignment horizontal="center"/>
    </xf>
    <xf borderId="0" fillId="15" fontId="3" numFmtId="0" xfId="0" applyFill="1" applyFont="1"/>
    <xf borderId="0" fillId="15" fontId="3" numFmtId="165" xfId="0" applyFill="1" applyFont="1" applyNumberFormat="1"/>
    <xf borderId="0" fillId="15" fontId="3" numFmtId="10" xfId="0" applyFill="1" applyFont="1" applyNumberFormat="1"/>
    <xf borderId="0" fillId="15" fontId="3" numFmtId="165" xfId="0" applyAlignment="1" applyFill="1" applyFont="1" applyNumberFormat="1">
      <alignment horizontal="center"/>
    </xf>
    <xf borderId="0" fillId="15" fontId="6" numFmtId="4" xfId="0" applyAlignment="1" applyFill="1" applyFont="1" applyNumberFormat="1">
      <alignment horizontal="center" vertical="bottom"/>
    </xf>
    <xf borderId="0" fillId="15" fontId="3" numFmtId="0" xfId="0" applyFill="1" applyFont="1"/>
    <xf borderId="0" fillId="16" fontId="3" numFmtId="0" xfId="0" applyAlignment="1" applyFill="1" applyFont="1">
      <alignment readingOrder="0"/>
    </xf>
    <xf borderId="0" fillId="16" fontId="3" numFmtId="4" xfId="0" applyAlignment="1" applyFill="1" applyFont="1" applyNumberFormat="1">
      <alignment horizontal="center" readingOrder="0"/>
    </xf>
    <xf borderId="0" fillId="16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165" xfId="0" applyFill="1" applyFont="1" applyNumberFormat="1"/>
    <xf borderId="0" fillId="16" fontId="3" numFmtId="10" xfId="0" applyFill="1" applyFont="1" applyNumberFormat="1"/>
    <xf borderId="0" fillId="16" fontId="3" numFmtId="165" xfId="0" applyAlignment="1" applyFill="1" applyFont="1" applyNumberFormat="1">
      <alignment horizontal="center"/>
    </xf>
    <xf borderId="0" fillId="14" fontId="2" numFmtId="0" xfId="0" applyAlignment="1" applyFill="1" applyFont="1">
      <alignment readingOrder="0"/>
    </xf>
    <xf borderId="0" fillId="14" fontId="3" numFmtId="0" xfId="0" applyFill="1" applyFont="1"/>
    <xf borderId="0" fillId="14" fontId="3" numFmtId="165" xfId="0" applyAlignment="1" applyFill="1" applyFont="1" applyNumberFormat="1">
      <alignment readingOrder="0"/>
    </xf>
    <xf borderId="0" fillId="4" fontId="6" numFmtId="4" xfId="0" applyAlignment="1" applyFill="1" applyFont="1" applyNumberFormat="1">
      <alignment horizontal="center" readingOrder="0" vertical="bottom"/>
    </xf>
    <xf borderId="0" fillId="4" fontId="12" numFmtId="0" xfId="0" applyAlignment="1" applyFill="1" applyFont="1">
      <alignment horizontal="left" readingOrder="0"/>
    </xf>
    <xf borderId="2" fillId="4" fontId="13" numFmtId="0" xfId="0" applyAlignment="1" applyBorder="1" applyFill="1" applyFont="1">
      <alignment horizontal="left" readingOrder="0"/>
    </xf>
    <xf borderId="0" fillId="0" fontId="3" numFmtId="173" xfId="0" applyAlignment="1" applyFont="1" applyNumberFormat="1">
      <alignment readingOrder="0"/>
    </xf>
    <xf borderId="0" fillId="0" fontId="6" numFmtId="4" xfId="0" applyAlignment="1" applyFont="1" applyNumberFormat="1">
      <alignment vertical="bottom"/>
    </xf>
    <xf borderId="0" fillId="17" fontId="3" numFmtId="166" xfId="0" applyAlignment="1" applyFill="1" applyFont="1" applyNumberFormat="1">
      <alignment readingOrder="0"/>
    </xf>
    <xf borderId="0" fillId="17" fontId="3" numFmtId="0" xfId="0" applyAlignment="1" applyFill="1" applyFont="1">
      <alignment readingOrder="0"/>
    </xf>
    <xf borderId="0" fillId="17" fontId="3" numFmtId="0" xfId="0" applyFill="1" applyFont="1"/>
    <xf borderId="0" fillId="18" fontId="2" numFmtId="0" xfId="0" applyAlignment="1" applyFill="1" applyFont="1">
      <alignment readingOrder="0"/>
    </xf>
    <xf borderId="0" fillId="18" fontId="2" numFmtId="0" xfId="0" applyFill="1" applyFont="1"/>
    <xf borderId="0" fillId="18" fontId="3" numFmtId="0" xfId="0" applyFill="1" applyFont="1"/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1">
    <dxf>
      <font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92" sheet="Pedidos"/>
  </cacheSource>
  <cacheFields>
    <cacheField name="fecha" numFmtId="164">
      <sharedItems containsDate="1" containsString="0" containsBlank="1">
        <d v="2026-02-12T13:20:21Z"/>
        <d v="2026-02-12T13:25:05Z"/>
        <d v="2026-02-12T13:35:44Z"/>
        <d v="2026-02-12T13:43:42Z"/>
        <d v="2026-02-12T13:45:04Z"/>
        <d v="2026-02-12T13:48:46Z"/>
        <d v="2026-02-12T14:03:58Z"/>
        <d v="2026-02-12T14:08:49Z"/>
        <d v="2026-02-12T14:21:22Z"/>
        <d v="2026-02-12T14:31:10Z"/>
        <d v="2026-02-12T14:33:10Z"/>
        <d v="2026-02-12T14:40:37Z"/>
        <d v="2026-02-13T10:51:02Z"/>
        <d v="2026-02-13T11:23:49Z"/>
        <d v="2026-02-13T11:40:41Z"/>
        <d v="2026-02-13T11:42:48Z"/>
        <d v="2026-02-13T11:44:23Z"/>
        <d v="2026-02-13T16:34:48Z"/>
        <d v="2026-02-13T20:32:05Z"/>
        <d v="2026-02-13T21:00:30Z"/>
        <d v="2026-02-18T07:42:34Z"/>
        <d v="2026-02-18T07:52:47Z"/>
        <d v="2026-02-18T08:41:25Z"/>
        <d v="2026-02-19T23:48:46Z"/>
        <d v="2026-02-20T08:34:25Z"/>
        <d v="2026-02-20T00:00:00Z"/>
        <d v="2026-02-20T13:31:01Z"/>
        <d v="2026-02-23T08:52:39Z"/>
        <d v="2026-02-24T09:19:07Z"/>
        <d v="2026-02-24T09:51:06Z"/>
        <d v="2026-02-24T10:10:00Z"/>
        <m/>
        <d v="2026-02-24T15:31:07Z"/>
        <d v="2026-02-25T00:09:15Z"/>
        <d v="2026-02-27T16:56:20Z"/>
        <d v="2026-02-27T16:58:34Z"/>
        <d v="2026-02-27T19:37:11Z"/>
        <d v="2026-02-27T20:15:27Z"/>
        <d v="2026-02-27T20:20:18Z"/>
        <d v="2026-02-28T15:27:50Z"/>
        <d v="2026-03-02T12:29:13Z"/>
        <d v="2026-03-02T21:53:47Z"/>
        <d v="2026-03-03T12:28:06Z"/>
        <d v="2026-03-04T09:09:56Z"/>
        <d v="2026-03-04T09:18:16Z"/>
        <d v="2026-03-04T20:28:27Z"/>
        <d v="2026-03-04T20:38:10Z"/>
        <d v="2026-03-05T11:12:10Z"/>
        <d v="2026-03-05T11:29:25Z"/>
        <d v="2026-03-05T12:02:13Z"/>
        <d v="2026-03-05T12:51:41Z"/>
        <d v="2026-03-05T19:11:25Z"/>
        <d v="2026-03-06T08:45:56Z"/>
        <d v="2026-03-07T22:34:13Z"/>
        <d v="2026-03-10T13:09:06Z"/>
        <d v="2026-03-10T13:16:42Z"/>
        <d v="2026-03-10T13:19:15Z"/>
        <d v="2026-03-10T13:21:32Z"/>
        <d v="2026-03-11T15:14:17Z"/>
        <d v="2026-03-12T00:00:00Z"/>
        <d v="2026-03-12T23:45:26Z"/>
        <d v="2026-03-13T09:21:58Z"/>
        <d v="2026-03-13T09:28:56Z"/>
        <d v="2026-03-13T09:29:19Z"/>
        <d v="2026-03-13T21:42:48Z"/>
        <d v="2026-03-16T12:03:04Z"/>
        <d v="2026-03-17T10:27:19Z"/>
        <d v="2026-03-17T12:23:37Z"/>
        <d v="2026-03-17T14:01:55Z"/>
        <d v="2026-03-17T14:50:04Z"/>
        <d v="2026-03-18T10:05:30Z"/>
        <d v="2026-03-18T11:30:14Z"/>
        <d v="2026-03-18T15:10:29Z"/>
        <d v="2026-03-18T15:44:05Z"/>
        <d v="2026-03-18T16:39:20Z"/>
        <d v="2026-03-18T20:13:31Z"/>
        <d v="2026-03-19T09:44:48Z"/>
        <d v="2026-03-19T10:17:41Z"/>
        <d v="2026-03-19T10:56:00Z"/>
        <d v="2026-03-19T10:56:23Z"/>
        <d v="2026-03-19T14:37:21Z"/>
        <d v="2026-03-19T19:35:51Z"/>
        <d v="2026-03-19T19:48:08Z"/>
        <d v="2026-03-19T19:48:31Z"/>
        <d v="2026-03-19T22:02:51Z"/>
        <d v="2026-03-24T12:13:28Z"/>
        <d v="2026-03-26T13:03:41Z"/>
        <d v="2026-03-26T15:42:11Z"/>
        <d v="2026-03-27T14:57:10Z"/>
        <d v="2026-03-27T20:59:01Z"/>
        <d v="2026-03-31T15:18:33Z"/>
        <d v="2026-03-31T16:22:01Z"/>
        <d v="2026-03-31T16:22:46Z"/>
        <d v="2026-03-31T16:30:51Z"/>
        <d v="2026-03-31T16:39:20Z"/>
        <d v="2026-04-01T08:06:41Z"/>
        <d v="2026-04-01T08:48:57Z"/>
        <d v="2026-04-01T11:34:43Z"/>
        <d v="2026-04-01T13:07:56Z"/>
        <d v="2026-04-01T13:20:29Z"/>
        <d v="2026-04-01T15:13:40Z"/>
        <d v="2026-04-02T16:21:48Z"/>
        <d v="2026-04-02T16:24:14Z"/>
        <d v="2026-04-02T19:33:59Z"/>
        <d v="2026-04-02T19:58:39Z"/>
        <d v="2026-04-02T22:35:35Z"/>
        <d v="2026-04-03T12:04:57Z"/>
        <d v="2026-04-03T12:08:58Z"/>
        <d v="2026-04-03T12:58:13Z"/>
        <d v="2026-04-09T12:03:53Z"/>
        <d v="2026-04-10T11:43:22Z"/>
        <d v="2026-04-10T11:44:53Z"/>
        <d v="2026-04-10T12:04:33Z"/>
        <d v="2026-04-10T17:08:03Z"/>
        <d v="2026-04-10T17:21:21Z"/>
        <d v="2026-04-12T22:45:19Z"/>
        <d v="2026-04-13T13:09:56Z"/>
        <d v="2026-04-14T09:17:51Z"/>
        <d v="2026-04-15T10:46:07Z"/>
        <d v="2026-04-16T14:41:53Z"/>
        <d v="2026-04-16T19:56:56Z"/>
        <d v="2026-04-17T14:27:08Z"/>
        <d v="2026-04-18T10:29:31Z"/>
        <d v="2026-04-18T10:40:15Z"/>
        <d v="2026-04-18T10:45:38Z"/>
        <d v="2026-04-18T10:58:34Z"/>
        <d v="2026-04-20T17:06:13Z"/>
        <d v="2026-04-22T12:52:55Z"/>
        <d v="2026-04-22T12:58:37Z"/>
        <d v="2026-04-22T22:32:14Z"/>
        <d v="2026-04-22T22:40:16Z"/>
        <d v="2026-04-23T15:41:43Z"/>
        <d v="2026-04-24T12:21:55Z"/>
        <d v="2026-04-24T12:22:32Z"/>
        <d v="2026-04-24T12:41:39Z"/>
        <d v="2026-04-24T16:16:32Z"/>
        <d v="2026-04-24T23:15:29Z"/>
        <d v="2026-04-24T23:18:02Z"/>
        <d v="2026-04-24T23:23:39Z"/>
        <d v="2026-04-27T23:52:10Z"/>
        <d v="2026-04-27T23:54:45Z"/>
        <d v="2026-04-30T00:03:18Z"/>
        <d v="2026-04-30T11:53:51Z"/>
        <d v="2026-04-30T11:57:14Z"/>
        <d v="2026-04-30T23:20:16Z"/>
        <d v="2026-05-01T12:48:08Z"/>
        <d v="2026-05-01T13:26:15Z"/>
        <d v="2026-05-02T10:35:45Z"/>
        <d v="2026-05-04T15:20:28Z"/>
        <d v="2026-05-04T15:25:14Z"/>
        <d v="2026-05-05T08:50:11Z"/>
        <d v="2026-05-12T15:31:53Z"/>
        <d v="2026-05-12T16:16:01Z"/>
        <d v="2026-05-15T12:32:26Z"/>
        <d v="2026-05-15T12:34:32Z"/>
        <d v="2026-05-15T12:44:29Z"/>
        <d v="2026-05-17T22:37:34Z"/>
        <d v="2026-05-18T09:27:16Z"/>
        <d v="2026-05-18T15:55:19Z"/>
        <d v="2026-05-19T12:51:38Z"/>
        <d v="2026-05-19T13:41:04Z"/>
        <d v="2026-05-19T22:50:57Z"/>
        <d v="2026-05-20T14:06:42Z"/>
        <d v="2026-05-21T12:01:16Z"/>
        <d v="2026-05-21T12:05:29Z"/>
        <d v="2026-05-21T12:14:52Z"/>
        <d v="2026-05-21T16:28:52Z"/>
        <d v="2026-05-22T15:41:17Z"/>
        <d v="2026-05-22T15:45:55Z"/>
        <d v="2026-05-22T16:14:57Z"/>
        <d v="2026-05-22T16:19:26Z"/>
        <d v="2026-05-24T22:58:23Z"/>
        <d v="2026-05-28T10:46:39Z"/>
        <d v="2026-05-29T13:51:46Z"/>
        <d v="2026-05-29T13:53:15Z"/>
        <d v="2026-05-29T13:56:07Z"/>
        <d v="2026-06-03T17:02:01Z"/>
        <d v="2026-06-03T17:18:52Z"/>
        <d v="2026-06-03T22:01:55Z"/>
        <d v="2026-06-10T13:12:53Z"/>
        <d v="2026-06-10T23:39:37Z"/>
        <d v="2026-06-10T23:45:37Z"/>
        <d v="2026-06-11T10:56:04Z"/>
        <d v="2026-06-11T17:07:37Z"/>
        <d v="2026-06-12T12:30:26Z"/>
        <d v="2026-06-18T10:51:16Z"/>
        <d v="2026-06-18T15:55:00Z"/>
        <d v="2026-06-18T15:55:59Z"/>
        <d v="2026-06-18T15:57:56Z"/>
        <d v="2026-06-18T16:02:10Z"/>
        <d v="2026-06-19T11:28:30Z"/>
        <d v="2026-06-23T17:07:36Z"/>
        <d v="2026-06-23T21:26:01Z"/>
        <d v="2026-06-25T13:00:27Z"/>
        <d v="2026-06-25T13:00:51Z"/>
        <d v="2026-06-26T17:31:34Z"/>
        <d v="2026-06-30T11:01:53Z"/>
        <d v="2026-06-30T11:26:26Z"/>
        <d v="2026-06-30T12:09:20Z"/>
        <d v="2026-06-30T12:13:59Z"/>
        <d v="2026-07-01T22:31:23Z"/>
        <d v="2026-07-01T22:35:41Z"/>
        <d v="2026-07-02T17:34:07Z"/>
        <d v="2026-07-02T22:44:41Z"/>
        <d v="2026-07-06T09:23:33Z"/>
        <d v="2026-07-07T15:25:18Z"/>
        <d v="2026-07-07T15:53:08Z"/>
        <d v="2026-07-07T16:47:11Z"/>
        <d v="2026-07-07T16:48:08Z"/>
        <d v="2026-07-07T17:05:09Z"/>
        <d v="2026-07-07T18:51:10Z"/>
        <d v="2026-07-07T19:01:04Z"/>
        <d v="2026-07-07T19:02:23Z"/>
        <d v="2026-07-08T08:48:56Z"/>
        <d v="2026-07-08T18:35:03Z"/>
        <d v="2026-07-11T16:54:03Z"/>
        <d v="2026-07-13T11:19:29Z"/>
        <d v="2026-07-21T11:41:10Z"/>
        <d v="2026-07-21T11:41:32Z"/>
        <d v="2026-07-21T11:50:14Z"/>
        <d v="2026-07-21T12:16:31Z"/>
        <d v="2026-07-21T12:28:40Z"/>
        <d v="2026-07-21T13:05:28Z"/>
        <d v="2026-07-21T13:59:56Z"/>
        <d v="2026-07-21T15:33:20Z"/>
        <d v="2026-07-22T13:31:36Z"/>
        <d v="2026-07-22T15:54:53Z"/>
        <d v="2026-07-23T16:04:29Z"/>
        <d v="2026-07-24T13:33:47Z"/>
        <d v="2026-07-24T16:35:36Z"/>
        <d v="2026-07-25T09:30:05Z"/>
        <d v="2026-07-25T09:31:13Z"/>
        <d v="2026-07-25T09:41:39Z"/>
        <d v="2026-07-25T09:59:40Z"/>
        <d v="2026-07-25T10:02:01Z"/>
        <d v="2026-07-25T14:52:44Z"/>
        <d v="2026-07-31T08:08:06Z"/>
        <d v="2026-07-31T08:10:40Z"/>
        <d v="2026-07-31T21:05:01Z"/>
        <d v="2026-08-03T12:28:42Z"/>
        <d v="2026-08-03T12:32:51Z"/>
        <d v="2026-08-03T19:57:28Z"/>
        <d v="2026-08-04T09:57:02Z"/>
        <d v="2026-08-04T12:15:54Z"/>
        <d v="2026-08-04T12:22:25Z"/>
        <d v="2026-08-04T12:24:44Z"/>
        <d v="2026-08-04T12:57:36Z"/>
        <d v="2026-08-05T20:03:07Z"/>
        <d v="2026-08-11T12:00:44Z"/>
        <d v="2026-08-11T12:06:20Z"/>
        <d v="2026-08-11T13:02:03Z"/>
        <d v="2026-08-11T13:04:11Z"/>
        <d v="2026-08-12T16:49:07Z"/>
        <d v="2026-08-12T19:45:57Z"/>
        <d v="2026-08-13T07:54:11Z"/>
        <d v="2026-08-13T08:00:33Z"/>
        <d v="2026-08-15T13:35:42Z"/>
        <d v="2026-08-21T18:37:29Z"/>
        <d v="2026-08-22T22:38:38Z"/>
        <d v="2026-08-22T22:39:30Z"/>
        <d v="2026-08-27T20:03:25Z"/>
        <d v="2026-08-29T09:30:53Z"/>
        <d v="2026-08-29T09:40:20Z"/>
        <d v="2026-08-29T10:35:49Z"/>
        <d v="2026-08-29T10:48:19Z"/>
        <d v="2026-08-29T20:08:33Z"/>
        <d v="2026-08-29T20:15:50Z"/>
        <d v="2026-09-09T14:19:04Z"/>
        <d v="2026-09-09T14:19:47Z"/>
        <d v="2026-09-10T12:03:24Z"/>
        <d v="2026-09-10T12:23:12Z"/>
        <d v="2026-09-10T12:30:07Z"/>
        <d v="2026-09-10T12:44:16Z"/>
        <d v="2026-09-12T12:13:29Z"/>
        <d v="2026-09-14T12:41:30Z"/>
        <d v="2026-09-14T15:17:31Z"/>
        <d v="2026-09-15T20:54:54Z"/>
        <d v="2026-09-15T21:46:15Z"/>
        <d v="2026-09-18T13:46:30Z"/>
        <d v="2026-09-18T14:06:59Z"/>
        <d v="2026-09-18T19:38:50Z"/>
        <d v="2026-09-22T21:26:06Z"/>
        <d v="2026-09-23T18:02:40Z"/>
        <d v="2026-09-29T15:04:10Z"/>
        <d v="2026-09-29T17:31:30Z"/>
        <d v="2026-09-29T17:41:58Z"/>
        <d v="2026-09-30T13:24:52Z"/>
        <d v="2026-10-01T10:24:02Z"/>
        <d v="2026-10-01T13:21:32Z"/>
        <d v="2026-10-03T15:44:23Z"/>
        <d v="2026-10-03T15:45:07Z"/>
      </sharedItems>
    </cacheField>
    <cacheField name="Clientes" numFmtId="0">
      <sharedItems>
        <s v="Alfredo Indajaus"/>
        <s v="Leloir ong"/>
        <s v="tin uy"/>
        <s v="flavio VIERCOLES"/>
        <s v="COCO Salta 420"/>
        <s v="Dealer del OESTE NQN Franco"/>
        <s v="CHARLY DISTRI"/>
        <s v="BIG FACU COSTA ATLANTICA"/>
        <s v="Planto Luego existo"/>
        <s v="High up OMG"/>
        <s v="Facu LP"/>
        <s v="Astro GRow LA PLATA"/>
        <s v="MARSHAL LEAN"/>
        <s v="Jamrock"/>
        <s v="El club de la alegría "/>
        <s v="Agus HONNEY"/>
        <s v="Guille UY"/>
        <s v="Nahu La Comarca"/>
        <s v="Kanario"/>
        <s v="Ale ONG Cordoba"/>
        <s v="Jona Pura Vibra Chivilicoy"/>
        <s v="Brian Quilmes"/>
        <s v="Alan"/>
        <s v="Guille Naesa"/>
        <s v="Polaco"/>
        <s v="Facu Pisando"/>
        <s v="Old Farmers"/>
        <s v="Tuki Grow"/>
        <s v="The Pot Club"/>
        <s v="Iguana MDQ"/>
        <s v="Cannabis Social Club"/>
        <s v="Manuja Glass"/>
        <s v="Dedo de Momia"/>
        <s v="Rasta Ñato"/>
        <s v="Vaporever"/>
        <s v="Santi"/>
        <s v="cliente merlo"/>
        <s v="Lean TEGRIDAD"/>
        <s v="Las brujas"/>
        <s v="Pato Grow"/>
        <s v="Alto Vuelo"/>
        <s v="Maldita Tangie"/>
        <s v="Lucas Dedo de momia"/>
        <s v="ONG corrientes cultiva"/>
        <s v="Brasilero"/>
        <s v="Canal de hidroponia"/>
        <s v="Pedro"/>
        <s v="jonny"/>
        <s v="las  brujas"/>
        <s v="jony ong"/>
        <s v="Ale ONG"/>
        <s v="Franco Neuquen"/>
        <s v="LT Grow"/>
        <s v="Lucky710"/>
        <s v="Conex Distribuidora"/>
        <s v="Dealer del Oeste"/>
        <s v="Coco Salta"/>
        <s v="CABBY ONG ROSARIO"/>
        <s v="blas Maldita tangie"/>
        <s v="Velaaa"/>
      </sharedItems>
    </cacheField>
    <cacheField name="Inversion inicial" numFmtId="0">
      <sharedItems>
        <s v="1 x Peak - Canyon, 1 x Hot knife Negro"/>
        <s v="2 x Pivot - Onyx, 2 x Pivot Pine, 1 x Proxy - Haze, 1 x Peak - Canyon, 1 x Peak Pro 3DXL - Pearl, 1 x Peak Pro 3DXL Chamber - Black, 1 x Pivot 3D Chamber 2-Pack - Onyx"/>
        <s v="5 x Pivot Pine, 6 x Pivot - Onyx, 2 x Peak - Pine, 1 x Peak - Canyon, 1 x Peak - Onyx, 2 x Peak Pro 3DXL - Onyx, 1 x Peak Pro 3DXL - Pearl, 2 x Proxy - Onyx, 2 x Proxy - Haze, 3 x Peak Pro 3DXL Chamber - Black, 3 x Peak 3D Chamber - Onyx, 7 x Adaptador Pe"/>
        <s v="1 x Peak Pro 3DXL - Pearl, 1 x Hot knife Pearl"/>
        <s v="2 x Adaptador Peak Pro Link, 1 x Proxy - Haze"/>
        <s v="1 x Peak Pro 3DXL - Onyx, 1 x Peak - Canyon, 1 x Proxy - Haze, 1 x Proxy - Onyx, 2 x Peak Pro 3DXL Chamber - Black, 2 x Adaptador Peak Pro Link, 1 x Peak Pro 3DXL - Pearl"/>
        <s v="5 x Pivot Pine, 5 x Pivot - Onyx, 4 x Pivot Glass Adapter with 3D Chamber - Onyx, 5 x Hot knife Pearl, 5 x Hot knife Negro, 3 x Peak - Pine, 2 x Peak - Canyon, 2 x Peak - Onyx, 4 x Peak 3D Chamber - Onyx, 2 x Proxy - Onyx, 2 x Proxy - Haze, 2 x Proxy 3D C"/>
        <s v="1 x Pivot Pine, 1 x Pivot - Onyx, 1 x Pivot 3D Chamber 2-Pack - Onyx, 1 x Pivot Glass Adapter with 3D Chamber - Onyx, 1 x Hot knife Negro, 1 x Hot knife Pearl, 1 x Peak - Canyon, 1 x Peak - Pine, 1 x Proxy - Haze, 2 x Proxy - Onyx, 1 x Peak Pro 3DXL - Pea"/>
        <s v="2 x Pivot Pine, 2 x Pivot - Onyx, 2 x Pivot 3D Chamber 2-Pack - Onyx, 1 x Hot knife Negro, 1 x Hot knife Pearl, 2 x Peak - Pine, 1 x Peak - Onyx, 1 x Peak - Canyon, 1 x Peak Pro 3DXL - Onyx, 1 x Peak Pro 3DXL - Pearl, 1 x Proxy - Haze, 2 x Proxy - Onyx, 4"/>
        <s v="30 x Plus Battery - Pearl, 2 x Proxy - Onyx, 4 x Proxy 3D Chamber - Onyx, 2 x Peak Pro 3DXL - Pearl, 1 x Proxy - Haze, 2 x Pivot Pine, 2 x Hot knife Negro, 2 x Hot knife Pearl, 3 x Peak - Onyx, 1 x Peak - Canyon, 1 x Peak - Pine"/>
        <s v="2 x Peak Pro 3DXL Chamber  clasico"/>
        <s v="1 x Peak - Canyon"/>
        <s v="1 x Peak Pro 3DXL - Onyx, 1 x Peak Pro 3DXL - Pearl"/>
        <s v="2 x Pivot - Onyx, 1 x Pivot Pine, 1 x Peak - Onyx, 3 x Peak Atomizer, 1 x Proxy - Onyx, 1 x Proxy - Haze, 1 x Peak Pro 3DXL Chamber - Black"/>
        <s v="1 x Peak Pro 3D Chamber"/>
        <s v="2 x Pivot Pine, 1 x Pivot - Onyx, 1 x Hot knife Negro"/>
        <s v="2 x Peak Pro 3D Chamber"/>
        <s v="1 x Peak Pro 3DXL - Pearl, 1 x Pivot Pine, 1 x Pivot - Onyx, 2 x Proxy - Onyx, 2 x Proxy - Haze, 1 x Peak 3D Chamber - Onyx, 2 x Peak Pro Glass 2.0, 3 x Peak Pro 3DXL Chamber - Black, 1 x Hot knife Negro"/>
        <s v="1 x Pivot Pine, 1 x Peak - Pine, 1 x Peak Pro Glass 2.0"/>
        <s v="1 x Pivot - Onyx"/>
        <s v="3 x Proxy - Onyx, 2 x Pivot 3D Chamber 2-Pack - Onyx"/>
        <s v="1 x Pivot Pine"/>
        <s v="1 x Peak Pro Glass 2.0"/>
        <s v="1 x Peak - Pine, 2 x GLOB MOPS CLASICO"/>
        <s v="DEUDA ANTERIOR"/>
        <s v="1 x Pivot Pine, 1 x Pivot 3D Chamber 2-Pack - Onyx, 1 x Peak Pro 3DXL Chamber  clasico, 1 x Hot knife Pearl"/>
        <s v="2 x PAPEL REYNOLS, 5 x GLOB MOPS CLASICO, 1 x Peak - Pine, 1 x Proxy - Haze, 1 x PUFFCO TRAVEL CASE ROJO, 1 x Joystick cap Peak New, 1 x Hot knife Negro, 1 x Hot knife Pearl"/>
        <s v="1 x Adaptador Peak Pro Link"/>
        <s v="6 x Adaptador Peak Pro Link"/>
        <s v="1 x Proxy - Haze, 1 x Proxy - Onyx, 1 x Pivot - Onyx, 3 x Peak - Onyx, 1 x Peak - Canyon, 6 x Peak Pro 3DXL Chamber - Black"/>
        <s v="5 x Adaptador Peak Pro Link, 3 x MALLAS PARA BUBBLE HASH 20 LITROS PACK x 8 unidades"/>
        <s v="15 x ROSIN BAGS PACK X 25 UNIDADES ( 6 CM X 11 CM) MICRAJE 25"/>
        <s v="1 x Pivot - Onyx, 2 x Pivot Pine, 1 x Hot knife Pearl, 1 x Hot knife Negro, 1 x Peak - Canyon, 1 x Proxy - Onyx, 1 x Peak Pro 3DXL - Onyx, 1 x Peak Pro 3DXL Chamber - Black, 2 x Adaptador Peak Pro Link, 1 x ROSIN BAGS PACK X 20 UNIDADES ( 5CM X 10 CM) MIC"/>
        <s v="1 x Pivot Pine, 2 x Pivot - Onyx, 1 x Adaptador Peak Pro Link"/>
        <s v="2 x Pivot - Onyx, 2 x Pivot Pine, 2 x Hot knife Negro, 1 x Peak - Pine, 1 x Peak - Onyx, 1 x Peak Pro 3DXL - Onyx"/>
        <s v="1 x Peak Pro 3D Chamber, 1 x Peak Pro Glass 2.0, 1 x Pivot Mouthpiece 2-Pack , 1 x GLOB MOPS CLASICO"/>
        <s v="2 x Proxy Bub - Haze, 1 x Proxy Bub - Onyx, 1 x Pivot Pine, 1 x Hot knife Pearl"/>
        <s v="2 x Plus Battery - Pearl, 4 x Plus Supercharger"/>
        <s v="3 x GLOB MOPS CLASICO, 2 x Clear Bucket Bangers - Standard 90-10mm, 2 x Terp Blender Bangers - Full Weld 90-10mm, 2 x Terp Blender Bangers - Full Weld 90-14mm, 2 x MJ Arsenal Puffco Pivot Tops - Sidecar - Clear, 1 x MJ Arsenal Puffco Pivot Tops - Egg- Cle"/>
        <s v="1 x Pivot Tops Display - V1 (18)"/>
        <s v="4 x ROSIN BAGS PACK X 25 UNIDADES ( 6 CM X 11 CM) MICRAJE 25, 1 x Pivot Pine, 1 x Pivot - Onyx, 3 x Hot knife Negro, 1 x Hot knife Pearl, 2 x Proxy - Onyx, 2 x Proxy wizard - marron, 1 x Bloopcycler Dab Rig - Clear, 1 x Ghost Smoke, 1 x Ghost - Lavender, "/>
        <s v="1 x Proxy 3D Chamber - Onyx"/>
        <s v="1 x Ursa Mini Dab Rig - Clear, 1 x Royale Mini Dab Rig - Iridescent, 1 x Apollo Mini Dab Rig - Iridescent, 1 x Apollo Mini Dab Rig - Clear, 1 x Titan Mini Dab Rig - Clear, 1 x MJ Arsenal Puffco Peak Tops - Quadra, 1 x 8.5&quot; Swiss Incycler - Iridescent, 1 x"/>
        <s v="4 x Peak Pro 3DXL - Onyx, 2 x Peak Pro 3DXL - Pearl, 1 x Peak Pro 3DXL Chamber - Black, 2 x Peak Pro 3DXL Chamber  clasico, 3 x Hot knife Negro, 2 x Pivot - Onyx, 1 x Adaptador Peak Pro Link, 6 x Pivot Tops Display - V1 (18)"/>
        <s v="1 x Peak - Pine, 1 x Peak - Canyon, 1 x Hot knife Negro, 1 x Hot knife Pearl, 1 x Pivot Pine, 1 x Pivot - Onyx"/>
        <s v="1 x Pig - Milky Pink (Clear Base), 2 x Pivot - Onyx, 2 x Pivot Pine, 1 x Proxy 3D Chamber - Onyx, 1 x Proxy - Onyx, 1 x Proxy - Haze, 1 x Pivot 3D Chamber 2-Pack - Onyx"/>
        <s v="1 x Spinner 3 - Green"/>
        <s v="1 x Peak Pro 3DXL - Pearl, 1 x Teddy Peak Top Teddy Peak Top, 1 x Apollo Mini Dab Rig - Iridescent, 1 x Atlas Mini Dab Rig - Iridescent, 1 x Mini Jig Mini Dab Rig Iridescent, 1 x MJ Arsenal Puffco Pivot Tops - Sidecar - Clear, 1 x Peak Pro 3DXL Chamber - "/>
        <s v="1 x Proxy - Haze, 1 x Teddy Peak Top Teddy Peak Top, 1 x MJ Arsenal Puffco Peak Tops - Quadra, 1 x Love Bug Pivot Top - Love Bug Pivot Top, 1 x Joystick cap Peak New"/>
        <s v="1 x Peak Pro 3DXL - Onyx, 1 x Proxy - Haze, 1 x Proxy Bub - Haze, 1 x Peak - Canyon, 1 x Peak - Onyx, 1 x Hot knife Pearl, 1 x Pivot Pine"/>
        <s v="1 x Pivot - Onyx, 1 x Peak - Onyx, 1 x Hot knife Negro"/>
        <s v="20 x 20 GAL ZB, 50 x Pressing Screen (5 pack), 4 x 20-8 ALL MESH, 30 x 5 Gallon Zipper Bag, 30 x 5 GAL 8 B10 BAG KIT (ALL MESH)"/>
        <s v="1 x Proxy - Onyx, 1 x Peak Pro 3DXL Chamber - Black, 1 x PUFFCO TRAVEL CASE ROJO, 2 x Iso Wipes × 400"/>
        <s v="5 x Iso Wipes × 400"/>
        <s v="1 x Peak Pro 3DXL - Onyx, 2 x Peak Pro 3DXL - Pearl, 2 x Proxy - Haze, 1 x Peak - Canyon, 1 x Peak - Pine, 3 x Adaptador Peak Pro Link, 2 x Pivot Pine, 2 x Pivot - Onyx, 2 x Peak Pro 3DXL Chamber  clasico, 3 x Peak Pro 3DXL Chamber - Black, 2 x Hot knife "/>
        <s v="1 x Pivot Pine, 1 x Pivot - Onyx, 1 x Adaptador Peak Pro Link, 1 x Atlas Mini Dab Rig - Iridescent, 1 x Peak - Pine, 1 x Peak - Onyx, 2 x Terp Blender Bangers - Full Weld 90-14mm, 1 x Terp Blender Bangers - Full Weld 90-10mm, 1 x Clear Bucket Bangers - St"/>
        <s v="1 x Apollo Mini Dab Rig - Clear, 1 x Apollo Mini Dab Rig - Pink, 1 x Titan Mini Dab Rig - Clear, 1 x 8.5&quot; Swiss Incycler - Iridescent, 1 x Atlas Mini Dab Rig - Clear, 1 x Teddy Peak Top Teddy Peak Top, 1 x MJ Arsenal Puffco Peak Tops - Quadra, 2 x MJ Arse"/>
        <s v="1 x Pivot Pine, 1 x Pivot - Onyx, 1 x Peak - Canyon, 1 x Peak - Pine, 1 x Proxy - Haze, 1 x Peak Pro 3DXL Chamber  clasico, 2 x Peak Pro 3DXL Chamber - Black, 1 x Coil Caddy Kit with Terp Slurper Set × 1&#10;Black / 10mm, 1 x Coil Caddy with 40mm Heater Coil "/>
        <s v="1 x Proxy - Haze"/>
        <s v="1 x Peak Atomizer, 1 x Peak 3D Chamber - Onyx"/>
        <s v="6 x Adaptador Peak Pro Link, 2 x Pivot 3D Chamber 2-Pack - Onyx, 2 x MJ Arsenal Puffco Pivot Tops - Egg- Clear, 2 x MJ Arsenal Puffco Pivot Tops - Sidecar - Clear, 1 x Mushroom - Green (Green Base), 1 x Mushroom Light Yellow (Green Base), 1 x Mushroom 2 M"/>
        <s v="2 x Proxy Core, 2 x Proxy Core silicona , 2 x Pivot Mouthpiece 2-Pack pine, 2 x Pivot Mouthpiece 2-Pack moca, 1 x Proxy Bub - Haze, 1 x Proxy Bub - Onyx, 2 x Plus Supercharger, 4 x Chamber Plus - Pearl, 1 x Peak Pro TRAVEL GLASS, 1 x Peak Pro Glass 2.0, 1"/>
        <s v="20 x Iso Wipes × 400"/>
        <s v="2 x Peak Pro 3DXL - Pearl, 2 x Peak Pro 3DXL - Onyx, 6 x Proxy 3D Chamber - Onyx, 6 x Peak 3D Chamber - Onyx, 6 x Proxy Core, 6 x Proxy Core silicona , 10 x Hot knife NEW NEGRO, 1 x Proxy Bub - Onyx"/>
        <s v="1 x Peak Pro 3DXL - Onyx, 1 x Peak Pro 3DXL - Pearl, 1 x MJ Arsenal Puffco Pivot Tops - Sidecar - Clear, 3 x Hot knife NEW NEGRO, 3 x Hot knife NEW PEARL, 2 x Proxy Core, 2 x Proxy Core silicona , 2 x Peak 3D Chamber - Onyx, 1 x Peak Pro 3DXL Chamber - Bl"/>
        <s v="1 x Peak Pro 3DXL - Onyx, 1 x Peak - Canyon, 2 x Proxy Core, 2 x Proxy Core silicona , 2 x Hot knife NEW NEGRO, 2 x Hot knife NEW PEARL"/>
        <s v="1 x Peak Pro 3DXL - Pearl, 1 x Adaptador Peak Pro Link, 1 x Peak - Pine, 1 x Peak - Canyon, 1 x Peak - Onyx, 2 x Hot knife NEW NEGRO, 2 x Hot knife NEW PEARL, 1 x Proxy - Haze, 2 x Proxy Core, 2 x Proxy Core silicona , 2 x Pivot 3D Chamber 2-Pack - Onyx, "/>
        <s v="3 x Proxy Core, 3 x Proxy Core silicona , 2 x Hot knife NEW NEGRO, 2 x Hot knife NEW PEARL"/>
        <s v="4 x Pivot Pine, 4 x Pivot - Onyx, 2 x Peak - Onyx, 2 x Pivot Glass Adapter with 3D Chamber - Onyx, 1 x PUFFCO TRAVEL CASE ROJO, 1 x PUFFCO TRAVEL CASE PLATEADO, 2 x Proxy Core, 2 x Proxy Core silicona , 2 x Hot knife NEW NEGRO, 2 x Hot knife NEW PEARL"/>
        <s v="1 x Peak Pro 3DXL - Onyx, 1 x Peak Pro 3DXL - Pearl, 5 x Proxy Core, 2 x Proxy Core silicona , 4 x Hot knife NEW NEGRO, 4 x Hot knife NEW PEARL, 1 x Peak Pro 3DXL Chamber  clasico, 1 x Peak Pro 3DXL Chamber - Black"/>
        <s v="2 x Proxy Core, 2 x Proxy Core silicona , 2 x Hot knife NEW NEGRO, 2 x Hot knife NEW PEARL"/>
        <s v="1 x Peak Pro 3DXL - Onyx, 2 x Peak Pro 3DXL - Pearl, 2 x Hot knife NEW NEGRO, 2 x Hot knife NEW PEARL, 3 x Proxy Core, 3 x Proxy Core silicona , 1 x Peak - Pine, 2 x Peak - Onyx, 2 x Pivot Pine, 2 x Peak 3D Chamber - Onyx"/>
        <s v="3 x Proxy 3D Chamber - Onyx"/>
        <s v="1 x Hot knife NEW NEGRO"/>
        <s v="1 x Peak Pro 3DXL - Onyx, 1 x Hot knife NEW PEARL, 2 x Iso Wipes × 400"/>
        <s v="1 x Coil Caddy Kit with Terp Slurper Set × 1&#10;Black / 14mm, 1 x Coil Caddy Kit with Terp Slurper Set × 1&#10;Green / 10mm, 2 x Hot knife NEW PEARL, 2 x Hot knife NEW NEGRO, 2 x Proxy Core, 2 x Proxy Core silicona , 10 x Iso Wipes × 400"/>
        <s v="2 x Pivot Pine, 2 x Pivot - Onyx"/>
        <s v="1 x Proxy Core"/>
        <s v="1 x Peak - Canyon, 1 x Peak - Onyx"/>
        <s v="5 x Hot knife NEW NEGRO, 5 x Hot knife NEW PEARL, 1 x Peak - Canyon, 1 x Peak - Pine, 2 x Peak - Onyx, 2 x Proxy Core, 2 x Pivot Pine, 2 x Pivot - Onyx"/>
        <s v="2 x Proxy Core"/>
        <s v="2 x Pivot - Onyx, 1 x Quartz deep dish (REPUESTO cazuela de cuarzo para banger híbrido x 2 u), 1 x Proxy 3D Chamber - Onyx"/>
        <s v="1 x ROSIN BAGS PACK X 20 UNIDADES ( 5CM X 10 CM) MICRAJE 25, 1 x PAPEL REYNOLS"/>
        <s v="1 x Peak Pro 3DXL - Onyx, 2 x Pivot - Onyx, 2 x ROSIN BAGS PACK X 20 UNIDADES ( 5CM X 10 CM) MICRAJE 25, 1 x PAPEL REYNOLS"/>
        <s v="2 x Peak Pro 3DXL Chamber - Black, 2 x Hot knife NEW NEGRO, 2 x Hot knife NEW PEARL, 2 x Proxy Core silicona "/>
        <s v="1 x Teddy Peak Top Teddy Peak Top"/>
        <s v="1 x Pivot Pine, 1 x Pivot - Onyx"/>
        <s v="1 x Peak Pro 3DXL - Onyx, 2 x Proxy Core, 2 x Hot knife NEW PEARL, 1 x Hot knife NEW NEGRO, 1 x Adaptador Peak Pro Link, 4 x ROSIN BAGS PACK X 20 UNIDADES ( 5CM X 10 CM) MICRAJE 25, 1 x ROSIN BAGS PACK X 25 UNIDADES ( 6 CM X 11 CM) MICRAJE 25, 1 x Teddy P"/>
        <s v="2 x Hot knife NEW NEGRO, 2 x Hot knife NEW PEARL, 1 x BigFun! Puffco Pivot Tops - Drei, 2 x Proxy Core silicona , 2 x Proxy Core"/>
        <s v="1 x MJ Arsenal Puffco Peak Tops - Halo, 1 x MJ Arsenal Puffco Peak Tops - Tempest, 1 x MJ Arsenal Puffco Peak Tops - Fabcycler, 1 x Pivot Tops Display - V1 (18), 1 x Pivot Tops Display - V2 (18), 1 x BigFun! Puffco Pivot Tops - Drei, 1 x MJ Arsenal Puffco"/>
        <s v="1 x Peak Pro 3DXL - Onyx, 1 x Peak Pro 3DXL - Pearl, 1 x Pivot Pine, 1 x PUFFCO TRAVEL CASE PLATEADO, 1 x Pivot Tops Display - V1 (18), 1 x Pivot Tops Display - V2 (18), 1 x BigFun! Puffco Pivot Tops - LIL' X, 1 x MJ Arsenal Puffco Pivot Tops - Gourdy (Li"/>
        <s v="2 x Peak Pro 3DXL - Onyx, 2 x Peak Pro 3DXL - Pearl, 1 x Teddy Peak Top Teddy Peak Top, 1 x Proxy Core silicona , 2 x Hot knife NEW NEGRO, 1 x MJ Arsenal Puffco Peak Tops - Quadra, 4 x Terp Blender Bangers Gold - Full Weld 90-10mm, 1 x Turbine Mini Dab Ri"/>
        <s v="5 x Proxy - Haze, 5 x Proxy - Onyx, 2 x Hot knife NEW NEGRO, 2 x Hot knife NEW PEARL, 2 x Royale Mini Dab Rig - Iridescent, 2 x MJ Arsenal Puffco Peak Tops - Tempest, 1 x MJ Arsenal Puffco Peak Tops Lasso Clear, 2 x MJ Arsenal Puffco Pivot Tops - Gourdy ("/>
        <s v="1 x BigFun! Puffco Pivot Tops - LIL' X, 7 x Pivot Tops Display - V1 (18)"/>
        <s v="2 x Pivot Pine, 2 x Pivot - Onyx, 2 x Hot knife NEW NEGRO, 2 x Hot knife NEW PEARL, 1 x Pivot Glass Adapter with 3D Chamber - Onyx, 2 x PAPEL REYNOLS, 1 x Stabwood Dab Tool - Blue, 1 x Stabwood Dab Tool-Green, 1 x Stabwood Dab Tool - Red, 1 x Bloopcycler "/>
        <s v="2 x Iso Wipes × 400"/>
        <s v="2 x Pivot Pine"/>
        <s v="1 x Peak Pro 3DXL - Onyx, 2 x Iso Wipes × 400"/>
        <s v="1 x Peak Pro 3DXL - Pearl, 3 x ROSIN BAGS PACK X 20 UNIDADES ( 5CM X 10 CM) MICRAJE 25"/>
        <s v="1 x Hot knife NEW PEARL"/>
        <s v="1 x Proxy Bub - Haze, 1 x Proxy 3D Chamber - Onyx"/>
        <s v="2 x Peak Pro 3DXL - Onyx, 1 x Proxy - Haze, 1 x Proxy - Onyx, 2 x Pivot Pine, 2 x Pivot - Onyx"/>
        <s v="2 x Pivot - Onyx"/>
        <s v="1 x Peak Pro 3DXL - Pearl, 1 x Peak Pro 3DXL - Onyx, 1 x Proxy - Onyx, 1 x Hot knife NEW NEGRO, 1 x Hot knife NEW PEARL, 1 x Pivot - Onyx, 1 x Peak - Onyx"/>
        <s v="1 x Peak Pro 3DXL - Onyx, 1 x Proxy - Onyx, 1 x Pivot - Onyx, 1 x Proxy 3D Chamber - Onyx, 1 x MJ Arsenal Proxy Bubblers - Proxy Mini Bubbler, 2 x Hot knife NEW NEGRO, 2 x Hot knife NEW PEARL, 1 x Stabwood Dab Tool - Blue, 1 x Stabwood Dab Tool-Green, 1 x"/>
        <s v="1 x Hot knife NEW NEGRO, 1 x Hot knife NEW PEARL, 1 x Pivot Pine, 1 x Pivot - Onyx, 1 x Bloopcycler Dab Rig - Clear, 2 x Proxy - Onyx, 1 x Proxy - Haze, 1 x Peak Pro TRAVEL GLASS"/>
        <s v="2 x Pivot Pine, 2 x Pivot - Onyx, 3 x Pivot 3D Chamber 2-Pack - Onyx, 6 x Proxy 3D Chamber - Onyx"/>
        <s v="1 x Proxy - Haze, 1 x Proxy - Onyx, 1 x Peak - Canyon, 1 x Peak 3D Chamber - Onyx, 2 x ROSIN BAGS PACK X 20 UNIDADES ( 5CM X 10 CM) MICRAJE 25, 1 x Infinity Mini Dab Rig - Clear, 2 x MJ Excalibur Excalibur"/>
        <s v="2 x Pivot - Onyx, 1 x Pivot Pine, 1 x PUFFCO TRAVEL CASE ROJO"/>
        <s v="1 x Peak Pro 3DXL - Onyx, 1 x Adaptador Peak Pro Link, 2 x ROSIN BAGS PACK X 20 UNIDADES ( 5CM X 10 CM) MICRAJE 25, 2 x PAPEL REYNOLS"/>
        <s v="1 x Hot knife NEW PEARL, 6 x Proxy Core, 1 x Coil Caddy Kit with Terp Slurper Set × 1&#10;Green / 10mm"/>
        <s v="6 x Proxy Core, 1 x Proxy Core silicona , 2 x ROSIN BAGS PACK X 20 UNIDADES ( 5CM X 10 CM) MICRAJE 25, 2 x Peak - Pine, 2 x PAPEL REYNOLS"/>
        <s v="2 x Pivot - Onyx, 1 x Peak - Pine, 1 x Peak - Canyon, 1 x Peak - Onyx, 2 x Chamber Plus - Pearl, 2 x Plus Supercharger, 1 x Peak Pro 3DXL Chamber - Black"/>
        <s v="1 x Peak - Onyx, 2 x Proxy - Haze, 1 x Peak Pro TRAVEL GLASS, 2 x Pivot - Onyx"/>
        <s v="1 x Peak - Pine, 1 x Peak Pro Glass 2.0, 1 x Peak Pro TRAVEL GLASS, 1 x Peak Pro 3DXL Chamber - Black, 1 x MJ Arsenal Puffco Peak Tops - Quadra, 1 x The Plasma Core Rig - Clear, 1 x MJ Arsenal Proxy Bubblers - Proxy Mini Bubbler, 1 x Proxy Core"/>
        <s v="2 x Cubo para lavar 6&quot; 220 micras, 5 x ROSIN BAGS PACK X 25 UNIDADES ( 3,8 CM X 10 CM) MICRAJE VARIOS, 5 x ROSIN BAGS PACK X 20 UNIDADES ( 5CM X 10 CM) MICRAJE 25, 1 x PAPEL REYNOLS"/>
        <s v="1 x Atlas Mini Dab Rig - Clear, 1 x Infinity Mini Dab Rig - Clear, 1 x Spinner 3 - Blue, 1 x Terp Blender Bangers Gold - Full Weld 90-10mm, 1 x Hot knife NEW NEGRO"/>
        <s v="2 x Peak Pro TRAVEL GLASS, 1 x Pivot Glass Adapter with 3D Chamber - Onyx, 2 x Peak Pro 3DXL Chamber - Black, 2 x Proxy Core silicona , 2 x Hot knife NEW NEGRO, 2 x Hot knife NEW PEARL, 10 x ROSIN BAGS PACK X 20 UNIDADES ( 5CM X 10 CM) MICRAJE 25, 2 x Pro"/>
        <s v="1 x Proxy Core, 1 x Pivot - Onyx, 1 x Pivot Pine, 1 x Hot knife NEW NEGRO, 1 x Hot knife NEW PEARL, 1 x BigFun! Puffco Pivot Tops - LIL' Frosty"/>
        <s v="1 x BigFun! Puffco Pivot Tops - LIL' Frosty"/>
        <s v="2 x Terp Slurper Bangers Gold - Full Weld 90-14mm, 2 x Terp Blender Bangers Gold - Full Weld 90-10mm, 4 x Proxy Core, 1 x Proxy Bub Wizard - Haze, 1 x Proxy Bub - Haze, 2 x Proxy Core silicona , 1 x Peak Pro TRAVEL GLASS, 1 x Pivot Pine, 2 x Hot knife NEW"/>
        <s v="4 x Proxy Core, 2 x Pivot - Onyx, 2 x Pivot Pine"/>
        <s v="2 x Proxy - Haze, 2 x Proxy - Onyx, 2 x Peak Pro 3DXL Chamber - Black, 2 x Peak Pro 3DXL Chamber  clasico, 1 x PUFFCO TRAVEL CASE ROJO, 1 x PUFFCO TRAVEL CASE PLATEADO, 5 x Hot knife NEW PEARL, 5 x Hot knife NEW NEGRO, 1 x MJ Arsenal Puffco Pivot Tops - G"/>
        <s v="10 x ROSIN BAGS PACK X 20UNIDADES ( 6 CM X 11 CM) 90 micras"/>
        <s v="1 x Proxy - Haze, 1 x Pivot Pine"/>
        <s v="1 x Peak - Canyon, 3 x Pivot Pine, 2 x Hot knife NEW NEGRO, 1 x Hot knife NEW PEARL, 1 x Proxy 3D Chamber - Onyx"/>
        <s v="1 x Proxy Core silicona , 1 x Proxy - Haze, 1 x Proxy - Onyx, 1 x Proxy Bub - Haze, 1 x Proxy Bub - Onyx, 1 x Proxy Bub Wizard - Haze, 1 x Proxy Bub Wizard - Onyx, 1 x Peak - Pine, 1 x Adaptador Peak Pro Link, 1 x Bloopcycler Dab Rig - Clear"/>
        <s v="2 x Proxy Core, 1 x Proxy - Haze, 1 x Proxy - Onyx, 1 x Proxy Bub - Onyx, 2 x Proxy Core silicona , 2 x Proxy 3D Chamber - Onyx, 2 x Peak 3D Chamber - Onyx, 1 x Peak Pro 3D Chamber, 1 x Peak Pro 3DXL - Onyx, 2 x Hot knife NEW NEGRO"/>
        <s v="1 x Adaptador Peak Pro Link, 1 x Peak Pro 3DXL - Pearl, 4 x Proxy Core, 2 x Hot knife NEW NEGRO, 2 x Hot knife NEW PEARL"/>
        <s v="4 x Pivot Tops Display - V2 (18), 7 x Pivot Tops Display - V1 (18), 1 x BigFun! Puffco Pivot Tops - LIL' Frosty, 1 x BigFun! Puffco Pivot Tops - Drei, 900 x Frascos 3gr , 800 x Frascos 5gr"/>
        <s v="1 x Peak Pro 3DXL - Pearl, 1 x Proxy - Haze, 2 x Hot knife NEW PEARL"/>
        <s v="3 x Peak - Onyx, 2 x Peak Pro 3DXL - Pearl, 1 x Proxy - Haze, 1 x Proxy - Onyx, 1 x Ursa Mini Dab Rig - Clear, 1 x Terp Blender Bangers Gold - Full Weld 90-10mm, 2250 x Frascos 3gr "/>
        <s v="2 x Proxy Core, 2 x Proxy Core silicona , 1 x Proxy - Haze, 1 x Proxy - Onyx, 1 x PUFFCO TRAVEL CASE ROJO, 1 x PUFFCO TRAVEL CASE PLATEADO, 2 x Peak Pro 3DXL Chamber  clasico, 1 x Peak Pro 3DXL Chamber - Black, 4 x Iso Wipes × 400, 1 x Peak Pro 3DXL - Pea"/>
        <s v="2 x Peak Pro 3DXL - Pearl, 2 x Iso Wipes × 400, 1 x Royale Mini Dab Rig - Iridescent, 4 x Peak Pro 3DXL Chamber - Black, 2 x Peak Pro 3DXL Chamber  clasico, 4 x Proxy - Haze, 1 x Proxy - Onyx, 2 x Pivot - Onyx, 2 x Pivot Pine, 18 x Plus Battery - Pearl, 4"/>
        <s v="1 x Peak Pro 3DXL - Onyx, 1 x Peak Pro 3DXL - Pearl, 2 x Hot knife NEW NEGRO, 2 x Hot knife NEW PEARL"/>
        <s v="1 x Peak Pro 3DXL - Onyx, 1 x Proxy - Onyx, 1 x Hot knife NEW NEGRO, 1 x Hot knife NEW PEARL, 2 x Pivot 3D Chamber 2-Pack - Onyx"/>
        <s v="2 x Peak Pro 3DXL - Pearl, 1 x Proxy - Onyx, 2 x Proxy Core silicona , 1 x Proxy Bub Wizard - Onyx"/>
        <s v="1 x ROSIN BAGS PACK X 20UNIDADES ( 6 CM X 11 CM) 90 micras, 1 x MJ Arsenal Puffco Pivot Tops - Sidecar - Clear"/>
        <s v="1 x Proxy - Onyx, 1 x Peak - Pine, 1 x Peak - Canyon, 1 x Proxy Core silicona , 1 x Peak Pro 3DXL Chamber  clasico, 1 x Peak Pro 3D Chamber, 1 x Peak 3D Chamber - Onyx"/>
        <s v="1 x Proxy - Onyx, 2 x Hot knife NEW NEGRO, 2 x Hot knife NEW PEARL, 2 x Proxy Core silicona , 100 x Frascos 3gr , 101 x Frascos 5gr"/>
        <s v="1 x Complete MiniNail Kit w/ Quartz Banger × 1&#10;Purple / Flat Tip Dabber and Carb Cap, 3 x Peak - Canyon, 3 x Peak - Pine, 2 x Terp Blender Bangers Gold - Full Weld 90-14mm, 4 x Iso Wipes × 400, 6 x Proxy Core silicona HAZE, 4 x Pivot - Onyx, 1 x Apollo Mi"/>
        <s v="1 x MJ Arsenal Puffco Pivot Tops - Egg- Clear, 4 x Pivot - Onyx, 4 x Hot knife NEW NEGRO, 2 x Peak 3D Chamber - Onyx, 1 x Proxy Bub - Onyx, 1 x Proxy Bub - Haze"/>
        <s v="1 x Peak - Pine, 1 x Peak - Canyon, 1 x Hot knife NEW NEGRO, 1 x Pivot 3D Chamber 2-Pack - Onyx, 1 x Adaptador Peak Pro Link"/>
        <s v="1 x Hot knife NEW NEGRO, 1 x Hot knife NEW PEARL, 1 x Peak - Canyon, 2 x PAPEL REYNOLS, 2 x SLAD PAD CHICO (12 CM X 15 CM), 1 x SLAD PAD GRANDE (28 CM X 32 CM), 2 x ROSIN BAGS PACK X 20 UNIDADES ( 5CM X 10 CM) MICRAJE 25, 1 x Proxy Core, 1 x Proxy Core si"/>
        <s v="1 x Hot knife NEW NEGRO, 1 x ROSIN BAGS PACK X 20 UNIDADES ( 5CM X 10 CM) MICRAJE 25, 1 x Peak Pro 3D Chamber"/>
        <s v="1 x Peak Pro 3DXL - Onyx, 1 x Peak Pro 3DXL Chamber - Black, 1 x Complete MiniNail Kit w/ Quartz Banger × 1&#10;Orange / Flat Tip Dabber and Carb Cap, 2 x Clear Bucket Bangers Gold - Full Weld Large 90-10mm"/>
        <s v="1 x Proxy Core, 1 x Hot knife NEW NEGRO"/>
        <s v="1 x Peak Pro 3DXL Chamber  clasico, 1 x Peak Pro 3DXL Chamber - Black"/>
        <s v="1 x Peak Pro 3DXL - Onyx, 1 x Hot knife NEW NEGRO"/>
        <s v="1 x Peak Pro 3DXL - Onyx, 2 x Peak Pro 3DXL - Pearl, 14 x Proxy Core, 2 x Proxy - Haze, 3 x PAPEL REYNOLS, 3 x Pivot Pine, 3 x Pivot - Onyx, 10 x Pivot - Storm, 6 x Peak - Amarillo, 6 x Peak - Storm, 3 x Proxy Core silicona HAZE, 1 x Proxy Core silicona O"/>
        <s v="3 x Pivot - Storm, 2 x Pivot - Onyx, 1 x Pivot Mouthpiece 2-Pack pine, 1 x Proxy - Haze, 1 x Proxy Core silicona HAZE, 2 x Proxy Core, 1 x Peak Pro 3DXL - Pearl, 1 x Peak - Amarillo, 1 x Peak - Storm, 1 x Peak - Onyx, 3 x The Dock - Black, 1 x Peak Pro TR"/>
        <s v="1 x Apollo Mini Dab Rig - Pink, 1 x Time Turner Mini Dab Rig Clear, 1 x Jammer Mini Dab Rig - Clear, 1 x Atlas Mini Dab Rig - Iridescent, 1 x Ursa Mini Dab Rig - Clear, 1 x Mini Jig Mini Dab Rig Iridescent, 1 x Royale Mini Dab Rig - Clear, 1 x Gemini Mini"/>
        <s v="2 x PUFFCO TRAVEL CASE STORM, 1 x PUFFCO TRAVEL CASE ROJO, 1 x PUFFCO TRAVEL CASE PLATEADO, 3 x Pivot - Storm, 1 x Peak - Amarillo, 1 x Peak - Storm, 1 x Peak - Onyx, 2 x Peak 3D Chamber - Onyx, 1 x Proxy - Haze, 3 x Proxy Core, 3 x Proxy Core silicona HA"/>
        <s v="1 x PUFFCO TRAVEL CASE STORM, 1 x Pivot - Storm, 1 x Peak - Amarillo, 1 x Peak - Storm, 1 x Proxy Core"/>
        <s v="1 x Pivot 3D Chamber 2-Pack - Onyx"/>
        <s v="1 x Chamber Plus - Pearl, 2 x Peak 3D Chamber - Onyx, 1 x Peak - Amarillo, 1 x Peak - Storm, 1 x Pivot - Storm"/>
        <s v="1 x Peak - Amarillo, 1 x Peak - Storm, 4 x Hot knife NEW NEGRO, 3 x Hot knife NEW PEARL, 2 x Proxy Core, 1 x Proxy - Haze, 1 x Peak Pro 3DXL Chamber - Black, 2 x Peak Pro 3DXL - Pearl, 1 x PUFFCO TRAVEL CASE ROJO"/>
        <s v="2 x Pivot - Storm, 2 x Pivot - Onyx, 1 x Peak - Amarillo, 1 x Peak - Storm, 1 x Peak - Canyon, 1 x Proxy - Haze, 1 x Peak Pro 3DXL Chamber - Black, 1 x Peak Pro 3DXL - Pearl, 9 x ROSIN BAGS PACK X 20 UNIDADES ( 5CM X 10 CM) MICRAJE 25, 1 x ROSIN BAGS PACK"/>
        <s v="2 x PUFFCO TRAVEL CASE ROJO, 2 x PUFFCO TRAVEL CASE PLATEADO, 6 x PUFFCO TRAVEL CASE STORM, 1 x Proxy - Onyx, 3 x Proxy - Haze"/>
        <s v="3 x Peak Pro 3DXL - Pearl, 25 x Frascos 3gr , 3 x ROSIN BAGS PACK X 25 UNIDADES ( 3,8 CM X 10 CM) MICRAJE VARIOS"/>
        <s v="1 x Peak - Onyx, 1 x Pivot - Storm, 3 x Peak Pro 3DXL Chamber - Black, 1 x Peak 3D Chamber - Onyx"/>
        <s v="4 x Proxy Core, 1 x Peak Pro 3DXL - Pearl, 2 x Proxy 3D Chamber - Onyx"/>
        <s v="1 x Peak Pro 3DXL - Pearl, 1 x Pivot - Storm, 2 x Pivot - Onyx, 1 x Peak - Storm, 1 x Peak - Amarillo, 1 x Atlas Mini Dab Rig - Iridescent, 2 x Chamber Plus - Pearl"/>
        <s v="2 x Peak - Amarillo, 2 x Peak - Storm, 4 x Pivot - Storm, 2 x PUFFCO TRAVEL CASE STORM, 1 x MALLAS PARA BUBBLE HASH 20 LITROS PACK x 8 unidades, 4 x ROSIN BAGS PACK X 25 UNIDADES ( 3,8 CM X 10 CM) MICRAJE VARIOS"/>
        <s v="1 x Peak Pro 3DXL - Pearl, 1 x Peak - Amarillo, 1 x Peak - Storm, 4 x Pivot - Storm"/>
        <s v="3 x Bloopcycler Dab Rig - Clear, 2 x Time Turner Mini Dab Rig Clear, 3 x Sidewinder Bangers - Full Weld 90 - 10mm, 2 x MJ Arsenal Puffco Pivot Tops - Sidecar - Clear, 4 x MJ Arsenal Plateau Pivot Top - Clear, 1 x Peak - Amarillo, 1 x Peak - Storm, 2 x MJ "/>
        <s v="1 x Proxy Bud RIPPLE , 1 x Proxy Bud RYAN FIT , 1 x Hot knife NEW NEGRO, 1 x Hot knife NEW PEARL"/>
        <s v="1 x BigFun! Puffco Peak Tops - Big Frosty muñeco nieve, 1 x MJ Arsenal Plateau Peak Top - Clear, 2 x Peak Pro Glass 2.0, 1 x MJ Arsenal Proxy Bubblers - Proxy Mini Bubbler, 1 x Cubo para lavar 6&quot; 220 micras, 2 x Terp Blender Bangers Gold - Full Weld 90-10"/>
        <s v="3 x Pivot - Storm, 1 x PUFFCO TRAVEL CASE PLATEADO, 1 x Proxy Core, 3 x TERP BALL 3mm x 3 unidades"/>
        <s v="1 x Peak - Amarillo, 1 x Plus Supercharger"/>
        <s v="1 x Pivot - Onyx, 2 x Pivot - Storm"/>
        <s v="1 x Pivot - Storm, 1 x Pivot - Onyx, 1 x Hot knife NEW NEGRO, 1 x PUFFCO TRAVEL CASE PLATEADO"/>
        <s v="3 x Pivot - Onyx, 3 x Pivot - Storm, 1 x Proxy Bub - Haze, 1 x Peak Pro 3DXL Chamber - Black, 2 x Peak - Amarillo, 2 x Peak - Storm, 1 x Peak Atomizer, 1 x Peak 3D Chamber - Onyx, 1 x Hot knife NEW NEGRO, 3 x Hot knife NEW PEARL, 1 x Apollo Mini Dab Rig -"/>
        <s v="3 x Hot knife NEW NEGRO, 1 x Hot knife NEW PEARL"/>
        <s v="1 x Peak Pro 3DXL - Pearl, 1 x Pivot - Storm"/>
        <s v="1 x Turret Mini Dab Rig - Clear, 1 x Peak Pro 3DXL - Onyx"/>
        <s v="2 x Pivot - Onyx, 50 x Frascos 3gr "/>
        <s v="1 x Peak - Onyx"/>
        <s v="2 x ROSIN BAGS PACK X 25 UNIDADES ( 3,8 CM X 10 CM) MICRAJE VARIOS, 1 x MALLAS PARA BUBBLE HASH 20 LITROS PACK x 8 unidades, 1 x Cubo para lavar 6&quot; 220 micras"/>
        <s v="1 x Pivot - Storm, 1 x Pivot - Onyx"/>
        <s v="1 x Peak - Storm"/>
        <s v="1 x BigFun! Puffco Pivot Tops - Drei, 1 x BigFun! Puffco Pivot Tops - LIL' X, 1 x Bubble Pivot Top - Iridescent, 4 x Pivot Tops Display - V2 (18), 1 x MJ Arsenal Puffco Pivot Tops - Sidecar - Clear, 2 x MJ Arsenal Plateau Pivot Top - Clear, 1 x Bubble Pea"/>
        <s v="1 x Proxy Core, 1 x Proxy - Haze"/>
        <s v="1 x Pivot - Storm, 1 x Pivot - Onyx, 2 x Proxy - Haze, 1 x Peak - Onyx"/>
        <s v="4 x Pivot - Storm, 4 x Pivot - Onyx, 2 x Peak - Amarillo, 2 x Peak - Storm, 4 x Proxy - Haze, 4 x Hot knife NEW NEGRO, 2 x Hot knife NEW PEARL, 1 x Peak Pro 3D Chamber, 1 x Peak Pro 3DXL Chamber  clasico, 6 x Peak 3D Chamber - Onyx, 6 x Proxy 3D Chamber -"/>
        <s v="6 x Pivot 3D Chamber 2-Pack - Onyx, 1 x Proxy Bub Wizard - Haze, 1 x Proxy Bub Wizard - Onyx, 2 x Proxy Bub - Onyx, 2 x Proxy Bub - Haze, 2 x Pivot Glass Adapter with 3D Chamber - Onyx"/>
        <s v="2 x Pivot - Storm, 1 x Pivot - Onyx"/>
        <s v="2 x Peak - Onyx, 2 x Pivot - Storm, 2 x Pivot - Onyx, 2 x Hot knife NEW NEGRO, 2 x Hot knife NEW PEARL"/>
        <s v="2 x Adaptador Peak Pro Link, 2 x Pivot - Storm, 2 x Peak - Amarillo, 2 x Peak - Storm, 6 x Peak 3D Chamber - Onyx, 2 x Pivot 3D Chamber 2-Pack - Onyx, 6 x Iso Wipes × 400"/>
        <s v="1 x Pivot Glass Adapter with 3D Chamber - Onyx, 5 x Wooden Dab Tools - Stabwood - Assorted, 1 x Peak Pro 3DXL Joystick Caps - Eclipse, 1 x Peak Pro 3DXL Joystick Caps - Firestone Red, 1 x Peak Pro 3DXL Joystick Caps - Orange, 1 x Peak Pro 3DXL Joystick Ca"/>
        <s v="4 x Peak Pro 3DXL - Indiglow 2,0, 5 x Hot Knife NEW INDIGLOW, 2 x Hot knife NEW NEGRO, 1 x MJ Arsenal Puffco Pivot Tops - Sidecar - Clear, 1 x MJ Arsenal Puffco Pivot Tops - Egg- Clear, 2 x The Dock - Black, 1 x Pivot Mouthpiece 2-Pack pine, 2 x Pivot Mou"/>
        <s v="11 x Peak Pro 3DXL - Indiglow 2,0, 6 x Proxy - Haze, 4 x Pivot - Storm, 4 x Pivot - Onyx, 2 x Pivot Tops Display - V2 (18), 6 x Pivot Tops Display - V1 (18), 3 x BigFun! Puffco Pivot Tops - Drei, 3 x BigFun! Puffco Pivot Tops - LIL' Frosty, 3 x BigFun! Pu"/>
        <s v="2 x Hot Knife NEW PLASMA, 4 x Peak Pro 3DXL - PLASMA, 1 x MJ Arsenal Plateau Peak Top - Clear, 2 x The Dock - Black, 1 x Bubble Bangers - Full Weld 90-14mm, 1 x Bubble Bangers - Full Weld 90-10mm, 1 x Space Fleet Peak Top - Space Fleet, 7 x ROSIN BAGS PAC"/>
        <s v="1 x Quartz Ebanger 14 mm Macho"/>
        <s v="1 x Ramen Cup Peak Top Ramen Cup, 1 x Gummy Bear Peak Top Gummy Bear"/>
        <s v="25 x Peak Pro 3DXL - PLASMA, 27 x Hot Knife NEW PLASMA, 6 x Peak Pro 3DXL Chamber - PLASMA, 4 x Empire Glassworks Puffco Peak Tops - Save the Seas, 2 x Empire Glassworks Puffco Peak Tops - Save the Bees, 1 x Trippy Shroom Peak Top - Trippy Shroom, 1 x Gum"/>
        <s v="1 x Triad Mini Dab Rig - Clear, 1 x Proxy Core silicona HAZE, 1 x Peak - Amarillo, 2 x Pivot - Storm, 1 x Pivot - Onyx, 1 x PUFFCO TRAVEL CASE STORM, 2 x Proxy - Haze, 1 x Adaptador Peak Pro Link"/>
        <s v="6 x Proxy 3D Chamber - Onyx"/>
        <s v="1 x MJ Arsenal Puffco Pivot Tops - Sidecar - Clear, 1 x Peak Pro 3DXL Chamber  clasico, 1 x MJ Arsenal Puffco Peak Tops - Fabcycler"/>
        <s v="6 x Hot Knife NEW PLASMA, 2 x Pivot - Storm, 2 x Pivot - Onyx, 5 x Proxy - Haze, 1 x MJ Arsenal Puffco Pivot Tops - Sidecar - Clear, 1 x MJ Arsenal Plateau Peak Top - Clear, 1 x Peak Pro 3DXL Chamber  clasico, 1 x Tricolor Peak Tops - Canopy, 1 x Tricolor"/>
        <s v="5 x Peak - Storm, 2 x Hot knife NEW NEGRO, 3 x Hot knife NEW PEARL"/>
        <s v="1 x Peak Pro 3DXL - PLASMA, 1 x Hot Knife NEW PLASMA"/>
        <s v="1 x Wishball Peak Top - Wishball, 1 x Chinese Takeout Peak Top Chinese Takeout, 1 x UFO Vortex Peak Top - UFO Vortex, 1 x Lucky Cat Peak Top - Lucky Cat, 1 x PUFFCO TRAVEL CASE ROJO, 1 x PUFFCO TRAVEL CASE PLATEADO, 2 x Hot knife NEW PEARL, 2 x Hot knife "/>
        <s v="1 x RAW Door Mats Black - Lit, 1 x RAW Door Mats Black Floor - Large, 1 x RAW Door Mats Black Floor - Small"/>
        <s v="1 x Peak Pro TRAVEL GLASS, 1 x Proxy Core silicona HAZE, 1 x Proxy - Haze, 1 x Pivot - Storm, 1 x Pivot - Onyx, 1 x Lightbowlb Peak Top - White, 1 x Bowlman Lantern Peak Top - Bowlman, 1 x 8&quot; Recycler 1A - Clear / Purple"/>
        <s v="6 x Pivot - Storm, 12 x Pivot - Onyx, 5 x Peak Pro 3DXL - PLASMA, 4 x Hot knife NEW NEGRO, 1 x PUFFCO TRAVEL CASE STORM, 1 x Peak - Amarillo, 2 x Peak - Onyx, 1 x Peak - Storm, 1 x Bloopcycler Dab Rig - Clear, 1 x Big Buddy Solid - Black, 1 x Big Buddy Tu"/>
        <s v="1 x RAW Door Mats Black - Lit"/>
        <s v="200 x Frascos 3gr "/>
        <s v="2 x Peak Pro 3DXL - PLASMA"/>
        <s v="10 x Peak Pro 3DXL - PLASMA, 1 x Trippy Shroom Peak Top - Trippy Shroom, 1 x Lucky Cat Peak Top - Lucky Cat, 1 x That 70s Peak Top That 70s, 1 x Popcorn Peak Top - Popcorn, 1 x RIPNDIP x Hemper Peak Attachment - High Nermal, 2 x High Jinx Cartoon Peak Top"/>
        <s v="1 x MJ Arsenal Proxy Bubblers - Proxy Mini Bubbler, 1 x Peak Pro 3DXL Chamber  clasico"/>
        <s v="4 x Pivot - Storm, 1 x Pivot - Onyx, 1 x Wishball Peak Top - Wishball, 1 x Chinese Takeout Peak Top Chinese Takeout, 3 x Pivot Tops Display - V1 (18), 2 x PUFFCO TRAVEL CASE ROJO, 2 x PUFFCO TRAVEL CASE STORM, 1 x PUFFCO TRAVEL CASE PLATEADO, 2 x MJ Arsen"/>
        <s v="5 x Peak Pro 3DXL - PLASMA, 6 x Hot Knife NEW PLASMA"/>
        <s v="3 x Peak Pro 3DXL - PLASMA, 1 x MJ Arsenal Puffco Peak Tops - Quadra, 1 x MJ Arsenal Fabcycler Peak Top - Fabcycler"/>
        <s v="6 x Peak Pro 3DXL - PLASMA, 6 x Hot Knife NEW PLASMA, 1 x Peak - Storm, 1 x Peak - Onyx, 1 x Hot knife NEW PEARL, 1 x Hot knife NEW NEGRO, 3 x Peak Pro 3DXL Chamber  clasico, 1 x PUFFCO TRAVEL CASE ROJO, 1 x PUFFCO TRAVEL CASE STORM"/>
        <s v="8 x Peak Pro 3DXL - PLASMA, 8 x Proxy Core, 12 x Hot Knife NEW PLASMA, 6 x Proxy 3D Chamber - Onyx, 1 x Dia De Los Muertos Peak Top - Dia De Los Muertos, 1 x Adaptador Peak Pro Link, 2 x Big Shot Torch GT 8000 - Olive - Glow, 3 x Big Shot Torch GT 8000 - "/>
        <s v="12 x Peak Pro 3DXL Chamber - PLASMA"/>
        <s v="12 x Peak Pro 3DXL Chamber - PLASMA, 3 x Peak Pro 3DXL - PLASMA, 16 x Hot Knife NEW PLASMA, 1 x Peak Pro TRAVEL GLASS SHADOW, 1 x Dia De Los Muertos Peak Top - Dia De Los Muertos, 2 x Ramen Cup Peak Top Ramen Cup, 3 x Proxy - Haze, 2 x Proxy Core, 2 x Pro"/>
        <s v="2 x Pivot - Onyx, 2 x Pivot - Storm, 1 x Pivot Glass Adapter with 3D Chamber - Onyx, 1 x PUFFCO TRAVEL CASE PLATEADO, 1 x MJ Arsenal Puffco Pivot Tops - Egg- Clear, 2 x Pivot Tops Display - V1 (18), 3 x Proxy - Haze, 2 x Proxy Core, 1 x Proxy Bub - Onyx, "/>
        <s v="1 x Chinese Takeout Peak Top Chinese Takeout"/>
        <s v="4 x Proxy Core, 12 x Hot Knife NEW PLASMA, 2 x Peak Pro 3DXL Chamber - PLASMA, 1 x Proxy Core silicona ONIX, 1 x Proxy Core silicona HAZE"/>
        <s v="1 x Peak Pro 3DXL - PLASMA"/>
        <s v="5 x Peak Pro 3DXL - PLASMA, 2 x Hot Knife NEW PLASMA, 3 x Hot knife NEW PEARL, 4 x Hot knife NEW NEGRO, 2 x Peak - Storm, 2 x Peak - Onyx"/>
        <s v="1 x Proxy Core, 1 x Proxy - Haze, 2 x Peak - Amarillo, 2 x Peak - Storm, 1 x PUFFCO TRAVEL CASE STORM, 2 x Peak Pro 3DXL Chamber - PLASMA, 2 x Hot knife NEW PEARL"/>
        <s v="1 x Peak Pro 3DXL - PLASMA, 1 x Proxy Core, 1 x Proxy - Haze, 1 x Peak - Amarillo, 2 x Pivot - Onyx, 2 x Pivot - Storm, 2 x Iso Wipes × 400, 5 x Hot knife NEW PEARL"/>
        <s v="4 x Hot knife NEW PEARL, 1 x Proxy - Haze, 2 x Peak Pro 3DXL - PLASMA"/>
        <s v="1 x Pivot Glass Adapter with 3D Chamber - Onyx, 2 x Pivot - Storm, 3 x Pivot - Onyx, 1 x Peak - Onyx, 1 x Peak - Storm, 3 x Proxy - Haze, 1 x Proxy Core silicona HAZE, 1 x Wishball Peak Top - Wishball, 1 x Tricolor Pivot Tops - Canopy, 3 x Hot knife NEW P"/>
        <s v="1 x Proxy Core, 1 x Hot knife NEW PEARL"/>
        <s v="5 x Peak Pro 3DXL - PLASMA, 5 x Proxy - Haze, 2 x Peak Pro 3DXL Chamber - PLASMA, 1 x Peak - Amarillo, 1 x Peak - Storm, 1 x Peak - Onyx, 1 x MJ Arsenal Puffco Peak Tops - Fabcycler, 1 x Tricolor Pivot Tops - Canopy, 2 x Lightbowlb Pivot Top - White, 1 x "/>
        <s v="1 x Proxy Core, 2 x Hot knife NEW NEGRO, 1 x Hot knife NEW PEARL, 1 x Pivot - Onyx, 2 x Pivot Tops Display - V1 (18), 1 x Trippy Shroom Peak Top - Trippy Shroom"/>
        <s v="1 x A1 - FORMULA 420 PYREX-GLASS-METAL-CERAMIC    Al 12oz 24ct, 1 x Formula 710 Instant Cleaner     C2_12oz_24ct, 1 x Formula 710 Advanced Cleaner    C 1_16oz_20ct"/>
        <s v="1 x Proxy Core silicona ONIX, 1 x Proxy Core silicona HAZE, 1 x Proxy Bub - Onyx, 4 x ROSIN BAGS PACK X 20 UNIDADES ( 5CM X 10 CM) MICRAJE 25, 1 x Pivot - Storm, 1 x Pivot - Onyx"/>
        <s v="2 x Pivot - Storm, 2 x Pivot - Onyx, 2 x Hot knife NEW PEARL"/>
        <s v="1 x Tricolor Peak Tops - Canopy, 1 x Peak 3D Chamber - Onyx, 1 x Peak Pro 3DXL - PLASMA, 1 x Peak - Amarillo, 1 x UFO Vortex Peak Top - UFO Vortex, 1 x MJ Arsenal Puffco Peak Tops - Fabcycler, 6 x ROSIN BAGS PACK X 20UNIDADES ( 6 CM X 11 CM) 90 micras, 6 "/>
        <s v="1 x Proxy Core, 2 x Pivot - Onyx, 1 x Pivot - Storm, 1 x Gummy Bear Peak Top Gummy Bear, 1 x Ducky Peak Top - Ducky, 1 x High Jinx Cartoon Peak Top - High Jinx, 1 x UFO Vortex Peak Top - UFO Vortex, 1 x That 70s Peak Top That 70s, 1 x 8&quot; Recycler 1A - Smo"/>
        <s v="2 x Pivot Tops Display - V2 (18)"/>
        <s v="3 x Peak Pro 3DXL - Onyx, 3 x Peak Pro 3DXL - Pearl, 6 x Pivot 3D Chamber 2-Pack - Onyx, 3 x Pivot - Storm, 3 x Pivot - Onyx"/>
        <s v="4 x Peak Pro 3DXL - PLASMA, 8 x Peak Pro 3DXL - Onyx, 9 x Peak Pro 3DXL - Pearl, 6 x Peak Pro 3DXL Chamber - PLASMA, 3 x Pivot - Onyx, 2 x Pivot - Storm, 2 x Hot knife NEW PEARL, 2 x Peak Pro TRAVEL GLASS SHADOW, 2 x PUFFCO TRAVEL CASE PLATEADO, 2 x PUFFC"/>
        <s v="10 x Peak Pro 3DXL - PLASMA, 6 x Pivot 3D Chamber 2-Pack - Onyx, 2 x Peak Pro 3DXL Chamber  clasico, 3 x Peak Pro 3DXL Chamber - PLASMA, 1 x MJ Arsenal Puffco Pivot Tops - Sidecar - Clear, 1 x Terp Blender Bangers - Full Weld 90-10mm"/>
        <s v="5 x FORMULA 420 PYREX-GLASS-METAL-CERAMIC    Al 12oz 24ct, 5 x Formula 710 Advanced Cleaner    C 1_16oz_20ct, 5 x Formula 710 Instant Cleaner     C2_12oz_24ct, 1 x Proxy wizard - marron, 2 x Peak - Onyx, 2 x Peak Pro 3DXL Chamber - PLASMA, 2 x Pivot - Ony"/>
        <s v="2 x Peak Pro 3DXL - PLASMA, 2 x Proxy - Haze, 6 x Proxy - Onyx, 3 x Proxy Core, 4 x Pivot - Storm, 4 x Pivot - Onyx, 2 x Peak - Amarillo, 4 x Peak - Storm, 4 x Peak - Onyx, 3 x Peak Pro 3DXL Chamber  clasico, 3 x Peak Pro 3DXL Chamber - PLASMA, 2 x Peak P"/>
        <s v="19 x Peak Pro 3DXL - PLASMA, 2 x Proxy Core, 1 x Proxy Core silicona ONIX, 1 x Proxy - Onyx, 1 x MJ Arsenal Puffco Peak Tops - Fabcycler, 1 x 8&quot; Recycler 1A - Smoke / Yellow, 31 x Frascos 5gr"/>
        <s v="1 x Balloon Dog - Gold XL, 1 x Balloon Dog - Blue, 1 x Alleycat Smoke XL, 1 x Alleycat Smoke, 1 x Gaming Flower - Clear / Green, 1 x Gaming Flower - Clear / Green XL, 2 x Snail XL - Teal / Pink, 1 x Big Buddy Turbo Pink-Stainless, 2 x MJ Arsenal Halo Peak"/>
        <s v="1 x Dia De Los Muertos Peak Top - Dia De Los Muertos, 1 x Trippy Shroom Peak Top - Trippy Shroom"/>
        <s v="1 x Peak - Storm, 1 x Proxy Core silicona ONIX, 1 x Proxy Core silicona HAZE, 1 x MJ Arsenal Proxy Bubblers - Proxy Mini Bubbler, 2 x MJ Arsenal Proxy Attachments - 14mm, 1 x PUFFCO TRAVEL CASE STORM, 1 x PUFFCO TRAVEL CASE PLATEADO, 1 x Milkyway Peak Top"/>
        <s v="2 x Pivot - Onyx, 2 x Pivot - Storm, 2 x Hot Knife NEW PLASMA, 2 x Hot Knife NEW PINE, 1 x Proxy Core PINE, 1 x Proxy Core ONIX, 1 x MJ Arsenal Puffco Pivot Tops - Sidecar - Clear"/>
        <s v="2 x Tricolor Pivot Tops - Sorbet"/>
        <s v="1 x Milkyway Peak Tops - Nectar - Purple, 1 x Milkyway Peak Tops - Cascade - Red, 1 x Milkyway Peak Tops - Nectar - Amber, 1 x Milkyway Peak Tops - Illusion 2 - The Sublime Smoke, 2 x Time Turner Mini Dab Rig Clear, 1 x 8&quot; Recycler 1A - Smoke / Yellow, 1 "/>
        <s v="1 x Peak - Onyx, 1 x Peak - Storm, 1 x Peak - Amarillo, 2 x Peak Pro 3DXL - Onyx, 1 x Proxy - Haze, 1 x Proxy - Onyx, 1 x Proxy Core silicona ONIX, 1 x Proxy Core silicona HAZE, 2 x Proxy Core PINE, 1 x Proxy Core ONIX, 3 x Pivot - Storm, 3 x Pivot - Onyx"/>
        <s v="4 x Proxy Core PINE, 1 x Peak - Storm, 2 x Peak - Onyx, 3 x Pivot - Storm, 4 x Pivot - Onyx, 18 x Hot Knife NEW PLASMA, 12 x Hot Knife NEW PINE, 6 x Hot knife NEW NEGRO, 1 x Titan Mini Dab Rig - Clear, 1 x Time Turner Mini Dab Rig Clear"/>
        <s v="3 x Pivot 3D Chamber 2-Pack - Onyx, 4 x Pivot - Storm, 4 x Pivot - Onyx, 5 x Proxy - Onyx, 3 x Hot Knife NEW PLASMA, 3 x Hot Knife NEW PINE, 1 x Peak Pro 3DXL - Onyx, 1 x Peak - Amarillo, 1 x Peak - Storm, 1 x Peak - Onyx, 2 x Proxy Core PINE, 2 x Peak 3D"/>
        <s v="6 x Proxy Core PINE, 5 x Hot Knife NEW PINE"/>
        <s v="2 x Hot knife NEW PEARL, 2 x Hot knife NEW NEGRO, 2 x Hot Knife NEW PINE"/>
        <s v="1 x Peak Pro 3DXL - Onyx, 1 x Peak Pro 3DXL - Pearl, 1 x Phantom Proxy Water Pipe - Clear, 1 x Milkyway Peak Tops - Cascade - Red, 1 x Pivot - Storm, 1 x Pivot - Onyx, 2 x Hot Knife NEW PINE, 1 x Hot knife NEW PEARL, 2 x Proxy Core PINE, 2 x Proxy 3D Cham"/>
        <s v="2 x RIPNDIP x Hemper Peak Attachment - High Nermal, 2 x Lucky Cat Peak Top - Lucky Cat, 1 x Snail XL - Teal / Pink, 2 x Big Shot Torch GT 8000 - White Purple (Limited Edition), 2 x Big Shot Torch GT 8000 - Black, 1 x Stubby Klein - Jade, 2 x 7&quot; Swiss Rig "/>
        <s v="2 x Peak + Proxy Joystick Caps - Black Nebula, 1 x Peak + Proxy Joystick Caps - Blue Lagoon, 1 x Peak + Proxy Joystick Caps - Glow in the Dark, 1 x Peak + Proxy Joystick Caps - Orange, 1 x Peak + Proxy Joystick Caps - Pink Slyme, 1 x Peak Pro 3DXL Joystic"/>
        <s v="1 x Peak Pro 3DXL - Onyx, 2 x Pivot - Storm, 2 x Pivot - Onyx, 1 x Hot knife NEW NEGRO, 1 x Hot knife NEW PEARL, 1 x Hot Knife NEW PINE, 1 x Peak - Storm, 1 x Peak - Amarillo"/>
        <s v="1 x Peak Pro 3DXL - Onyx, 1 x Proxy Bub - Onyx, 6 x Proxy 3D Chamber - Onyx, 1 x Gummy Bear - Teal, 1 x Proxy Core silicona ONIX, 3 x Hot knife NEW PEARL, 2 x Pivot - Onyx, 2 x Pivot - Storm, 1 x PUFFCO TRAVEL CASE ROJO, 1 x Tall Cylinder Bangers - Full W"/>
        <s v="1 x Proxy Core PINE, 1 x Hot Knife NEW PINE, 1 x Tall Cylinder Bangers - Full Weld 90 - 14mm, 1 x Terp Blender Bangers - Full Weld 90-14mm, 1 x FORMULA 420 PYREX-GLASS-METAL-CERAMIC    Al 12oz 24ct, 1 x Formula 710 Advanced Cleaner    C 1_16oz_20ct, 1 x F"/>
        <s v="2 x Proxy Core ONIX, 1 x Pivot - Onyx"/>
        <s v="2 x Peak Pro 3DXL - Onyx, 2 x Peak Pro 3DXL - Pearl, 4 x Proxy - Haze, 4 x Proxy - Onyx, 2 x Proxy Core PINE, 2 x Proxy Core ONIX, 6 x Pivot - Storm, 10 x Pivot - Onyx, 6 x Peak - Amarillo, 6 x Peak - Storm, 3 x Peak - Onyx, 1 x Peak Pro 3DXL Chamber - PL"/>
        <s v="1 x Peak Pro 3DXL - Onyx, 1 x Peak Pro 3DXL - Pearl, 1 x 10&quot; Mini Gumball Rig Blue Tones, 1 x 8&quot; Recycler 1A - Clear / Green, 1 x 8&quot; Recycler 1A - Clear / Pink, 1 x 8&quot; Recycler 1A - Clear / Purple, 1 x 8&quot; Recycler 1A - Smoke / White, 1 x 8.5&quot; Swiss Incycl"/>
        <s v="1 x Snail XL - Teal / Pink, 1 x Terp Blender Bangers Gold - Full Weld 90-14mm, 1 x Gummy Bear - Teal, 1 x Scare Bears - Teddy Bear - Amber, 1 x Proxy Core PINE, 1 x Pivot - Storm, 1 x Hot knife NEW NEGRO, 1 x Hot knife NEW PEARL, 1 x Hot Knife NEW PINE, 1"/>
        <s v="1 x Peak Pro 3DXL - Onyx, 1 x Proxy - Onyx, 1 x Hot knife NEW NEGRO, 1 x Hot knife NEW PEARL, 1 x Hot Knife NEW PINE, 3 x Cubo para lavar 6&quot; 220 micras, 1 x Peak Pro Glass 2.0, 2 x Proxy 3D Chamber - Onyx, 2 x Proxy Core PINE, 1 x Proxy Core ONIX"/>
        <s v="2 x Proxy Core PINE, 2 x Proxy Core ONIX, 2 x Pivot - Onyx, 2 x Proxy 3D Chamber - Onyx, 9 x ROSIN BAGS PACK X 25 UNIDADES ( 6 CM X 11 CM) MICRAJE 25, 7 x ROSIN BAGS PACK X 20UNIDADES ( 6 CM X 11 CM) 90 micras, 1 x Adaptador Peak Pro Link, 1 x Big Shot To"/>
        <s v="4 x Proxy Core PINE, 2 x Proxy 3D Chamber - Onyx, 1 x Terp Blender Bangers - Full Weld 90-10mm, 1 x Terp Bubble Slurper Bangers - Full Weld 90-10mm, 1 x Terp Blender Bangers Gold - Full Weld 90-14mm, 2 x Terp Pearls 6mm - Purple, 2 x Terp Pearls 6mm - Pin"/>
        <s v="1 x Proxy - Onyx, 1 x Stabwood Dab Tool - Red, 1 x Stabwood Dab Tool-Green, 1 x Stabwood Dab Tool - Blue, 1 x Wooden Dab Tools - Stabwood - Assorted, 1 x MJ Arsenal Puffco Peak Tops - Quadra, 1 x Peak - Storm, 1 x Tricolor Peak Tops - Canopy"/>
        <s v="1 x Peak Pro 3DXL - Onyx, 3 x Peak Pro 3DXL - Pearl, 1 x 8&quot; Recycler 1A - Clear / Lake Blue, 1 x 7&quot; Swiss Rig - Lavender, 1 x 5&quot; Recycler 1A - Clear with Pink Accent, 1 x 8.5&quot; Swiss Incycler - Iridescent, 1 x Infinity Mini Dab Rig - Clear, 1 x Mini Jig Mi"/>
        <s v="1 x Proxy Core ONIX"/>
        <s v="2 x Pivot - Onyx, 1 x Peak - Storm, 2 x Hot knife NEW NEGRO, 2 x Hot knife NEW PEARL, 2 x Hot Knife NEW PINE"/>
        <s v="1 x 5&quot; Recycler 1A Clear with Green Accent, 1 x 5&quot; Recycler 1A - Clear with Light Blue Accent, 1 x 5&quot; Recycler 1A - Clear with Purple Accent, 1 x 8&quot; Recycler 1A - Clear / Pink, 1 x 10&quot; Mini Gumball Rig - Pink, 1 x 10&quot; Mini Gumball Rig Blue Tones, 2 x ROSI"/>
        <s v="1 x Proxy Bub - Haze"/>
        <s v="6 x Dab Rite GO"/>
        <s v="3 x Dab Rite GO"/>
        <s v="1 x Milkyway Peak Tops - Illusion 2 - The Sublime Smoke"/>
      </sharedItems>
    </cacheField>
    <cacheField name="PEDIDO" numFmtId="165">
      <sharedItems containsSemiMixedTypes="0" containsString="0" containsNumber="1">
        <n v="240.0"/>
        <n v="1315.0"/>
        <n v="5185.0"/>
        <n v="400.0"/>
        <n v="440.0"/>
        <n v="1690.0"/>
        <n v="6534.0"/>
        <n v="2085.0"/>
        <n v="3258.0"/>
        <n v="3868.0"/>
        <n v="160.0"/>
        <n v="190.0"/>
        <n v="700.0"/>
        <n v="1084.0"/>
        <n v="70.0"/>
        <n v="380.0"/>
        <n v="140.0"/>
        <n v="1855.0"/>
        <n v="375.0"/>
        <n v="110.0"/>
        <n v="710.0"/>
        <n v="75.0"/>
        <n v="214.0"/>
        <n v="154.0"/>
        <n v="295.0"/>
        <n v="680.0"/>
        <n v="120.0"/>
        <n v="720.0"/>
        <n v="1750.0"/>
        <n v="725.0"/>
        <n v="1410.0"/>
        <n v="300.0"/>
        <n v="1507.0"/>
        <n v="450.0"/>
        <n v="1270.0"/>
        <n v="172.0"/>
        <n v="430.0"/>
        <n v="102.0"/>
        <n v="4257.0"/>
        <n v="30.0"/>
        <n v="1309.0"/>
        <n v="37.0"/>
        <n v="628.0"/>
        <n v="3010.0"/>
        <n v="944.0"/>
        <n v="12.0"/>
        <n v="1240.0"/>
        <n v="386.0"/>
        <n v="1180.0"/>
        <n v="350.0"/>
        <n v="5940.0"/>
        <n v="368.0"/>
        <n v="4334.0"/>
        <n v="890.0"/>
        <n v="1041.0"/>
        <n v="1767.0"/>
        <n v="2868.0"/>
        <n v="200.0"/>
        <n v="73.0"/>
        <n v="6048.0"/>
        <n v="2136.0"/>
        <n v="280.0"/>
        <n v="3922.0"/>
        <n v="1858.0"/>
        <n v="1220.0"/>
        <n v="2132.0"/>
        <n v="920.0"/>
        <n v="2180.0"/>
        <n v="2310.0"/>
        <n v="2850.0"/>
        <n v="111.0"/>
        <n v="50.0"/>
        <n v="428.0"/>
        <n v="1480.0"/>
        <n v="2080.0"/>
        <n v="282.0"/>
        <n v="43.0"/>
        <n v="630.0"/>
        <n v="460.0"/>
        <n v="80.0"/>
        <n v="220.0"/>
        <n v="1358.0"/>
        <n v="480.0"/>
        <n v="2114.0"/>
        <n v="1973.0"/>
        <n v="4451.0"/>
        <n v="246.0"/>
        <n v="1040.0"/>
        <n v="28.0"/>
        <n v="378.0"/>
        <n v="401.0"/>
        <n v="127.0"/>
        <n v="1540.0"/>
        <n v="1300.0"/>
        <n v="1007.0"/>
        <n v="1080.0"/>
        <n v="827.0"/>
        <n v="769.0"/>
        <n v="390.0"/>
        <n v="556.0"/>
        <n v="1520.0"/>
        <n v="1656.0"/>
        <n v="916.0"/>
        <n v="895.0"/>
        <n v="808.0"/>
        <n v="241.0"/>
        <n v="182.0"/>
        <n v="1024.0"/>
        <n v="550.0"/>
        <n v="40.0"/>
        <n v="1485.0"/>
        <n v="1200.0"/>
        <n v="2090.0"/>
        <n v="170.0"/>
        <n v="310.0"/>
        <n v="707.0"/>
        <n v="1195.0"/>
        <n v="1654.0"/>
        <n v="1430.0"/>
        <n v="2770.0"/>
        <n v="650.0"/>
        <n v="4670.0"/>
        <n v="2527.0"/>
        <n v="3394.0"/>
        <n v="900.0"/>
        <n v="760.0"/>
        <n v="1090.0"/>
        <n v="57.0"/>
        <n v="825.0"/>
        <n v="781.5"/>
        <n v="2554.0"/>
        <n v="950.0"/>
        <n v="605.0"/>
        <n v="723.0"/>
        <n v="137.0"/>
        <n v="750.0"/>
        <n v="8428.0"/>
        <n v="3001.0"/>
        <n v="2034.0"/>
        <n v="740.0"/>
        <n v="55.0"/>
        <n v="595.0"/>
        <n v="2150.0"/>
        <n v="1809.0"/>
        <n v="1400.0"/>
        <n v="1130.5"/>
        <n v="585.0"/>
        <n v="1184.0"/>
        <n v="1137.0"/>
        <n v="1170.0"/>
        <n v="3838.0"/>
        <n v="340.0"/>
        <n v="910.0"/>
        <n v="610.0"/>
        <n v="194.0"/>
        <n v="330.0"/>
        <n v="1968.0"/>
        <n v="410.0"/>
        <n v="285.0"/>
        <n v="332.0"/>
        <n v="810.0"/>
        <n v="10012.0"/>
        <n v="990.0"/>
        <n v="1020.0"/>
        <n v="1684.0"/>
        <n v="215.8"/>
        <n v="2421.0"/>
        <n v="8709.0"/>
        <n v="2016.0"/>
        <n v="12445.0"/>
        <n v="1225.0"/>
        <n v="222.0"/>
        <n v="195.0"/>
        <n v="3423.0"/>
        <n v="1254.0"/>
        <n v="441.0"/>
        <n v="755.0"/>
        <n v="7585.0"/>
        <n v="184.0"/>
        <n v="260.0"/>
        <n v="6058.0"/>
        <n v="145.0"/>
        <n v="3233.0"/>
        <n v="2050.0"/>
        <n v="1173.0"/>
        <n v="3240.0"/>
        <n v="5986.0"/>
        <n v="960.0"/>
        <n v="5115.0"/>
        <n v="4055.0"/>
        <n v="85.0"/>
        <n v="1620.0"/>
        <n v="2960.0"/>
        <n v="1470.0"/>
        <n v="1648.0"/>
        <n v="1100.0"/>
        <n v="4951.0"/>
        <n v="482.0"/>
        <n v="540.0"/>
        <n v="1001.0"/>
        <n v="1341.0"/>
        <n v="60.0"/>
        <n v="3090.0"/>
        <n v="9130.0"/>
        <n v="4296.0"/>
        <n v="2500.0"/>
        <n v="7122.0"/>
        <n v="7466.5"/>
        <n v="1535.0"/>
        <n v="854.0"/>
        <n v="1060.0"/>
        <n v="10014.0"/>
        <n v="4804.0"/>
        <n v="4010.0"/>
        <n v="3870.0"/>
        <n v="1560.0"/>
        <n v="360.0"/>
        <n v="5714.0"/>
        <n v="3344.0"/>
        <n v="1781.0"/>
        <n v="475.0"/>
        <n v="11058.0"/>
        <n v="3745.0"/>
        <n v="1128.0"/>
        <n v="1659.0"/>
        <n v="2012.0"/>
        <n v="1412.0"/>
        <n v="593.0"/>
        <n v="6580.0"/>
        <n v="210.0"/>
        <n v="815.0"/>
        <n v="1910.0"/>
        <n v="90.0"/>
        <n v="1794.0"/>
        <n v="897.0"/>
      </sharedItems>
    </cacheField>
    <cacheField name="GANANCIA" numFmtId="165">
      <sharedItems containsString="0" containsBlank="1" containsNumber="1">
        <n v="55.97200000000001"/>
        <n v="326.42800000000005"/>
        <n v="1260.0059999999999"/>
        <n v="80.602"/>
        <n v="105.16799999999998"/>
        <n v="387.472"/>
        <n v="1600.578"/>
        <n v="500.678"/>
        <n v="784.9759999999999"/>
        <n v="711.368"/>
        <n v="53.616"/>
        <n v="45.31200000000001"/>
        <n v="139.88400000000001"/>
        <n v="268.38800000000003"/>
        <n v="20.82"/>
        <n v="101.44000000000001"/>
        <n v="41.64"/>
        <n v="440.9"/>
        <n v="92.62600000000002"/>
        <n v="30.260000000000005"/>
        <n v="170.14399999999998"/>
        <n v="17.054000000000002"/>
        <n v="69.31200000000001"/>
        <m/>
        <n v="87.56200000000001"/>
        <n v="257.604"/>
        <n v="30.837999999999994"/>
        <n v="185.02799999999996"/>
        <n v="459.34000000000003"/>
        <n v="291.34999999999997"/>
        <n v="59.61"/>
        <n v="364.304"/>
        <n v="121.61800000000001"/>
        <n v="302.92600000000004"/>
        <n v="53.594"/>
        <n v="112.22999999999999"/>
        <n v="16.776000000000007"/>
        <n v="1251.718"/>
        <n v="13.100000000000001"/>
        <n v="346.63"/>
        <n v="9.012"/>
        <n v="193.42799999999997"/>
        <n v="702.014"/>
        <n v="172.464"/>
        <n v="242.60000000000002"/>
        <n v="5.48"/>
        <n v="391.2460000000001"/>
        <n v="106.49199999999999"/>
        <n v="268.74800000000005"/>
        <n v="86.23200000000001"/>
        <n v="1513.8233081299697"/>
        <n v="137.54089887721995"/>
        <n v="18.102247193049887"/>
        <n v="1157.9036180007686"/>
        <n v="205.38"/>
        <n v="284.25844943860994"/>
        <n v="534.1431910177598"/>
        <n v="805.8681751239973"/>
        <n v="43.49199999999999"/>
        <n v="17.445999999999998"/>
        <n v="1794.9940000000001"/>
        <n v="557.5197199999999"/>
        <n v="72.40898877219955"/>
        <n v="896.3231599999999"/>
        <n v="427.27771999999993"/>
        <n v="279.37572"/>
        <n v="514.33706831583"/>
        <n v="224.86257999999995"/>
        <n v="655.78172"/>
        <n v="530.94406"/>
        <n v="164.12171999999998"/>
        <n v="653.70058"/>
        <n v="27.036"/>
        <n v="10.659999999999997"/>
        <n v="87.84289887721997"/>
        <n v="367.38765263319715"/>
        <n v="121.04000000000002"/>
        <n v="43.560779999999994"/>
        <n v="90.62400000000002"/>
        <n v="496.00955999999996"/>
        <n v="87.12155999999999"/>
        <n v="94.53200000000001"/>
        <n v="9.713999999999999"/>
        <n v="145.15000000000003"/>
        <n v="130.61615999999998"/>
        <n v="17.4"/>
        <n v="60.52000000000001"/>
        <n v="306.46356"/>
        <n v="178.17171999999997"/>
        <n v="191.36799999999997"/>
        <n v="573.6303200000001"/>
        <n v="441.80807999999996"/>
        <n v="1294.1308988772198"/>
        <n v="105.52200000000002"/>
        <n v="293.008"/>
        <n v="7.240898877219955"/>
        <n v="77.18289887721997"/>
        <n v="84.864"/>
        <n v="32.782"/>
        <n v="347.908"/>
        <n v="280.26800000000003"/>
        <n v="227.94599999999997"/>
        <n v="258.28"/>
        <n v="234.61400000000003"/>
        <n v="182.01199999999997"/>
        <n v="150.78000000000003"/>
        <n v="120.208"/>
        <n v="355.5553991235487"/>
        <n v="388.59675999999996"/>
        <n v="237.14400000000003"/>
        <n v="219.87"/>
        <n v="220.73878"/>
        <n v="159.61"/>
        <n v="56.879999999999995"/>
        <n v="294.52216"/>
        <n v="146.64078"/>
        <n v="21.24"/>
        <n v="377.17728"/>
        <n v="295.28312"/>
        <n v="700.7999999999998"/>
        <n v="50.0"/>
        <n v="73.752"/>
        <n v="177.08400000000003"/>
        <n v="294.3040799999999"/>
        <n v="384.89771999999994"/>
        <n v="317.66311999999994"/>
        <n v="1716.99"/>
        <n v="134.754"/>
        <n v="2183.884"/>
        <n v="752.0702368779885"/>
        <n v="532.9568988772199"/>
        <n v="182.524"/>
        <n v="174.422"/>
        <n v="241.50615999999997"/>
        <n v="20.58"/>
        <n v="210.20208"/>
        <n v="301.49215999999996"/>
        <n v="684.4787496849387"/>
        <n v="249.35599999999994"/>
        <n v="151.95600000000002"/>
        <n v="220.98094"/>
        <n v="36.45399999999999"/>
        <n v="181.85447193049882"/>
        <n v="54.22077999999999"/>
        <n v="2017.5052400000002"/>
        <n v="791.6216399999998"/>
        <n v="570.624"/>
        <n v="934.44858"/>
        <n v="224.44478"/>
        <n v="19.834000000000003"/>
        <n v="147.44000000000003"/>
        <n v="522.5495599999999"/>
        <n v="457.9840000000001"/>
        <n v="773.968"/>
        <n v="277.826"/>
        <n v="167.27400000000003"/>
        <n v="262.20912"/>
        <n v="279.6360000000001"/>
        <n v="532.008"/>
        <n v="281.60600000000005"/>
        <n v="1313.7060000000001"/>
        <n v="116.32"/>
        <n v="247.43799999999996"/>
        <n v="209.34078000000002"/>
        <n v="44.25200000000001"/>
        <n v="90.78000000000002"/>
        <n v="131.18"/>
        <n v="522.2020000000001"/>
        <n v="42.639999999999986"/>
        <n v="100.20200000000001"/>
        <n v="90.102"/>
        <n v="100.52000000000001"/>
        <n v="70.8233136364911"/>
        <n v="1647.7560799999997"/>
        <n v="87.05277999999998"/>
        <n v="192.816"/>
        <n v="2232.4820000000004"/>
        <n v="300.58"/>
        <n v="254.30400000000003"/>
        <n v="432.50269663165994"/>
        <n v="73.126"/>
        <n v="546.07016"/>
        <n v="2392.722"/>
        <n v="456.858"/>
        <n v="12.649999999999999"/>
        <n v="64.38"/>
        <n v="2854.2880000000005"/>
        <n v="362.32408"/>
        <n v="54.072"/>
        <n v="67.378"/>
        <n v="1355.1993483158299"/>
        <n v="279.86"/>
        <n v="466.71501000000006"/>
        <n v="40.0275"/>
        <n v="224.67399000000003"/>
        <n v="2196.537960000001"/>
        <n v="17.07932126696832"/>
        <n v="160.0"/>
        <n v="103.55740000000003"/>
        <n v="1500.2948400000005"/>
        <n v="46.808"/>
        <n v="904.3179758371042"/>
        <n v="322.85350000000005"/>
        <n v="247.73610000000005"/>
        <n v="668.0288800000001"/>
        <n v="1133.93262"/>
        <n v="321.696"/>
        <n v="1198.3038999999999"/>
        <n v="869.68975"/>
        <n v="33.41566"/>
        <n v="370.2349199999999"/>
        <n v="51.778700000000015"/>
        <n v="498.13886000000014"/>
        <n v="349.8212700000001"/>
        <n v="320.27626887722"/>
        <n v="179.51638000000003"/>
        <n v="901.9388"/>
        <n v="49.24468999999999"/>
        <n v="1163.5246700000005"/>
        <n v="154.03159"/>
        <n v="33.31898000000001"/>
        <n v="9.93"/>
        <n v="127.75360000000002"/>
        <n v="121.62760000000003"/>
        <n v="246.55225000000004"/>
        <n v="489.49113775443993"/>
        <n v="35.0"/>
        <n v="580.1376000000001"/>
        <n v="1839.8512000000003"/>
        <n v="796.1310000000002"/>
        <n v="922.05891"/>
        <n v="1500.28003"/>
        <n v="1195.7857900000004"/>
        <n v="579.66792"/>
        <n v="322.1562"/>
        <n v="235.69698"/>
        <n v="22.04"/>
        <n v="2363.7291892274807"/>
        <n v="1188.83432"/>
        <n v="848.1470199999999"/>
        <n v="794.23226"/>
        <n v="284.0831400000001"/>
        <n v="80.11800000000005"/>
        <n v="1634.25565726302"/>
        <n v="1075.3504616742082"/>
        <n v="740.81369"/>
        <n v="247.2756300000001"/>
        <n v="416.34716583710417"/>
        <n v="110.65629000000001"/>
        <n v="93.67128000000004"/>
        <n v="1925.21827"/>
        <n v="950.5341699999994"/>
        <n v="296.67297999999994"/>
        <n v="261.9247809094734"/>
        <n v="495.9460199999999"/>
        <n v="302.82176775444003"/>
        <n v="122.62938000000003"/>
        <n v="1420.8993"/>
        <n v="36.219690000000014"/>
        <n v="152.44220000000007"/>
        <n v="1030.59652"/>
        <n v="19.343640000000008"/>
        <n v="377.97600000000006"/>
        <n v="188.98800000000003"/>
        <n v="22.692000000000007"/>
      </sharedItems>
    </cacheField>
    <cacheField name="Ganancia real" numFmtId="165">
      <sharedItems containsString="0" containsBlank="1" containsNumber="1">
        <n v="55.97200000000001"/>
        <n v="326.42800000000005"/>
        <n v="630.0029999999999"/>
        <n v="80.602"/>
        <n v="105.16799999999998"/>
        <n v="387.472"/>
        <n v="800.289"/>
        <n v="500.678"/>
        <n v="784.9759999999999"/>
        <n v="711.368"/>
        <n v="53.616"/>
        <n v="45.31200000000001"/>
        <n v="139.88400000000001"/>
        <n v="268.38800000000003"/>
        <n v="20.82"/>
        <n v="50.720000000000006"/>
        <n v="440.9"/>
        <n v="92.62600000000002"/>
        <n v="30.260000000000005"/>
        <n v="85.07199999999999"/>
        <n v="15.130000000000003"/>
        <n v="8.527000000000001"/>
        <n v="34.656000000000006"/>
        <n v="0.0"/>
        <n v="87.56200000000001"/>
        <n v="128.802"/>
        <n v="30.837999999999994"/>
        <n v="92.51399999999998"/>
        <n v="459.34000000000003"/>
        <m/>
        <n v="291.34999999999997"/>
        <n v="29.805"/>
        <n v="364.304"/>
        <n v="15.418999999999997"/>
        <n v="121.61800000000001"/>
        <n v="302.92600000000004"/>
        <n v="53.594"/>
        <n v="112.22999999999999"/>
        <n v="8.388000000000003"/>
        <n v="1251.718"/>
        <n v="13.100000000000001"/>
        <n v="346.63"/>
        <n v="9.012"/>
        <n v="193.42799999999997"/>
        <n v="702.014"/>
        <n v="172.464"/>
        <n v="121.30000000000001"/>
        <n v="2.74"/>
        <n v="391.2460000000001"/>
        <n v="106.49199999999999"/>
        <n v="268.74800000000005"/>
        <n v="86.23200000000001"/>
        <n v="756.9116540649849"/>
        <n v="137.54089887721995"/>
        <n v="9.051123596524944"/>
        <n v="1157.9036180007686"/>
        <n v="102.69"/>
        <n v="284.25844943860994"/>
        <n v="534.1431910177598"/>
        <n v="805.8681751239973"/>
        <n v="43.49199999999999"/>
        <n v="8.722999999999999"/>
        <n v="897.4970000000001"/>
        <n v="557.5197199999999"/>
        <n v="72.40898877219955"/>
        <n v="448.16157999999996"/>
        <n v="427.27771999999993"/>
        <n v="279.37572"/>
        <n v="514.33706831583"/>
        <n v="224.86257999999995"/>
        <n v="655.78172"/>
        <n v="530.94406"/>
        <n v="164.12171999999998"/>
        <n v="326.85029"/>
        <n v="13.518"/>
        <n v="10.659999999999997"/>
        <n v="17.054000000000002"/>
        <n v="87.84289887721997"/>
        <n v="367.38765263319715"/>
        <n v="121.04000000000002"/>
        <n v="43.560779999999994"/>
        <n v="90.62400000000002"/>
        <n v="248.00477999999998"/>
        <n v="87.12155999999999"/>
        <n v="94.53200000000001"/>
        <n v="9.713999999999999"/>
        <n v="72.57500000000002"/>
        <n v="130.61615999999998"/>
        <n v="17.4"/>
        <n v="60.52000000000001"/>
        <n v="306.46356"/>
        <n v="178.17171999999997"/>
        <n v="191.36799999999997"/>
        <n v="286.81516000000005"/>
        <n v="441.80807999999996"/>
        <n v="1294.1308988772198"/>
        <n v="105.52200000000002"/>
        <n v="293.008"/>
        <n v="7.240898877219955"/>
        <n v="77.18289887721997"/>
        <n v="4.856999999999999"/>
        <n v="42.432"/>
        <n v="5.329999999999998"/>
        <n v="32.782"/>
        <n v="173.954"/>
        <n v="4.506"/>
        <n v="280.26800000000003"/>
        <n v="227.94599999999997"/>
        <n v="258.28"/>
        <n v="117.30700000000002"/>
        <n v="182.01199999999997"/>
        <n v="150.78000000000003"/>
        <n v="60.104"/>
        <n v="355.5553991235487"/>
        <n v="194.29837999999998"/>
        <n v="237.14400000000003"/>
        <n v="219.87"/>
        <n v="220.73878"/>
        <n v="159.61"/>
        <n v="56.879999999999995"/>
        <n v="147.26108"/>
        <n v="146.64078"/>
        <n v="21.24"/>
        <n v="377.17728"/>
        <n v="147.64156"/>
        <n v="350.3999999999999"/>
        <n v="25.0"/>
        <n v="73.752"/>
        <n v="177.08400000000003"/>
        <n v="294.3040799999999"/>
        <n v="384.89771999999994"/>
        <n v="317.66311999999994"/>
        <n v="858.495"/>
        <n v="134.754"/>
        <n v="1091.942"/>
        <n v="752.0702368779885"/>
        <n v="532.9568988772199"/>
        <n v="182.524"/>
        <n v="174.422"/>
        <n v="241.50615999999997"/>
        <n v="10.29"/>
        <n v="210.20208"/>
        <n v="301.49215999999996"/>
        <n v="342.2393748424694"/>
        <n v="124.67799999999997"/>
        <n v="151.95600000000002"/>
        <n v="220.98094"/>
        <n v="36.45399999999999"/>
        <n v="90.92723596524941"/>
        <n v="54.22077999999999"/>
        <n v="1008.7526200000001"/>
        <n v="791.6216399999998"/>
        <n v="285.312"/>
        <n v="934.44858"/>
        <n v="224.44478"/>
        <n v="19.834000000000003"/>
        <n v="147.44000000000003"/>
        <n v="522.5495599999999"/>
        <n v="457.9840000000001"/>
        <n v="386.984"/>
        <n v="138.913"/>
        <n v="167.27400000000003"/>
        <n v="262.20912"/>
        <n v="279.6360000000001"/>
        <n v="532.008"/>
        <n v="281.60600000000005"/>
        <n v="656.8530000000001"/>
        <n v="116.32"/>
        <n v="247.43799999999996"/>
        <n v="104.67039000000001"/>
        <n v="44.25200000000001"/>
        <n v="90.78000000000002"/>
        <n v="131.18"/>
        <n v="261.10100000000006"/>
        <n v="21.319999999999993"/>
        <n v="100.20200000000001"/>
        <n v="90.102"/>
        <n v="50.260000000000005"/>
        <n v="35.41165681824555"/>
        <n v="1647.7560799999997"/>
        <n v="87.05277999999998"/>
        <n v="192.816"/>
        <n v="1116.2410000000002"/>
        <n v="150.29"/>
        <n v="254.30400000000003"/>
        <n v="432.50269663165994"/>
        <n v="73.126"/>
        <n v="273.03508"/>
        <n v="1196.361"/>
        <n v="456.858"/>
        <n v="12.649999999999999"/>
        <n v="64.38"/>
        <n v="2854.2880000000005"/>
        <n v="362.32408"/>
        <n v="54.072"/>
        <n v="67.378"/>
        <n v="1355.1993483158299"/>
        <n v="279.86"/>
        <n v="466.71501000000006"/>
        <n v="40.0275"/>
        <n v="224.67399000000003"/>
        <n v="1098.2689800000005"/>
        <n v="8.53966063348416"/>
        <n v="160.0"/>
        <n v="103.55740000000003"/>
        <n v="1500.2948400000005"/>
        <n v="46.808"/>
        <n v="904.3179758371042"/>
        <n v="322.85350000000005"/>
        <n v="247.73610000000005"/>
        <n v="668.0288800000001"/>
        <n v="566.96631"/>
        <n v="160.848"/>
        <n v="1198.3038999999999"/>
        <n v="434.844875"/>
        <n v="33.41566"/>
        <n v="370.2349199999999"/>
        <n v="51.778700000000015"/>
        <n v="498.13886000000014"/>
        <n v="349.8212700000001"/>
        <n v="320.27626887722"/>
        <n v="179.51638000000003"/>
        <n v="901.9388"/>
        <n v="49.24468999999999"/>
        <n v="1163.5246700000005"/>
        <n v="154.03159"/>
        <n v="33.31898000000001"/>
        <n v="9.93"/>
        <n v="127.75360000000002"/>
        <n v="121.62760000000003"/>
        <n v="246.55225000000004"/>
        <n v="489.49113775443993"/>
        <n v="35.0"/>
        <n v="580.1376000000001"/>
        <n v="1839.8512000000003"/>
        <n v="398.0655000000001"/>
        <n v="461.029455"/>
        <n v="1500.28003"/>
        <n v="1195.7857900000004"/>
        <n v="579.66792"/>
        <n v="322.1562"/>
        <n v="235.69698"/>
        <n v="22.04"/>
        <n v="1181.8645946137403"/>
        <n v="1188.83432"/>
        <n v="848.1470199999999"/>
        <n v="794.23226"/>
        <n v="142.04157000000006"/>
        <n v="80.11800000000005"/>
        <n v="1634.25565726302"/>
        <n v="537.6752308371041"/>
        <n v="740.81369"/>
        <n v="247.2756300000001"/>
        <n v="416.34716583710417"/>
        <n v="110.65629000000001"/>
        <n v="93.67128000000004"/>
        <n v="1925.21827"/>
        <n v="950.5341699999994"/>
        <n v="296.67297999999994"/>
        <n v="261.9247809094734"/>
        <n v="495.9460199999999"/>
        <n v="302.82176775444003"/>
        <n v="122.62938000000003"/>
        <n v="1420.8993"/>
        <n v="36.219690000000014"/>
        <n v="152.44220000000007"/>
        <n v="515.29826"/>
        <n v="19.343640000000008"/>
        <n v="188.98800000000003"/>
        <n v="22.692000000000007"/>
      </sharedItems>
    </cacheField>
    <cacheField name=" " numFmtId="0">
      <sharedItems containsString="0" containsBlank="1">
        <m/>
      </sharedItems>
    </cacheField>
    <cacheField name=" 2">
      <sharedItems containsBlank="1" containsMixedTypes="1" containsNumber="1" containsInteger="1">
        <m/>
        <s v="1,699,815"/>
        <n v="332300.0"/>
        <n v="1223100.0"/>
      </sharedItems>
    </cacheField>
    <cacheField name="PAGO" numFmtId="0">
      <sharedItems containsString="0" containsBlank="1" containsNumber="1" containsInteger="1">
        <n v="240.0"/>
        <n v="1315.0"/>
        <m/>
        <n v="100.0"/>
        <n v="350.0"/>
        <n v="800.0"/>
        <n v="3258.0"/>
        <n v="4384.0"/>
        <n v="1084.0"/>
        <n v="70.0"/>
        <n v="375.0"/>
        <n v="110.0"/>
        <n v="214.0"/>
        <n v="120.0"/>
        <n v="300.0"/>
        <n v="1507.0"/>
        <n v="450.0"/>
        <n v="102.0"/>
        <n v="30.0"/>
        <n v="1309.0"/>
        <n v="37.0"/>
        <n v="700.0"/>
        <n v="1240.0"/>
        <n v="386.0"/>
        <n v="2135.0"/>
        <n v="428.0"/>
        <n v="380.0"/>
        <n v="43.0"/>
        <n v="630.0"/>
      </sharedItems>
    </cacheField>
    <cacheField name="DEBE">
      <sharedItems containsBlank="1" containsMixedTypes="1" containsNumber="1" containsInteger="1">
        <m/>
        <s v="300 dls"/>
        <s v="440 dls"/>
        <n v="6534.0"/>
        <s v="2231 dls"/>
        <s v="-"/>
        <s v="700 dls"/>
        <n v="1855.0"/>
        <n v="295.0"/>
        <n v="1750.0"/>
        <n v="1410.0"/>
        <n v="1270.0"/>
        <n v="172.0"/>
        <n v="430.0"/>
        <n v="4257.0"/>
        <n v="628.0"/>
        <n v="3010.0"/>
        <n v="1180.0"/>
        <s v="debe"/>
        <s v="pago "/>
        <s v="pago"/>
      </sharedItems>
    </cacheField>
    <cacheField name="OBSERVACIONES">
      <sharedItems containsDate="1" containsBlank="1" containsMixedTypes="1">
        <m/>
        <s v="es mas por cosas que tenia yo"/>
        <d v="2026-03-13T00:00:00Z"/>
        <s v="cobrado 26/2/2026 x luke entrego al colo 2-3-26"/>
        <s v="A CUENTA USD 500 EN EFT A LUCAS"/>
        <s v="PAGO EN EFT A LUCAS $960,000 5/3/2026"/>
        <s v="PAGO EN EFT USD A LUCAS  5/3/2026"/>
        <s v="A CUENTA USD 1000 EN EFT A LUCAS"/>
        <s v="pago en eft usd 500 los dos pedidos"/>
        <s v="13-3 $1,467,781 al colo"/>
        <s v="transfirio al COLO 18-3 varios comprobantes"/>
        <s v="paga en EFT a nachito 20-3"/>
        <s v="Transfirio al COLO 26-3 dos comprobantes"/>
        <s v="PAGO EN EFT USD 43 a Lucas 27-3"/>
        <s v="2 transfer al colo"/>
        <s v="PAGO EN EFT USD 1358 a Lucas 30-3"/>
        <s v="PAGA EN EFT viernes santo entrega nachito"/>
        <s v="Transferio al colo "/>
        <s v="AL COLO 27-4"/>
        <s v="transfirio al colo USD 504 (700.000) + 376600 21-4 al colo"/>
        <s v="transfirio al colo $552,000 20/4"/>
        <s v="transfirio 382110 al colo 18-4"/>
        <s v="transfirio 64400 al colo 21-4"/>
        <s v="transfirio al colo 27-4 152900"/>
        <s v="352,200 al colo 4-4 y 565,000 a claudio cortinas oficina 6-5"/>
        <s v="transfer al colo a cuenta 600,000 pesos en breve gira el resto"/>
        <s v="transfer al colo 18/5"/>
        <s v="giro al colo 23-6"/>
        <s v="giro al colo 18/6"/>
        <s v="giro al colo 30/6"/>
        <s v="Eft para puffco 12"/>
        <s v="Eft ver MJ arsenal y vidrios Sixtar 2/7/2026"/>
        <s v="giro al colo 8-7"/>
        <s v="giro al colo 21-7"/>
        <s v="giro al colo 22-7"/>
        <s v="giro al colo 3 transfer"/>
        <s v="nachito lleva al colo 4-8 USD 1650"/>
        <s v="nachito lleva al colo 4-8 USD 240"/>
        <s v="transfer a ruso GER"/>
        <s v="transsfer"/>
        <s v="1-10 eft al colo en MDQ"/>
        <s v="eft luke 29-9"/>
        <s v="transfer colo 30-9"/>
        <s v="eft luke 30/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trol de errores" cacheId="0" dataCaption="" compact="0" compactData="0">
  <location ref="A1:B62" firstHeaderRow="0" firstDataRow="1" firstDataCol="0"/>
  <pivotFields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Clientes" axis="axisRow" compact="0" outline="0" multipleItemSelectionAllowed="1" showAll="0" sortType="ascending">
      <items>
        <item x="15"/>
        <item x="22"/>
        <item x="50"/>
        <item x="19"/>
        <item x="0"/>
        <item x="40"/>
        <item x="11"/>
        <item x="7"/>
        <item x="58"/>
        <item x="44"/>
        <item x="21"/>
        <item x="57"/>
        <item x="45"/>
        <item x="30"/>
        <item x="6"/>
        <item x="36"/>
        <item x="56"/>
        <item x="4"/>
        <item x="54"/>
        <item x="55"/>
        <item x="5"/>
        <item x="32"/>
        <item x="14"/>
        <item x="10"/>
        <item x="25"/>
        <item x="3"/>
        <item x="51"/>
        <item x="23"/>
        <item x="16"/>
        <item x="9"/>
        <item x="29"/>
        <item x="13"/>
        <item x="20"/>
        <item x="47"/>
        <item x="49"/>
        <item x="18"/>
        <item x="48"/>
        <item x="38"/>
        <item x="37"/>
        <item x="1"/>
        <item x="52"/>
        <item x="42"/>
        <item x="53"/>
        <item x="41"/>
        <item x="31"/>
        <item x="12"/>
        <item x="17"/>
        <item x="26"/>
        <item x="43"/>
        <item x="39"/>
        <item x="46"/>
        <item x="8"/>
        <item x="24"/>
        <item x="33"/>
        <item x="35"/>
        <item x="28"/>
        <item x="2"/>
        <item x="27"/>
        <item x="34"/>
        <item x="59"/>
        <item t="default"/>
      </items>
    </pivotField>
    <pivotField name="Inversion in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PEDID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GANA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name="Ganancia re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x="1"/>
        <item x="2"/>
        <item x="3"/>
        <item t="default"/>
      </items>
    </pivotField>
    <pivotField name="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EB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>
    <field x="1"/>
  </rowFields>
  <dataFields>
    <dataField name="SUM of PEDIDO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75"/>
    <col hidden="1" min="3" max="3" width="12.63"/>
    <col hidden="1" min="5" max="5" width="12.63"/>
    <col customWidth="1" min="6" max="6" width="15.88"/>
    <col customWidth="1" min="11" max="11" width="3.25"/>
    <col customWidth="1" min="12" max="12" width="13.38"/>
    <col customWidth="1" min="13" max="13" width="13.63"/>
    <col customWidth="1" min="14" max="14" width="12.25"/>
  </cols>
  <sheetData>
    <row r="1" ht="18.0" customHeight="1">
      <c r="A1" s="1" t="s">
        <v>1</v>
      </c>
      <c r="B1" s="6" t="s">
        <v>8</v>
      </c>
      <c r="C1" s="6" t="s">
        <v>9</v>
      </c>
      <c r="D1" s="6" t="s">
        <v>10</v>
      </c>
      <c r="E1" s="1" t="s">
        <v>12</v>
      </c>
      <c r="F1" s="1" t="s">
        <v>14</v>
      </c>
      <c r="G1" s="1" t="s">
        <v>16</v>
      </c>
      <c r="H1" s="8" t="s">
        <v>18</v>
      </c>
      <c r="I1" s="5"/>
      <c r="J1" s="9" t="s">
        <v>24</v>
      </c>
      <c r="K1" s="11"/>
      <c r="L1" s="7" t="s">
        <v>27</v>
      </c>
      <c r="M1" s="7" t="s">
        <v>28</v>
      </c>
      <c r="N1" s="7" t="s">
        <v>29</v>
      </c>
      <c r="O1" s="13" t="s">
        <v>30</v>
      </c>
    </row>
    <row r="2" ht="18.75" customHeight="1">
      <c r="A2" s="4" t="s">
        <v>31</v>
      </c>
      <c r="B2" s="6">
        <v>380.0</v>
      </c>
      <c r="C2" s="6" t="s">
        <v>32</v>
      </c>
      <c r="D2" s="14">
        <v>0.0</v>
      </c>
      <c r="F2" s="1" t="s">
        <v>34</v>
      </c>
      <c r="G2" s="1" t="s">
        <v>35</v>
      </c>
      <c r="H2" s="15">
        <v>317.43177</v>
      </c>
      <c r="I2" s="5">
        <f t="shared" ref="I2:I44" si="1">(B2/H2)-1</f>
        <v>0.1971076493</v>
      </c>
      <c r="J2" s="17">
        <f t="shared" ref="J2:J44" si="2">(B2-H2)/2</f>
        <v>31.284115</v>
      </c>
      <c r="K2" s="11"/>
      <c r="L2" s="12">
        <f t="shared" ref="L2:L298" si="3">(O2*38)</f>
        <v>30.058</v>
      </c>
      <c r="M2" s="12">
        <f t="shared" ref="M2:M4" si="4">L2+268</f>
        <v>298.058</v>
      </c>
      <c r="N2" s="23">
        <f t="shared" ref="N2:N298" si="5">M2*1.065</f>
        <v>317.43177</v>
      </c>
      <c r="O2" s="25">
        <v>0.791</v>
      </c>
      <c r="Q2" s="12">
        <f t="shared" ref="Q2:Q298" si="6">H2*D2</f>
        <v>0</v>
      </c>
    </row>
    <row r="3" ht="18.75" customHeight="1">
      <c r="A3" s="4" t="s">
        <v>70</v>
      </c>
      <c r="B3" s="6">
        <v>380.0</v>
      </c>
      <c r="C3" s="6" t="s">
        <v>32</v>
      </c>
      <c r="D3" s="14">
        <v>0.0</v>
      </c>
      <c r="F3" s="1" t="s">
        <v>34</v>
      </c>
      <c r="G3" s="1" t="s">
        <v>35</v>
      </c>
      <c r="H3" s="15">
        <v>317.43177</v>
      </c>
      <c r="I3" s="5">
        <f t="shared" si="1"/>
        <v>0.1971076493</v>
      </c>
      <c r="J3" s="17">
        <f t="shared" si="2"/>
        <v>31.284115</v>
      </c>
      <c r="K3" s="11"/>
      <c r="L3" s="12">
        <f t="shared" si="3"/>
        <v>30.058</v>
      </c>
      <c r="M3" s="12">
        <f t="shared" si="4"/>
        <v>298.058</v>
      </c>
      <c r="N3" s="23">
        <f t="shared" si="5"/>
        <v>317.43177</v>
      </c>
      <c r="O3" s="25">
        <v>0.791</v>
      </c>
      <c r="Q3" s="12">
        <f t="shared" si="6"/>
        <v>0</v>
      </c>
    </row>
    <row r="4" ht="18.75" customHeight="1">
      <c r="A4" s="4" t="s">
        <v>86</v>
      </c>
      <c r="B4" s="6">
        <v>380.0</v>
      </c>
      <c r="C4" s="6" t="s">
        <v>32</v>
      </c>
      <c r="D4" s="14">
        <v>0.0</v>
      </c>
      <c r="F4" s="1" t="s">
        <v>34</v>
      </c>
      <c r="G4" s="1" t="s">
        <v>35</v>
      </c>
      <c r="H4" s="15">
        <v>317.43177</v>
      </c>
      <c r="I4" s="5">
        <f t="shared" si="1"/>
        <v>0.1971076493</v>
      </c>
      <c r="J4" s="17">
        <f t="shared" si="2"/>
        <v>31.284115</v>
      </c>
      <c r="K4" s="11"/>
      <c r="L4" s="12">
        <f t="shared" si="3"/>
        <v>30.058</v>
      </c>
      <c r="M4" s="12">
        <f t="shared" si="4"/>
        <v>298.058</v>
      </c>
      <c r="N4" s="23">
        <f t="shared" si="5"/>
        <v>317.43177</v>
      </c>
      <c r="O4" s="25">
        <v>0.791</v>
      </c>
      <c r="Q4" s="12">
        <f t="shared" si="6"/>
        <v>0</v>
      </c>
    </row>
    <row r="5" ht="18.75" customHeight="1">
      <c r="A5" s="4" t="s">
        <v>92</v>
      </c>
      <c r="B5" s="6">
        <v>230.0</v>
      </c>
      <c r="C5" s="6" t="s">
        <v>32</v>
      </c>
      <c r="D5" s="32">
        <v>9.0</v>
      </c>
      <c r="F5" s="33" t="s">
        <v>34</v>
      </c>
      <c r="G5" s="33" t="s">
        <v>35</v>
      </c>
      <c r="H5" s="34">
        <v>190.11102</v>
      </c>
      <c r="I5" s="35">
        <f t="shared" si="1"/>
        <v>0.2098193992</v>
      </c>
      <c r="J5" s="37">
        <f t="shared" si="2"/>
        <v>19.94449</v>
      </c>
      <c r="K5" s="11"/>
      <c r="L5" s="12">
        <f t="shared" si="3"/>
        <v>21.508</v>
      </c>
      <c r="M5" s="12">
        <f t="shared" ref="M5:M6" si="7">L5+157</f>
        <v>178.508</v>
      </c>
      <c r="N5" s="23">
        <f t="shared" si="5"/>
        <v>190.11102</v>
      </c>
      <c r="O5" s="38">
        <v>0.566</v>
      </c>
      <c r="Q5" s="12">
        <f t="shared" si="6"/>
        <v>1710.99918</v>
      </c>
    </row>
    <row r="6" ht="18.75" customHeight="1">
      <c r="A6" s="4" t="s">
        <v>110</v>
      </c>
      <c r="B6" s="6">
        <v>230.0</v>
      </c>
      <c r="C6" s="6" t="s">
        <v>32</v>
      </c>
      <c r="D6" s="32">
        <v>0.0</v>
      </c>
      <c r="F6" s="33" t="s">
        <v>34</v>
      </c>
      <c r="G6" s="33" t="s">
        <v>35</v>
      </c>
      <c r="H6" s="34">
        <v>190.11102</v>
      </c>
      <c r="I6" s="35">
        <f t="shared" si="1"/>
        <v>0.2098193992</v>
      </c>
      <c r="J6" s="37">
        <f t="shared" si="2"/>
        <v>19.94449</v>
      </c>
      <c r="K6" s="11"/>
      <c r="L6" s="12">
        <f t="shared" si="3"/>
        <v>21.508</v>
      </c>
      <c r="M6" s="12">
        <f t="shared" si="7"/>
        <v>178.508</v>
      </c>
      <c r="N6" s="23">
        <f t="shared" si="5"/>
        <v>190.11102</v>
      </c>
      <c r="O6" s="38">
        <v>0.566</v>
      </c>
      <c r="Q6" s="12">
        <f t="shared" si="6"/>
        <v>0</v>
      </c>
    </row>
    <row r="7" ht="18.75" customHeight="1">
      <c r="A7" s="40" t="s">
        <v>115</v>
      </c>
      <c r="B7" s="41">
        <v>210.0</v>
      </c>
      <c r="C7" s="6" t="s">
        <v>32</v>
      </c>
      <c r="D7" s="32">
        <v>2.0</v>
      </c>
      <c r="F7" s="33" t="s">
        <v>34</v>
      </c>
      <c r="G7" s="33" t="s">
        <v>35</v>
      </c>
      <c r="H7" s="34">
        <v>173.78031</v>
      </c>
      <c r="I7" s="35">
        <f t="shared" si="1"/>
        <v>0.208422289</v>
      </c>
      <c r="J7" s="37">
        <f t="shared" si="2"/>
        <v>18.109845</v>
      </c>
      <c r="K7" s="11"/>
      <c r="L7" s="12">
        <f t="shared" si="3"/>
        <v>14.174</v>
      </c>
      <c r="M7" s="12">
        <f t="shared" ref="M7:M8" si="8">L7+149</f>
        <v>163.174</v>
      </c>
      <c r="N7" s="23">
        <f t="shared" si="5"/>
        <v>173.78031</v>
      </c>
      <c r="O7" s="38">
        <v>0.373</v>
      </c>
      <c r="Q7" s="12">
        <f t="shared" si="6"/>
        <v>347.56062</v>
      </c>
    </row>
    <row r="8" ht="18.75" customHeight="1">
      <c r="A8" s="40" t="s">
        <v>118</v>
      </c>
      <c r="B8" s="41">
        <v>210.0</v>
      </c>
      <c r="C8" s="6" t="s">
        <v>32</v>
      </c>
      <c r="D8" s="32">
        <v>0.0</v>
      </c>
      <c r="F8" s="33" t="s">
        <v>34</v>
      </c>
      <c r="G8" s="33" t="s">
        <v>35</v>
      </c>
      <c r="H8" s="34">
        <v>173.78031</v>
      </c>
      <c r="I8" s="35">
        <f t="shared" si="1"/>
        <v>0.208422289</v>
      </c>
      <c r="J8" s="37">
        <f t="shared" si="2"/>
        <v>18.109845</v>
      </c>
      <c r="K8" s="11"/>
      <c r="L8" s="12">
        <f t="shared" si="3"/>
        <v>14.174</v>
      </c>
      <c r="M8" s="12">
        <f t="shared" si="8"/>
        <v>163.174</v>
      </c>
      <c r="N8" s="23">
        <f t="shared" si="5"/>
        <v>173.78031</v>
      </c>
      <c r="O8" s="38">
        <v>0.373</v>
      </c>
      <c r="Q8" s="12">
        <f t="shared" si="6"/>
        <v>0</v>
      </c>
    </row>
    <row r="9" ht="18.75" customHeight="1">
      <c r="A9" s="40" t="s">
        <v>121</v>
      </c>
      <c r="B9" s="41">
        <v>50.0</v>
      </c>
      <c r="C9" s="6" t="s">
        <v>32</v>
      </c>
      <c r="D9" s="32">
        <v>3.0</v>
      </c>
      <c r="F9" s="33" t="s">
        <v>34</v>
      </c>
      <c r="G9" s="1" t="s">
        <v>141</v>
      </c>
      <c r="H9" s="34">
        <v>32.802</v>
      </c>
      <c r="I9" s="35">
        <f t="shared" si="1"/>
        <v>0.5242972989</v>
      </c>
      <c r="J9" s="37">
        <f t="shared" si="2"/>
        <v>8.599</v>
      </c>
      <c r="K9" s="11"/>
      <c r="L9" s="12">
        <f t="shared" si="3"/>
        <v>3.8</v>
      </c>
      <c r="M9" s="12">
        <f t="shared" ref="M9:M10" si="9">L9+27</f>
        <v>30.8</v>
      </c>
      <c r="N9" s="46">
        <f t="shared" si="5"/>
        <v>32.802</v>
      </c>
      <c r="O9" s="47">
        <v>0.1</v>
      </c>
      <c r="Q9" s="12">
        <f t="shared" si="6"/>
        <v>98.406</v>
      </c>
    </row>
    <row r="10" ht="18.75" customHeight="1">
      <c r="A10" s="40" t="s">
        <v>123</v>
      </c>
      <c r="B10" s="41">
        <v>50.0</v>
      </c>
      <c r="C10" s="6" t="s">
        <v>32</v>
      </c>
      <c r="D10" s="32">
        <v>6.0</v>
      </c>
      <c r="F10" s="33" t="s">
        <v>34</v>
      </c>
      <c r="G10" s="1" t="s">
        <v>141</v>
      </c>
      <c r="H10" s="34">
        <v>32.802</v>
      </c>
      <c r="I10" s="35">
        <f t="shared" si="1"/>
        <v>0.5242972989</v>
      </c>
      <c r="J10" s="37">
        <f t="shared" si="2"/>
        <v>8.599</v>
      </c>
      <c r="K10" s="11"/>
      <c r="L10" s="12">
        <f t="shared" si="3"/>
        <v>3.8</v>
      </c>
      <c r="M10" s="12">
        <f t="shared" si="9"/>
        <v>30.8</v>
      </c>
      <c r="N10" s="46">
        <f t="shared" si="5"/>
        <v>32.802</v>
      </c>
      <c r="O10" s="47">
        <v>0.1</v>
      </c>
      <c r="Q10" s="12">
        <f t="shared" si="6"/>
        <v>196.812</v>
      </c>
    </row>
    <row r="11" ht="18.75" customHeight="1">
      <c r="A11" s="4" t="s">
        <v>125</v>
      </c>
      <c r="B11" s="6">
        <v>120.0</v>
      </c>
      <c r="C11" s="6" t="s">
        <v>32</v>
      </c>
      <c r="D11" s="32">
        <v>1.0</v>
      </c>
      <c r="F11" s="33" t="s">
        <v>34</v>
      </c>
      <c r="G11" s="33" t="s">
        <v>35</v>
      </c>
      <c r="H11" s="34">
        <v>98.76809999999999</v>
      </c>
      <c r="I11" s="35">
        <f t="shared" si="1"/>
        <v>0.2149671807</v>
      </c>
      <c r="J11" s="37">
        <f t="shared" si="2"/>
        <v>10.61595</v>
      </c>
      <c r="K11" s="11"/>
      <c r="L11" s="12">
        <f t="shared" si="3"/>
        <v>8.74</v>
      </c>
      <c r="M11" s="12">
        <f t="shared" ref="M11:M12" si="10">L11+84</f>
        <v>92.74</v>
      </c>
      <c r="N11" s="23">
        <f t="shared" si="5"/>
        <v>98.7681</v>
      </c>
      <c r="O11" s="38">
        <v>0.23</v>
      </c>
      <c r="Q11" s="12">
        <f t="shared" si="6"/>
        <v>98.7681</v>
      </c>
    </row>
    <row r="12" ht="18.75" customHeight="1">
      <c r="A12" s="4" t="s">
        <v>127</v>
      </c>
      <c r="B12" s="6">
        <v>120.0</v>
      </c>
      <c r="C12" s="6" t="s">
        <v>32</v>
      </c>
      <c r="D12" s="32">
        <v>3.0</v>
      </c>
      <c r="F12" s="33" t="s">
        <v>34</v>
      </c>
      <c r="G12" s="33" t="s">
        <v>35</v>
      </c>
      <c r="H12" s="34">
        <v>98.76809999999999</v>
      </c>
      <c r="I12" s="35">
        <f t="shared" si="1"/>
        <v>0.2149671807</v>
      </c>
      <c r="J12" s="37">
        <f t="shared" si="2"/>
        <v>10.61595</v>
      </c>
      <c r="K12" s="11"/>
      <c r="L12" s="12">
        <f t="shared" si="3"/>
        <v>8.74</v>
      </c>
      <c r="M12" s="12">
        <f t="shared" si="10"/>
        <v>92.74</v>
      </c>
      <c r="N12" s="23">
        <f t="shared" si="5"/>
        <v>98.7681</v>
      </c>
      <c r="O12" s="38">
        <v>0.23</v>
      </c>
      <c r="Q12" s="12">
        <f t="shared" si="6"/>
        <v>296.3043</v>
      </c>
    </row>
    <row r="13" ht="18.75" customHeight="1">
      <c r="A13" s="4" t="s">
        <v>129</v>
      </c>
      <c r="B13" s="6">
        <v>215.0</v>
      </c>
      <c r="C13" s="6" t="s">
        <v>32</v>
      </c>
      <c r="D13" s="32">
        <v>3.0</v>
      </c>
      <c r="F13" s="33" t="s">
        <v>34</v>
      </c>
      <c r="G13" s="33" t="s">
        <v>35</v>
      </c>
      <c r="H13" s="34">
        <v>185.1396</v>
      </c>
      <c r="I13" s="35">
        <f t="shared" si="1"/>
        <v>0.1612858621</v>
      </c>
      <c r="J13" s="37">
        <f t="shared" si="2"/>
        <v>14.9302</v>
      </c>
      <c r="K13" s="11"/>
      <c r="L13" s="12">
        <f t="shared" si="3"/>
        <v>25.84</v>
      </c>
      <c r="M13" s="12">
        <f t="shared" ref="M13:M15" si="11">L13+148</f>
        <v>173.84</v>
      </c>
      <c r="N13" s="23">
        <f t="shared" si="5"/>
        <v>185.1396</v>
      </c>
      <c r="O13" s="38">
        <v>0.68</v>
      </c>
      <c r="Q13" s="12">
        <f t="shared" si="6"/>
        <v>555.4188</v>
      </c>
    </row>
    <row r="14" ht="18.75" customHeight="1">
      <c r="A14" s="4" t="s">
        <v>131</v>
      </c>
      <c r="B14" s="6">
        <v>215.0</v>
      </c>
      <c r="C14" s="6" t="s">
        <v>32</v>
      </c>
      <c r="D14" s="32">
        <v>0.0</v>
      </c>
      <c r="F14" s="33" t="s">
        <v>34</v>
      </c>
      <c r="G14" s="33" t="s">
        <v>35</v>
      </c>
      <c r="H14" s="34">
        <v>185.1396</v>
      </c>
      <c r="I14" s="35">
        <f t="shared" si="1"/>
        <v>0.1612858621</v>
      </c>
      <c r="J14" s="37">
        <f t="shared" si="2"/>
        <v>14.9302</v>
      </c>
      <c r="K14" s="11"/>
      <c r="L14" s="12">
        <f t="shared" si="3"/>
        <v>25.84</v>
      </c>
      <c r="M14" s="12">
        <f t="shared" si="11"/>
        <v>173.84</v>
      </c>
      <c r="N14" s="23">
        <f t="shared" si="5"/>
        <v>185.1396</v>
      </c>
      <c r="O14" s="38">
        <v>0.68</v>
      </c>
      <c r="Q14" s="12">
        <f t="shared" si="6"/>
        <v>0</v>
      </c>
    </row>
    <row r="15" ht="18.75" customHeight="1">
      <c r="A15" s="4" t="s">
        <v>132</v>
      </c>
      <c r="B15" s="6">
        <v>215.0</v>
      </c>
      <c r="C15" s="6" t="s">
        <v>32</v>
      </c>
      <c r="D15" s="32">
        <v>0.0</v>
      </c>
      <c r="F15" s="33" t="s">
        <v>34</v>
      </c>
      <c r="G15" s="33" t="s">
        <v>35</v>
      </c>
      <c r="H15" s="34">
        <v>185.1396</v>
      </c>
      <c r="I15" s="35">
        <f t="shared" si="1"/>
        <v>0.1612858621</v>
      </c>
      <c r="J15" s="37">
        <f t="shared" si="2"/>
        <v>14.9302</v>
      </c>
      <c r="K15" s="11"/>
      <c r="L15" s="12">
        <f t="shared" si="3"/>
        <v>25.688</v>
      </c>
      <c r="M15" s="12">
        <f t="shared" si="11"/>
        <v>173.688</v>
      </c>
      <c r="N15" s="23">
        <f t="shared" si="5"/>
        <v>184.97772</v>
      </c>
      <c r="O15" s="38">
        <v>0.676</v>
      </c>
      <c r="Q15" s="12">
        <f t="shared" si="6"/>
        <v>0</v>
      </c>
    </row>
    <row r="16" ht="18.75" customHeight="1">
      <c r="A16" s="4" t="s">
        <v>133</v>
      </c>
      <c r="B16" s="6">
        <v>90.0</v>
      </c>
      <c r="C16" s="6" t="s">
        <v>32</v>
      </c>
      <c r="D16" s="32">
        <v>4.0</v>
      </c>
      <c r="F16" s="33" t="s">
        <v>34</v>
      </c>
      <c r="G16" s="1" t="s">
        <v>141</v>
      </c>
      <c r="H16" s="34">
        <v>70.65635999999999</v>
      </c>
      <c r="I16" s="35">
        <f t="shared" si="1"/>
        <v>0.2737706839</v>
      </c>
      <c r="J16" s="37">
        <f t="shared" si="2"/>
        <v>9.67182</v>
      </c>
      <c r="K16" s="50"/>
      <c r="L16" s="12">
        <f t="shared" si="3"/>
        <v>12.844</v>
      </c>
      <c r="M16" s="12">
        <f t="shared" ref="M16:M20" si="12">L16+53.5</f>
        <v>66.344</v>
      </c>
      <c r="N16" s="23">
        <f t="shared" si="5"/>
        <v>70.65636</v>
      </c>
      <c r="O16" s="38">
        <v>0.338</v>
      </c>
      <c r="Q16" s="12">
        <f t="shared" si="6"/>
        <v>282.62544</v>
      </c>
    </row>
    <row r="17" ht="18.75" customHeight="1">
      <c r="A17" s="4" t="s">
        <v>135</v>
      </c>
      <c r="B17" s="6">
        <v>90.0</v>
      </c>
      <c r="C17" s="6" t="s">
        <v>32</v>
      </c>
      <c r="D17" s="32">
        <v>0.0</v>
      </c>
      <c r="F17" s="33" t="s">
        <v>34</v>
      </c>
      <c r="G17" s="1" t="s">
        <v>141</v>
      </c>
      <c r="H17" s="34">
        <v>70.65635999999999</v>
      </c>
      <c r="I17" s="35">
        <f t="shared" si="1"/>
        <v>0.2737706839</v>
      </c>
      <c r="J17" s="37">
        <f t="shared" si="2"/>
        <v>9.67182</v>
      </c>
      <c r="K17" s="50"/>
      <c r="L17" s="12">
        <f t="shared" si="3"/>
        <v>12.844</v>
      </c>
      <c r="M17" s="12">
        <f t="shared" si="12"/>
        <v>66.344</v>
      </c>
      <c r="N17" s="23">
        <f t="shared" si="5"/>
        <v>70.65636</v>
      </c>
      <c r="O17" s="38">
        <v>0.338</v>
      </c>
      <c r="Q17" s="12">
        <f t="shared" si="6"/>
        <v>0</v>
      </c>
    </row>
    <row r="18" ht="18.75" customHeight="1">
      <c r="A18" s="4" t="s">
        <v>136</v>
      </c>
      <c r="B18" s="6">
        <v>90.0</v>
      </c>
      <c r="C18" s="6" t="s">
        <v>32</v>
      </c>
      <c r="D18" s="53">
        <v>0.0</v>
      </c>
      <c r="F18" s="33" t="s">
        <v>34</v>
      </c>
      <c r="G18" s="1" t="s">
        <v>141</v>
      </c>
      <c r="H18" s="34">
        <v>71.02059</v>
      </c>
      <c r="I18" s="35">
        <f t="shared" si="1"/>
        <v>0.2672381347</v>
      </c>
      <c r="J18" s="37">
        <f t="shared" si="2"/>
        <v>9.489705</v>
      </c>
      <c r="K18" s="50"/>
      <c r="L18" s="12">
        <f t="shared" si="3"/>
        <v>13.186</v>
      </c>
      <c r="M18" s="12">
        <f t="shared" si="12"/>
        <v>66.686</v>
      </c>
      <c r="N18" s="23">
        <f t="shared" si="5"/>
        <v>71.02059</v>
      </c>
      <c r="O18" s="38">
        <v>0.347</v>
      </c>
      <c r="Q18" s="12">
        <f t="shared" si="6"/>
        <v>0</v>
      </c>
    </row>
    <row r="19" ht="18.75" customHeight="1">
      <c r="A19" s="4" t="s">
        <v>138</v>
      </c>
      <c r="B19" s="6">
        <v>90.0</v>
      </c>
      <c r="C19" s="6" t="s">
        <v>32</v>
      </c>
      <c r="D19" s="53">
        <v>2.0</v>
      </c>
      <c r="F19" s="33" t="s">
        <v>34</v>
      </c>
      <c r="G19" s="1" t="s">
        <v>141</v>
      </c>
      <c r="H19" s="34">
        <v>71.02059</v>
      </c>
      <c r="I19" s="35">
        <f t="shared" si="1"/>
        <v>0.2672381347</v>
      </c>
      <c r="J19" s="37">
        <f t="shared" si="2"/>
        <v>9.489705</v>
      </c>
      <c r="K19" s="50"/>
      <c r="L19" s="12">
        <f t="shared" si="3"/>
        <v>13.186</v>
      </c>
      <c r="M19" s="12">
        <f t="shared" si="12"/>
        <v>66.686</v>
      </c>
      <c r="N19" s="23">
        <f t="shared" si="5"/>
        <v>71.02059</v>
      </c>
      <c r="O19" s="38">
        <v>0.347</v>
      </c>
      <c r="Q19" s="12">
        <f t="shared" si="6"/>
        <v>142.04118</v>
      </c>
    </row>
    <row r="20" ht="18.75" customHeight="1">
      <c r="A20" s="4" t="s">
        <v>140</v>
      </c>
      <c r="B20" s="6">
        <v>90.0</v>
      </c>
      <c r="C20" s="6" t="s">
        <v>32</v>
      </c>
      <c r="D20" s="32">
        <v>0.0</v>
      </c>
      <c r="F20" s="33" t="s">
        <v>34</v>
      </c>
      <c r="G20" s="1" t="s">
        <v>141</v>
      </c>
      <c r="H20" s="34">
        <v>71.142</v>
      </c>
      <c r="I20" s="35">
        <f t="shared" si="1"/>
        <v>0.2650754828</v>
      </c>
      <c r="J20" s="37">
        <f t="shared" si="2"/>
        <v>9.429</v>
      </c>
      <c r="K20" s="50"/>
      <c r="L20" s="12">
        <f t="shared" si="3"/>
        <v>13.3</v>
      </c>
      <c r="M20" s="12">
        <f t="shared" si="12"/>
        <v>66.8</v>
      </c>
      <c r="N20" s="23">
        <f t="shared" si="5"/>
        <v>71.142</v>
      </c>
      <c r="O20" s="38">
        <v>0.35</v>
      </c>
      <c r="Q20" s="12">
        <f t="shared" si="6"/>
        <v>0</v>
      </c>
    </row>
    <row r="21" ht="18.75" customHeight="1">
      <c r="A21" s="4" t="s">
        <v>142</v>
      </c>
      <c r="B21" s="6">
        <v>100.0</v>
      </c>
      <c r="C21" s="6" t="s">
        <v>32</v>
      </c>
      <c r="D21" s="32">
        <v>0.0</v>
      </c>
      <c r="F21" s="33" t="s">
        <v>34</v>
      </c>
      <c r="G21" s="1" t="s">
        <v>141</v>
      </c>
      <c r="H21" s="54">
        <v>73.0</v>
      </c>
      <c r="I21" s="35">
        <f t="shared" si="1"/>
        <v>0.3698630137</v>
      </c>
      <c r="J21" s="37">
        <f t="shared" si="2"/>
        <v>13.5</v>
      </c>
      <c r="K21" s="50"/>
      <c r="L21" s="12">
        <f t="shared" si="3"/>
        <v>13.3</v>
      </c>
      <c r="M21" s="12">
        <f>L21+55</f>
        <v>68.3</v>
      </c>
      <c r="N21" s="23">
        <f t="shared" si="5"/>
        <v>72.7395</v>
      </c>
      <c r="O21" s="38">
        <v>0.35</v>
      </c>
      <c r="Q21" s="12">
        <f t="shared" si="6"/>
        <v>0</v>
      </c>
    </row>
    <row r="22" ht="18.75" customHeight="1">
      <c r="A22" s="4" t="s">
        <v>145</v>
      </c>
      <c r="B22" s="6">
        <v>80.0</v>
      </c>
      <c r="C22" s="6" t="s">
        <v>32</v>
      </c>
      <c r="D22" s="32">
        <v>0.0</v>
      </c>
      <c r="F22" s="33" t="s">
        <v>34</v>
      </c>
      <c r="G22" s="1" t="s">
        <v>249</v>
      </c>
      <c r="H22" s="34">
        <v>57.297</v>
      </c>
      <c r="I22" s="35">
        <f t="shared" si="1"/>
        <v>0.3962336597</v>
      </c>
      <c r="J22" s="37">
        <f t="shared" si="2"/>
        <v>11.3515</v>
      </c>
      <c r="K22" s="50"/>
      <c r="L22" s="12">
        <f t="shared" si="3"/>
        <v>3.8</v>
      </c>
      <c r="M22" s="12">
        <f t="shared" ref="M22:M23" si="13">L22+50</f>
        <v>53.8</v>
      </c>
      <c r="N22" s="23">
        <f t="shared" si="5"/>
        <v>57.297</v>
      </c>
      <c r="O22" s="55">
        <v>0.1</v>
      </c>
      <c r="Q22" s="12">
        <f t="shared" si="6"/>
        <v>0</v>
      </c>
    </row>
    <row r="23" ht="18.75" customHeight="1">
      <c r="A23" s="4" t="s">
        <v>148</v>
      </c>
      <c r="B23" s="6">
        <v>80.0</v>
      </c>
      <c r="C23" s="6" t="s">
        <v>32</v>
      </c>
      <c r="D23" s="32">
        <v>17.0</v>
      </c>
      <c r="F23" s="33" t="s">
        <v>34</v>
      </c>
      <c r="G23" s="1" t="s">
        <v>249</v>
      </c>
      <c r="H23" s="34">
        <v>57.297</v>
      </c>
      <c r="I23" s="35">
        <f t="shared" si="1"/>
        <v>0.3962336597</v>
      </c>
      <c r="J23" s="37">
        <f t="shared" si="2"/>
        <v>11.3515</v>
      </c>
      <c r="K23" s="11"/>
      <c r="L23" s="12">
        <f t="shared" si="3"/>
        <v>3.8</v>
      </c>
      <c r="M23" s="12">
        <f t="shared" si="13"/>
        <v>53.8</v>
      </c>
      <c r="N23" s="23">
        <f t="shared" si="5"/>
        <v>57.297</v>
      </c>
      <c r="O23" s="55">
        <v>0.1</v>
      </c>
      <c r="Q23" s="12">
        <f t="shared" si="6"/>
        <v>974.049</v>
      </c>
    </row>
    <row r="24" ht="18.75" customHeight="1">
      <c r="A24" s="40" t="s">
        <v>150</v>
      </c>
      <c r="B24" s="6">
        <v>60.0</v>
      </c>
      <c r="C24" s="6" t="s">
        <v>32</v>
      </c>
      <c r="D24" s="32">
        <v>3.0</v>
      </c>
      <c r="F24" s="33" t="s">
        <v>34</v>
      </c>
      <c r="G24" s="1" t="s">
        <v>141</v>
      </c>
      <c r="H24" s="34">
        <v>46.64699999999999</v>
      </c>
      <c r="I24" s="35">
        <f t="shared" si="1"/>
        <v>0.2862563509</v>
      </c>
      <c r="J24" s="37">
        <f t="shared" si="2"/>
        <v>6.6765</v>
      </c>
      <c r="K24" s="11"/>
      <c r="L24" s="12">
        <f t="shared" si="3"/>
        <v>3.8</v>
      </c>
      <c r="M24" s="12">
        <f t="shared" ref="M24:M27" si="14">L24+40</f>
        <v>43.8</v>
      </c>
      <c r="N24" s="23">
        <f t="shared" si="5"/>
        <v>46.647</v>
      </c>
      <c r="O24" s="55">
        <v>0.1</v>
      </c>
      <c r="Q24" s="12">
        <f t="shared" si="6"/>
        <v>139.941</v>
      </c>
    </row>
    <row r="25" ht="18.75" customHeight="1">
      <c r="A25" s="40" t="s">
        <v>152</v>
      </c>
      <c r="B25" s="6">
        <v>60.0</v>
      </c>
      <c r="C25" s="6" t="s">
        <v>32</v>
      </c>
      <c r="D25" s="32">
        <v>2.0</v>
      </c>
      <c r="F25" s="33" t="s">
        <v>34</v>
      </c>
      <c r="G25" s="1" t="s">
        <v>141</v>
      </c>
      <c r="H25" s="34">
        <v>46.64699999999999</v>
      </c>
      <c r="I25" s="35">
        <f t="shared" si="1"/>
        <v>0.2862563509</v>
      </c>
      <c r="J25" s="37">
        <f t="shared" si="2"/>
        <v>6.6765</v>
      </c>
      <c r="K25" s="50"/>
      <c r="L25" s="12">
        <f t="shared" si="3"/>
        <v>3.8</v>
      </c>
      <c r="M25" s="12">
        <f t="shared" si="14"/>
        <v>43.8</v>
      </c>
      <c r="N25" s="23">
        <f t="shared" si="5"/>
        <v>46.647</v>
      </c>
      <c r="O25" s="55">
        <v>0.1</v>
      </c>
      <c r="Q25" s="12">
        <f t="shared" si="6"/>
        <v>93.294</v>
      </c>
    </row>
    <row r="26" ht="18.75" customHeight="1">
      <c r="A26" s="4" t="s">
        <v>154</v>
      </c>
      <c r="B26" s="6">
        <v>60.0</v>
      </c>
      <c r="C26" s="6" t="s">
        <v>32</v>
      </c>
      <c r="D26" s="32">
        <v>3.0</v>
      </c>
      <c r="F26" s="33" t="s">
        <v>34</v>
      </c>
      <c r="G26" s="1" t="s">
        <v>141</v>
      </c>
      <c r="H26" s="34">
        <v>46.64699999999999</v>
      </c>
      <c r="I26" s="35">
        <f t="shared" si="1"/>
        <v>0.2862563509</v>
      </c>
      <c r="J26" s="37">
        <f t="shared" si="2"/>
        <v>6.6765</v>
      </c>
      <c r="K26" s="11"/>
      <c r="L26" s="12">
        <f t="shared" si="3"/>
        <v>3.8</v>
      </c>
      <c r="M26" s="12">
        <f t="shared" si="14"/>
        <v>43.8</v>
      </c>
      <c r="N26" s="23">
        <f t="shared" si="5"/>
        <v>46.647</v>
      </c>
      <c r="O26" s="55">
        <v>0.1</v>
      </c>
      <c r="Q26" s="12">
        <f t="shared" si="6"/>
        <v>139.941</v>
      </c>
    </row>
    <row r="27" ht="18.75" customHeight="1">
      <c r="A27" s="4" t="s">
        <v>156</v>
      </c>
      <c r="B27" s="6">
        <v>60.0</v>
      </c>
      <c r="C27" s="6" t="s">
        <v>32</v>
      </c>
      <c r="D27" s="32">
        <v>0.0</v>
      </c>
      <c r="F27" s="33" t="s">
        <v>34</v>
      </c>
      <c r="G27" s="1" t="s">
        <v>141</v>
      </c>
      <c r="H27" s="34">
        <v>46.64699999999999</v>
      </c>
      <c r="I27" s="35">
        <f t="shared" si="1"/>
        <v>0.2862563509</v>
      </c>
      <c r="J27" s="37">
        <f t="shared" si="2"/>
        <v>6.6765</v>
      </c>
      <c r="K27" s="11"/>
      <c r="L27" s="12">
        <f t="shared" si="3"/>
        <v>3.8</v>
      </c>
      <c r="M27" s="12">
        <f t="shared" si="14"/>
        <v>43.8</v>
      </c>
      <c r="N27" s="23">
        <f t="shared" si="5"/>
        <v>46.647</v>
      </c>
      <c r="O27" s="55">
        <v>0.1</v>
      </c>
      <c r="Q27" s="12">
        <f t="shared" si="6"/>
        <v>0</v>
      </c>
    </row>
    <row r="28" ht="18.75" customHeight="1">
      <c r="A28" s="4" t="s">
        <v>159</v>
      </c>
      <c r="B28" s="6">
        <v>50.0</v>
      </c>
      <c r="C28" s="6" t="s">
        <v>32</v>
      </c>
      <c r="D28" s="32">
        <v>0.0</v>
      </c>
      <c r="F28" s="33" t="s">
        <v>34</v>
      </c>
      <c r="G28" s="1" t="s">
        <v>141</v>
      </c>
      <c r="H28" s="34">
        <v>39.34</v>
      </c>
      <c r="I28" s="35">
        <f t="shared" si="1"/>
        <v>0.2709710219</v>
      </c>
      <c r="J28" s="37">
        <f t="shared" si="2"/>
        <v>5.33</v>
      </c>
      <c r="K28" s="50"/>
      <c r="L28" s="12" t="str">
        <f t="shared" si="3"/>
        <v>#N/A</v>
      </c>
      <c r="M28" s="12" t="str">
        <f>L28+250</f>
        <v>#N/A</v>
      </c>
      <c r="N28" s="12" t="str">
        <f t="shared" si="5"/>
        <v>#N/A</v>
      </c>
      <c r="O28" s="56" t="e">
        <v>#N/A</v>
      </c>
      <c r="Q28" s="12">
        <f t="shared" si="6"/>
        <v>0</v>
      </c>
    </row>
    <row r="29" ht="18.75" customHeight="1">
      <c r="A29" s="4" t="s">
        <v>163</v>
      </c>
      <c r="B29" s="6">
        <v>70.0</v>
      </c>
      <c r="C29" s="6" t="s">
        <v>32</v>
      </c>
      <c r="D29" s="32">
        <v>0.0</v>
      </c>
      <c r="F29" s="33" t="s">
        <v>34</v>
      </c>
      <c r="G29" s="33" t="s">
        <v>249</v>
      </c>
      <c r="H29" s="34">
        <v>52.3767</v>
      </c>
      <c r="I29" s="35">
        <f t="shared" si="1"/>
        <v>0.3364721336</v>
      </c>
      <c r="J29" s="37">
        <f t="shared" si="2"/>
        <v>8.81165</v>
      </c>
      <c r="K29" s="11"/>
      <c r="L29" s="12">
        <f t="shared" si="3"/>
        <v>4.18</v>
      </c>
      <c r="M29" s="12">
        <f>L29+45</f>
        <v>49.18</v>
      </c>
      <c r="N29" s="23">
        <f t="shared" si="5"/>
        <v>52.3767</v>
      </c>
      <c r="O29" s="38">
        <v>0.11</v>
      </c>
      <c r="Q29" s="12">
        <f t="shared" si="6"/>
        <v>0</v>
      </c>
    </row>
    <row r="30" ht="18.75" customHeight="1">
      <c r="A30" s="4" t="s">
        <v>165</v>
      </c>
      <c r="B30" s="6">
        <v>85.0</v>
      </c>
      <c r="C30" s="6" t="s">
        <v>32</v>
      </c>
      <c r="D30" s="14">
        <v>0.0</v>
      </c>
      <c r="F30" s="1" t="s">
        <v>34</v>
      </c>
      <c r="G30" s="1" t="s">
        <v>141</v>
      </c>
      <c r="H30" s="15">
        <v>57.946</v>
      </c>
      <c r="I30" s="5">
        <f t="shared" si="1"/>
        <v>0.46688296</v>
      </c>
      <c r="J30" s="17">
        <f t="shared" si="2"/>
        <v>13.527</v>
      </c>
      <c r="K30" s="11"/>
      <c r="L30" s="12" t="str">
        <f t="shared" si="3"/>
        <v>#N/A</v>
      </c>
      <c r="M30" s="23" t="str">
        <f t="shared" ref="M30:M31" si="15">L30+61</f>
        <v>#N/A</v>
      </c>
      <c r="N30" s="12" t="str">
        <f t="shared" si="5"/>
        <v>#N/A</v>
      </c>
      <c r="O30" s="57" t="e">
        <v>#N/A</v>
      </c>
      <c r="Q30" s="12">
        <f t="shared" si="6"/>
        <v>0</v>
      </c>
    </row>
    <row r="31" ht="18.75" customHeight="1">
      <c r="A31" s="4" t="s">
        <v>168</v>
      </c>
      <c r="B31" s="6">
        <v>85.0</v>
      </c>
      <c r="C31" s="6" t="s">
        <v>32</v>
      </c>
      <c r="D31" s="14">
        <v>0.0</v>
      </c>
      <c r="F31" s="1" t="s">
        <v>34</v>
      </c>
      <c r="G31" s="1" t="s">
        <v>141</v>
      </c>
      <c r="H31" s="15">
        <v>57.946</v>
      </c>
      <c r="I31" s="5">
        <f t="shared" si="1"/>
        <v>0.46688296</v>
      </c>
      <c r="J31" s="17">
        <f t="shared" si="2"/>
        <v>13.527</v>
      </c>
      <c r="K31" s="11"/>
      <c r="L31" s="12" t="str">
        <f t="shared" si="3"/>
        <v>#N/A</v>
      </c>
      <c r="M31" s="23" t="str">
        <f t="shared" si="15"/>
        <v>#N/A</v>
      </c>
      <c r="N31" s="12" t="str">
        <f t="shared" si="5"/>
        <v>#N/A</v>
      </c>
      <c r="O31" s="57" t="e">
        <v>#N/A</v>
      </c>
      <c r="Q31" s="12">
        <f t="shared" si="6"/>
        <v>0</v>
      </c>
    </row>
    <row r="32" ht="18.75" customHeight="1">
      <c r="A32" s="4" t="s">
        <v>169</v>
      </c>
      <c r="B32" s="6">
        <v>75.0</v>
      </c>
      <c r="C32" s="6" t="s">
        <v>32</v>
      </c>
      <c r="D32" s="14">
        <v>5.0</v>
      </c>
      <c r="F32" s="1" t="s">
        <v>34</v>
      </c>
      <c r="G32" s="1" t="s">
        <v>141</v>
      </c>
      <c r="H32" s="15">
        <v>57.946</v>
      </c>
      <c r="I32" s="5">
        <f t="shared" si="1"/>
        <v>0.2943084941</v>
      </c>
      <c r="J32" s="17">
        <f t="shared" si="2"/>
        <v>8.527</v>
      </c>
      <c r="K32" s="11"/>
      <c r="L32" s="12" t="str">
        <f t="shared" si="3"/>
        <v>#N/A</v>
      </c>
      <c r="M32" s="23" t="str">
        <f>L32+53.5</f>
        <v>#N/A</v>
      </c>
      <c r="N32" s="12" t="str">
        <f t="shared" si="5"/>
        <v>#N/A</v>
      </c>
      <c r="O32" s="57" t="e">
        <v>#N/A</v>
      </c>
      <c r="Q32" s="12">
        <f t="shared" si="6"/>
        <v>289.73</v>
      </c>
    </row>
    <row r="33" ht="18.75" customHeight="1">
      <c r="A33" s="4" t="s">
        <v>171</v>
      </c>
      <c r="B33" s="6">
        <v>37.0</v>
      </c>
      <c r="C33" s="6" t="s">
        <v>32</v>
      </c>
      <c r="D33" s="14">
        <v>14.0</v>
      </c>
      <c r="F33" s="1" t="s">
        <v>34</v>
      </c>
      <c r="G33" s="1" t="s">
        <v>249</v>
      </c>
      <c r="H33" s="15">
        <v>29.807219999999997</v>
      </c>
      <c r="I33" s="5">
        <f t="shared" si="1"/>
        <v>0.2413099913</v>
      </c>
      <c r="J33" s="17">
        <f t="shared" si="2"/>
        <v>3.59639</v>
      </c>
      <c r="K33" s="11"/>
      <c r="L33" s="12">
        <f t="shared" si="3"/>
        <v>0.988</v>
      </c>
      <c r="M33" s="12">
        <f>L33+27</f>
        <v>27.988</v>
      </c>
      <c r="N33" s="23">
        <f t="shared" si="5"/>
        <v>29.80722</v>
      </c>
      <c r="O33" s="58">
        <v>0.026</v>
      </c>
      <c r="Q33" s="12">
        <f t="shared" si="6"/>
        <v>417.30108</v>
      </c>
    </row>
    <row r="34" ht="18.75" customHeight="1">
      <c r="A34" s="4" t="s">
        <v>174</v>
      </c>
      <c r="B34" s="6">
        <v>45.0</v>
      </c>
      <c r="C34" s="6" t="s">
        <v>32</v>
      </c>
      <c r="D34" s="14">
        <v>49.0</v>
      </c>
      <c r="F34" s="1" t="s">
        <v>34</v>
      </c>
      <c r="G34" s="1" t="s">
        <v>249</v>
      </c>
      <c r="H34" s="15">
        <v>36.97893</v>
      </c>
      <c r="I34" s="5">
        <f t="shared" si="1"/>
        <v>0.2169091967</v>
      </c>
      <c r="J34" s="17">
        <f t="shared" si="2"/>
        <v>4.010535</v>
      </c>
      <c r="K34" s="11"/>
      <c r="L34" s="12">
        <f t="shared" si="3"/>
        <v>0.722</v>
      </c>
      <c r="M34" s="12">
        <f>L34+34</f>
        <v>34.722</v>
      </c>
      <c r="N34" s="23">
        <f t="shared" si="5"/>
        <v>36.97893</v>
      </c>
      <c r="O34" s="58">
        <v>0.019</v>
      </c>
      <c r="Q34" s="12">
        <f t="shared" si="6"/>
        <v>1811.96757</v>
      </c>
    </row>
    <row r="35" ht="18.75" customHeight="1">
      <c r="A35" s="4" t="s">
        <v>177</v>
      </c>
      <c r="B35" s="6">
        <v>55.0</v>
      </c>
      <c r="C35" s="6" t="s">
        <v>32</v>
      </c>
      <c r="D35" s="14">
        <v>24.0</v>
      </c>
      <c r="F35" s="1" t="s">
        <v>34</v>
      </c>
      <c r="G35" s="1" t="s">
        <v>249</v>
      </c>
      <c r="H35" s="15">
        <v>37.451789999999995</v>
      </c>
      <c r="I35" s="5">
        <f t="shared" si="1"/>
        <v>0.4685546405</v>
      </c>
      <c r="J35" s="17">
        <f t="shared" si="2"/>
        <v>8.774105</v>
      </c>
      <c r="K35" s="11"/>
      <c r="L35" s="12">
        <f t="shared" si="3"/>
        <v>2.166</v>
      </c>
      <c r="M35" s="12">
        <f>L35+33</f>
        <v>35.166</v>
      </c>
      <c r="N35" s="23">
        <f t="shared" si="5"/>
        <v>37.45179</v>
      </c>
      <c r="O35" s="58">
        <v>0.057</v>
      </c>
      <c r="Q35" s="12">
        <f t="shared" si="6"/>
        <v>898.84296</v>
      </c>
    </row>
    <row r="36" ht="18.75" customHeight="1">
      <c r="A36" s="4" t="s">
        <v>180</v>
      </c>
      <c r="B36" s="6">
        <v>60.0</v>
      </c>
      <c r="C36" s="6" t="s">
        <v>32</v>
      </c>
      <c r="D36" s="14">
        <v>6.0</v>
      </c>
      <c r="F36" s="1" t="s">
        <v>34</v>
      </c>
      <c r="G36" s="1" t="s">
        <v>141</v>
      </c>
      <c r="H36" s="15">
        <v>43.15593</v>
      </c>
      <c r="I36" s="5">
        <f t="shared" si="1"/>
        <v>0.3903071953</v>
      </c>
      <c r="J36" s="17">
        <f t="shared" si="2"/>
        <v>8.422035</v>
      </c>
      <c r="K36" s="11"/>
      <c r="L36" s="12">
        <f t="shared" si="3"/>
        <v>4.522</v>
      </c>
      <c r="M36" s="12">
        <f>L36+36</f>
        <v>40.522</v>
      </c>
      <c r="N36" s="23">
        <f t="shared" si="5"/>
        <v>43.15593</v>
      </c>
      <c r="O36" s="58">
        <v>0.119</v>
      </c>
      <c r="Q36" s="12">
        <f t="shared" si="6"/>
        <v>258.93558</v>
      </c>
    </row>
    <row r="37" ht="18.75" customHeight="1">
      <c r="A37" s="4" t="s">
        <v>182</v>
      </c>
      <c r="B37" s="6">
        <v>10.0</v>
      </c>
      <c r="C37" s="6" t="s">
        <v>32</v>
      </c>
      <c r="D37" s="14">
        <v>0.0</v>
      </c>
      <c r="F37" s="1" t="s">
        <v>34</v>
      </c>
      <c r="G37" s="1" t="s">
        <v>141</v>
      </c>
      <c r="H37" s="8">
        <v>5.06</v>
      </c>
      <c r="I37" s="5">
        <f t="shared" si="1"/>
        <v>0.976284585</v>
      </c>
      <c r="J37" s="17">
        <f t="shared" si="2"/>
        <v>2.47</v>
      </c>
      <c r="K37" s="11"/>
      <c r="L37" s="12" t="str">
        <f t="shared" si="3"/>
        <v>#N/A</v>
      </c>
      <c r="M37" s="12" t="str">
        <f t="shared" ref="M37:M46" si="16">L37+250</f>
        <v>#N/A</v>
      </c>
      <c r="N37" s="12" t="str">
        <f t="shared" si="5"/>
        <v>#N/A</v>
      </c>
      <c r="O37" s="57" t="e">
        <v>#N/A</v>
      </c>
      <c r="Q37" s="12">
        <f t="shared" si="6"/>
        <v>0</v>
      </c>
    </row>
    <row r="38" ht="18.75" customHeight="1">
      <c r="A38" s="4" t="s">
        <v>184</v>
      </c>
      <c r="B38" s="6">
        <v>4.0</v>
      </c>
      <c r="C38" s="6" t="s">
        <v>32</v>
      </c>
      <c r="D38" s="14">
        <v>0.0</v>
      </c>
      <c r="F38" s="1" t="s">
        <v>34</v>
      </c>
      <c r="G38" s="1" t="s">
        <v>141</v>
      </c>
      <c r="H38" s="8">
        <v>5.06</v>
      </c>
      <c r="I38" s="5">
        <f t="shared" si="1"/>
        <v>-0.209486166</v>
      </c>
      <c r="J38" s="17">
        <f t="shared" si="2"/>
        <v>-0.53</v>
      </c>
      <c r="K38" s="11"/>
      <c r="L38" s="12" t="str">
        <f t="shared" si="3"/>
        <v>#N/A</v>
      </c>
      <c r="M38" s="12" t="str">
        <f t="shared" si="16"/>
        <v>#N/A</v>
      </c>
      <c r="N38" s="12" t="str">
        <f t="shared" si="5"/>
        <v>#N/A</v>
      </c>
      <c r="O38" s="57" t="e">
        <v>#N/A</v>
      </c>
      <c r="Q38" s="12">
        <f t="shared" si="6"/>
        <v>0</v>
      </c>
    </row>
    <row r="39" ht="18.75" customHeight="1">
      <c r="A39" s="4" t="s">
        <v>186</v>
      </c>
      <c r="B39" s="6">
        <v>25.0</v>
      </c>
      <c r="C39" s="6" t="s">
        <v>32</v>
      </c>
      <c r="D39" s="14">
        <v>0.0</v>
      </c>
      <c r="F39" s="1" t="s">
        <v>34</v>
      </c>
      <c r="G39" s="1" t="s">
        <v>249</v>
      </c>
      <c r="H39" s="15">
        <v>32.492</v>
      </c>
      <c r="I39" s="5">
        <f t="shared" si="1"/>
        <v>-0.230579835</v>
      </c>
      <c r="J39" s="17">
        <f t="shared" si="2"/>
        <v>-3.746</v>
      </c>
      <c r="K39" s="11"/>
      <c r="L39" s="12">
        <f t="shared" si="3"/>
        <v>6.992</v>
      </c>
      <c r="M39" s="12">
        <f t="shared" si="16"/>
        <v>256.992</v>
      </c>
      <c r="N39" s="12">
        <f t="shared" si="5"/>
        <v>273.69648</v>
      </c>
      <c r="O39" s="58">
        <v>0.184</v>
      </c>
      <c r="Q39" s="12">
        <f t="shared" si="6"/>
        <v>0</v>
      </c>
    </row>
    <row r="40" ht="18.75" customHeight="1">
      <c r="A40" s="4" t="s">
        <v>189</v>
      </c>
      <c r="B40" s="6">
        <v>15.0</v>
      </c>
      <c r="C40" s="6" t="s">
        <v>32</v>
      </c>
      <c r="D40" s="14">
        <v>0.0</v>
      </c>
      <c r="F40" s="1" t="s">
        <v>34</v>
      </c>
      <c r="G40" s="1" t="s">
        <v>249</v>
      </c>
      <c r="H40" s="8">
        <v>11.0</v>
      </c>
      <c r="I40" s="5">
        <f t="shared" si="1"/>
        <v>0.3636363636</v>
      </c>
      <c r="J40" s="17">
        <f t="shared" si="2"/>
        <v>2</v>
      </c>
      <c r="K40" s="11"/>
      <c r="L40" s="12" t="str">
        <f t="shared" si="3"/>
        <v>#N/A</v>
      </c>
      <c r="M40" s="12" t="str">
        <f t="shared" si="16"/>
        <v>#N/A</v>
      </c>
      <c r="N40" s="12" t="str">
        <f t="shared" si="5"/>
        <v>#N/A</v>
      </c>
      <c r="O40" s="57" t="e">
        <v>#N/A</v>
      </c>
      <c r="Q40" s="12">
        <f t="shared" si="6"/>
        <v>0</v>
      </c>
    </row>
    <row r="41" ht="18.75" customHeight="1">
      <c r="A41" s="4" t="s">
        <v>191</v>
      </c>
      <c r="B41" s="6">
        <v>15.0</v>
      </c>
      <c r="C41" s="6" t="s">
        <v>32</v>
      </c>
      <c r="D41" s="14">
        <v>6.0</v>
      </c>
      <c r="F41" s="1" t="s">
        <v>34</v>
      </c>
      <c r="G41" s="1" t="s">
        <v>249</v>
      </c>
      <c r="H41" s="15">
        <v>11.28</v>
      </c>
      <c r="I41" s="5">
        <f t="shared" si="1"/>
        <v>0.329787234</v>
      </c>
      <c r="J41" s="17">
        <f t="shared" si="2"/>
        <v>1.86</v>
      </c>
      <c r="K41" s="11"/>
      <c r="L41" s="12" t="str">
        <f t="shared" si="3"/>
        <v>#N/A</v>
      </c>
      <c r="M41" s="12" t="str">
        <f t="shared" si="16"/>
        <v>#N/A</v>
      </c>
      <c r="N41" s="12" t="str">
        <f t="shared" si="5"/>
        <v>#N/A</v>
      </c>
      <c r="O41" s="57" t="e">
        <v>#N/A</v>
      </c>
      <c r="Q41" s="12">
        <f t="shared" si="6"/>
        <v>67.68</v>
      </c>
    </row>
    <row r="42" ht="18.75" customHeight="1">
      <c r="A42" s="4" t="s">
        <v>192</v>
      </c>
      <c r="B42" s="6">
        <v>15.0</v>
      </c>
      <c r="C42" s="6" t="s">
        <v>32</v>
      </c>
      <c r="D42" s="14">
        <v>6.0</v>
      </c>
      <c r="F42" s="1" t="s">
        <v>34</v>
      </c>
      <c r="G42" s="1" t="s">
        <v>249</v>
      </c>
      <c r="H42" s="15">
        <v>11.28</v>
      </c>
      <c r="I42" s="5">
        <f t="shared" si="1"/>
        <v>0.329787234</v>
      </c>
      <c r="J42" s="17">
        <f t="shared" si="2"/>
        <v>1.86</v>
      </c>
      <c r="K42" s="11"/>
      <c r="L42" s="12" t="str">
        <f t="shared" si="3"/>
        <v>#N/A</v>
      </c>
      <c r="M42" s="12" t="str">
        <f t="shared" si="16"/>
        <v>#N/A</v>
      </c>
      <c r="N42" s="12" t="str">
        <f t="shared" si="5"/>
        <v>#N/A</v>
      </c>
      <c r="O42" s="57" t="e">
        <v>#N/A</v>
      </c>
      <c r="Q42" s="12">
        <f t="shared" si="6"/>
        <v>67.68</v>
      </c>
    </row>
    <row r="43" ht="18.75" customHeight="1">
      <c r="A43" s="4" t="s">
        <v>194</v>
      </c>
      <c r="B43" s="6">
        <v>15.0</v>
      </c>
      <c r="C43" s="6" t="s">
        <v>32</v>
      </c>
      <c r="D43" s="14">
        <v>6.0</v>
      </c>
      <c r="F43" s="1" t="s">
        <v>34</v>
      </c>
      <c r="G43" s="1" t="s">
        <v>249</v>
      </c>
      <c r="H43" s="15">
        <v>11.28</v>
      </c>
      <c r="I43" s="5">
        <f t="shared" si="1"/>
        <v>0.329787234</v>
      </c>
      <c r="J43" s="17">
        <f t="shared" si="2"/>
        <v>1.86</v>
      </c>
      <c r="K43" s="11"/>
      <c r="L43" s="12" t="str">
        <f t="shared" si="3"/>
        <v>#N/A</v>
      </c>
      <c r="M43" s="12" t="str">
        <f t="shared" si="16"/>
        <v>#N/A</v>
      </c>
      <c r="N43" s="12" t="str">
        <f t="shared" si="5"/>
        <v>#N/A</v>
      </c>
      <c r="O43" s="57" t="e">
        <v>#N/A</v>
      </c>
      <c r="Q43" s="12">
        <f t="shared" si="6"/>
        <v>67.68</v>
      </c>
    </row>
    <row r="44" ht="18.75" customHeight="1">
      <c r="A44" s="4" t="s">
        <v>197</v>
      </c>
      <c r="B44" s="6">
        <v>28.0</v>
      </c>
      <c r="C44" s="6" t="s">
        <v>32</v>
      </c>
      <c r="D44" s="14">
        <v>18.0</v>
      </c>
      <c r="F44" s="1" t="s">
        <v>34</v>
      </c>
      <c r="G44" s="1" t="s">
        <v>249</v>
      </c>
      <c r="H44" s="15">
        <v>21.832</v>
      </c>
      <c r="I44" s="5">
        <f t="shared" si="1"/>
        <v>0.28252107</v>
      </c>
      <c r="J44" s="17">
        <f t="shared" si="2"/>
        <v>3.084</v>
      </c>
      <c r="K44" s="11"/>
      <c r="L44" s="12">
        <f t="shared" si="3"/>
        <v>4.332</v>
      </c>
      <c r="M44" s="12">
        <f t="shared" si="16"/>
        <v>254.332</v>
      </c>
      <c r="N44" s="12">
        <f t="shared" si="5"/>
        <v>270.86358</v>
      </c>
      <c r="O44" s="58">
        <v>0.114</v>
      </c>
      <c r="Q44" s="12">
        <f t="shared" si="6"/>
        <v>392.976</v>
      </c>
    </row>
    <row r="45" ht="18.75" customHeight="1">
      <c r="A45" s="4" t="s">
        <v>199</v>
      </c>
      <c r="B45" s="6">
        <v>18.0</v>
      </c>
      <c r="C45" s="6" t="s">
        <v>32</v>
      </c>
      <c r="D45" s="59">
        <v>0.0</v>
      </c>
      <c r="F45" s="1" t="s">
        <v>34</v>
      </c>
      <c r="G45" s="1" t="s">
        <v>249</v>
      </c>
      <c r="H45" s="15"/>
      <c r="I45" s="5"/>
      <c r="J45" s="17"/>
      <c r="K45" s="11"/>
      <c r="L45" s="12" t="str">
        <f t="shared" si="3"/>
        <v>#N/A</v>
      </c>
      <c r="M45" s="12" t="str">
        <f t="shared" si="16"/>
        <v>#N/A</v>
      </c>
      <c r="N45" s="12" t="str">
        <f t="shared" si="5"/>
        <v>#N/A</v>
      </c>
      <c r="O45" s="57" t="e">
        <v>#N/A</v>
      </c>
      <c r="Q45" s="12">
        <f t="shared" si="6"/>
        <v>0</v>
      </c>
    </row>
    <row r="46" ht="18.75" customHeight="1">
      <c r="A46" s="4" t="s">
        <v>201</v>
      </c>
      <c r="B46" s="6">
        <v>120.0</v>
      </c>
      <c r="C46" s="6" t="s">
        <v>32</v>
      </c>
      <c r="D46" s="60">
        <v>1.0</v>
      </c>
      <c r="F46" s="1" t="s">
        <v>34</v>
      </c>
      <c r="G46" s="1" t="s">
        <v>141</v>
      </c>
      <c r="H46" s="15">
        <v>89.162</v>
      </c>
      <c r="I46" s="5">
        <f t="shared" ref="I46:I298" si="17">(B46/H46)-1</f>
        <v>0.3458648303</v>
      </c>
      <c r="J46" s="17">
        <f t="shared" ref="J46:J298" si="18">(B46-H46)/2</f>
        <v>15.419</v>
      </c>
      <c r="K46" s="11"/>
      <c r="L46" s="12">
        <f t="shared" si="3"/>
        <v>15.162</v>
      </c>
      <c r="M46" s="12">
        <f t="shared" si="16"/>
        <v>265.162</v>
      </c>
      <c r="N46" s="12">
        <f t="shared" si="5"/>
        <v>282.39753</v>
      </c>
      <c r="O46" s="58">
        <v>0.399</v>
      </c>
      <c r="Q46" s="12">
        <f t="shared" si="6"/>
        <v>89.162</v>
      </c>
    </row>
    <row r="47" ht="18.75" customHeight="1">
      <c r="A47" s="62" t="s">
        <v>204</v>
      </c>
      <c r="B47" s="6">
        <v>60.0</v>
      </c>
      <c r="C47" s="6" t="s">
        <v>32</v>
      </c>
      <c r="D47" s="6">
        <v>0.0</v>
      </c>
      <c r="F47" s="1" t="s">
        <v>34</v>
      </c>
      <c r="G47" s="1" t="s">
        <v>141</v>
      </c>
      <c r="H47" s="8"/>
      <c r="I47" s="5" t="str">
        <f t="shared" si="17"/>
        <v>#DIV/0!</v>
      </c>
      <c r="J47" s="17">
        <f t="shared" si="18"/>
        <v>30</v>
      </c>
      <c r="K47" s="11"/>
      <c r="L47" s="12">
        <f t="shared" si="3"/>
        <v>19</v>
      </c>
      <c r="M47" s="12">
        <f t="shared" ref="M47:M49" si="19">L47+30</f>
        <v>49</v>
      </c>
      <c r="N47" s="12">
        <f t="shared" si="5"/>
        <v>52.185</v>
      </c>
      <c r="O47" s="63">
        <v>0.5</v>
      </c>
      <c r="Q47" s="12">
        <f t="shared" si="6"/>
        <v>0</v>
      </c>
    </row>
    <row r="48" ht="18.75" customHeight="1">
      <c r="A48" s="62" t="s">
        <v>206</v>
      </c>
      <c r="B48" s="6">
        <v>60.0</v>
      </c>
      <c r="C48" s="6" t="s">
        <v>32</v>
      </c>
      <c r="D48" s="6">
        <v>0.0</v>
      </c>
      <c r="F48" s="1" t="s">
        <v>34</v>
      </c>
      <c r="G48" s="1" t="s">
        <v>249</v>
      </c>
      <c r="H48" s="8"/>
      <c r="I48" s="5" t="str">
        <f t="shared" si="17"/>
        <v>#DIV/0!</v>
      </c>
      <c r="J48" s="17">
        <f t="shared" si="18"/>
        <v>30</v>
      </c>
      <c r="K48" s="11"/>
      <c r="L48" s="12">
        <f t="shared" si="3"/>
        <v>19</v>
      </c>
      <c r="M48" s="12">
        <f t="shared" si="19"/>
        <v>49</v>
      </c>
      <c r="N48" s="12">
        <f t="shared" si="5"/>
        <v>52.185</v>
      </c>
      <c r="O48" s="63">
        <v>0.5</v>
      </c>
      <c r="Q48" s="12">
        <f t="shared" si="6"/>
        <v>0</v>
      </c>
    </row>
    <row r="49" ht="18.75" customHeight="1">
      <c r="A49" s="62" t="s">
        <v>208</v>
      </c>
      <c r="B49" s="6">
        <v>60.0</v>
      </c>
      <c r="C49" s="6" t="s">
        <v>32</v>
      </c>
      <c r="D49" s="6">
        <v>8.0</v>
      </c>
      <c r="F49" s="1" t="s">
        <v>34</v>
      </c>
      <c r="G49" s="1" t="s">
        <v>249</v>
      </c>
      <c r="H49" s="8"/>
      <c r="I49" s="5" t="str">
        <f t="shared" si="17"/>
        <v>#DIV/0!</v>
      </c>
      <c r="J49" s="17">
        <f t="shared" si="18"/>
        <v>30</v>
      </c>
      <c r="K49" s="11"/>
      <c r="L49" s="12">
        <f t="shared" si="3"/>
        <v>19</v>
      </c>
      <c r="M49" s="12">
        <f t="shared" si="19"/>
        <v>49</v>
      </c>
      <c r="N49" s="12">
        <f t="shared" si="5"/>
        <v>52.185</v>
      </c>
      <c r="O49" s="63">
        <v>0.5</v>
      </c>
      <c r="Q49" s="12">
        <f t="shared" si="6"/>
        <v>0</v>
      </c>
    </row>
    <row r="50" ht="18.75" customHeight="1">
      <c r="A50" s="64" t="s">
        <v>209</v>
      </c>
      <c r="B50" s="65">
        <v>30.0</v>
      </c>
      <c r="C50" s="66" t="s">
        <v>32</v>
      </c>
      <c r="D50" s="67">
        <v>0.0</v>
      </c>
      <c r="F50" s="64" t="s">
        <v>523</v>
      </c>
      <c r="G50" s="68" t="s">
        <v>141</v>
      </c>
      <c r="H50" s="69">
        <v>15.95</v>
      </c>
      <c r="I50" s="70">
        <f t="shared" si="17"/>
        <v>0.8808777429</v>
      </c>
      <c r="J50" s="71">
        <f t="shared" si="18"/>
        <v>7.025</v>
      </c>
      <c r="K50" s="11"/>
      <c r="L50" s="28">
        <f t="shared" si="3"/>
        <v>0.95</v>
      </c>
      <c r="M50" s="28">
        <f>L50+7.2</f>
        <v>8.15</v>
      </c>
      <c r="N50" s="28">
        <f t="shared" si="5"/>
        <v>8.67975</v>
      </c>
      <c r="O50" s="72">
        <v>0.025</v>
      </c>
      <c r="P50" s="29"/>
      <c r="Q50" s="28">
        <f t="shared" si="6"/>
        <v>0</v>
      </c>
    </row>
    <row r="51" ht="18.75" customHeight="1">
      <c r="A51" s="64" t="s">
        <v>210</v>
      </c>
      <c r="B51" s="65">
        <v>40.0</v>
      </c>
      <c r="C51" s="66" t="s">
        <v>32</v>
      </c>
      <c r="D51" s="67">
        <v>3.0</v>
      </c>
      <c r="F51" s="64" t="s">
        <v>523</v>
      </c>
      <c r="G51" s="68" t="s">
        <v>141</v>
      </c>
      <c r="H51" s="69">
        <v>18.76</v>
      </c>
      <c r="I51" s="70">
        <f t="shared" si="17"/>
        <v>1.132196162</v>
      </c>
      <c r="J51" s="71">
        <f t="shared" si="18"/>
        <v>10.62</v>
      </c>
      <c r="K51" s="11"/>
      <c r="L51" s="28">
        <f t="shared" si="3"/>
        <v>0.76</v>
      </c>
      <c r="M51" s="28">
        <f t="shared" ref="M51:M64" si="20">L51+250</f>
        <v>250.76</v>
      </c>
      <c r="N51" s="28">
        <f t="shared" si="5"/>
        <v>267.0594</v>
      </c>
      <c r="O51" s="72">
        <v>0.02</v>
      </c>
      <c r="P51" s="29"/>
      <c r="Q51" s="28">
        <f t="shared" si="6"/>
        <v>56.28</v>
      </c>
    </row>
    <row r="52" ht="18.75" customHeight="1">
      <c r="A52" s="64" t="s">
        <v>212</v>
      </c>
      <c r="B52" s="65">
        <v>36.0</v>
      </c>
      <c r="C52" s="66" t="s">
        <v>32</v>
      </c>
      <c r="D52" s="73">
        <v>4.0</v>
      </c>
      <c r="F52" s="64" t="s">
        <v>523</v>
      </c>
      <c r="G52" s="68" t="s">
        <v>141</v>
      </c>
      <c r="H52" s="69">
        <v>22.178</v>
      </c>
      <c r="I52" s="70">
        <f t="shared" si="17"/>
        <v>0.6232302282</v>
      </c>
      <c r="J52" s="71">
        <f t="shared" si="18"/>
        <v>6.911</v>
      </c>
      <c r="K52" s="11"/>
      <c r="L52" s="28">
        <f t="shared" si="3"/>
        <v>1.178</v>
      </c>
      <c r="M52" s="28">
        <f t="shared" si="20"/>
        <v>251.178</v>
      </c>
      <c r="N52" s="28">
        <f t="shared" si="5"/>
        <v>267.50457</v>
      </c>
      <c r="O52" s="72">
        <v>0.031</v>
      </c>
      <c r="P52" s="29"/>
      <c r="Q52" s="28">
        <f t="shared" si="6"/>
        <v>88.712</v>
      </c>
    </row>
    <row r="53" ht="18.75" customHeight="1">
      <c r="A53" s="64" t="s">
        <v>213</v>
      </c>
      <c r="B53" s="65">
        <v>30.0</v>
      </c>
      <c r="C53" s="66" t="s">
        <v>32</v>
      </c>
      <c r="D53" s="67">
        <v>0.0</v>
      </c>
      <c r="F53" s="64" t="s">
        <v>523</v>
      </c>
      <c r="G53" s="68" t="s">
        <v>141</v>
      </c>
      <c r="H53" s="69">
        <v>18.76</v>
      </c>
      <c r="I53" s="70">
        <f t="shared" si="17"/>
        <v>0.5991471215</v>
      </c>
      <c r="J53" s="71">
        <f t="shared" si="18"/>
        <v>5.62</v>
      </c>
      <c r="K53" s="11"/>
      <c r="L53" s="28" t="str">
        <f t="shared" si="3"/>
        <v>#N/A</v>
      </c>
      <c r="M53" s="28" t="str">
        <f t="shared" si="20"/>
        <v>#N/A</v>
      </c>
      <c r="N53" s="28" t="str">
        <f t="shared" si="5"/>
        <v>#N/A</v>
      </c>
      <c r="O53" s="74" t="e">
        <v>#N/A</v>
      </c>
      <c r="P53" s="29"/>
      <c r="Q53" s="28">
        <f t="shared" si="6"/>
        <v>0</v>
      </c>
    </row>
    <row r="54" ht="18.75" customHeight="1">
      <c r="A54" s="64" t="s">
        <v>214</v>
      </c>
      <c r="B54" s="65">
        <v>50.0</v>
      </c>
      <c r="C54" s="66" t="s">
        <v>32</v>
      </c>
      <c r="D54" s="73">
        <v>0.0</v>
      </c>
      <c r="F54" s="64" t="s">
        <v>523</v>
      </c>
      <c r="G54" s="68" t="s">
        <v>141</v>
      </c>
      <c r="H54" s="69">
        <v>22.178</v>
      </c>
      <c r="I54" s="70">
        <f t="shared" si="17"/>
        <v>1.254486428</v>
      </c>
      <c r="J54" s="71">
        <f t="shared" si="18"/>
        <v>13.911</v>
      </c>
      <c r="K54" s="11"/>
      <c r="L54" s="28" t="str">
        <f t="shared" si="3"/>
        <v>#N/A</v>
      </c>
      <c r="M54" s="28" t="str">
        <f t="shared" si="20"/>
        <v>#N/A</v>
      </c>
      <c r="N54" s="28" t="str">
        <f t="shared" si="5"/>
        <v>#N/A</v>
      </c>
      <c r="O54" s="74" t="e">
        <v>#N/A</v>
      </c>
      <c r="P54" s="29"/>
      <c r="Q54" s="28">
        <f t="shared" si="6"/>
        <v>0</v>
      </c>
    </row>
    <row r="55" ht="18.75" customHeight="1">
      <c r="A55" s="64" t="s">
        <v>215</v>
      </c>
      <c r="B55" s="65">
        <v>65.0</v>
      </c>
      <c r="C55" s="66" t="s">
        <v>32</v>
      </c>
      <c r="D55" s="73">
        <v>2.0</v>
      </c>
      <c r="F55" s="64" t="s">
        <v>523</v>
      </c>
      <c r="G55" s="68" t="s">
        <v>141</v>
      </c>
      <c r="H55" s="69">
        <v>40.0</v>
      </c>
      <c r="I55" s="70">
        <f t="shared" si="17"/>
        <v>0.625</v>
      </c>
      <c r="J55" s="71">
        <f t="shared" si="18"/>
        <v>12.5</v>
      </c>
      <c r="K55" s="11"/>
      <c r="L55" s="28" t="str">
        <f t="shared" si="3"/>
        <v>#N/A</v>
      </c>
      <c r="M55" s="28" t="str">
        <f t="shared" si="20"/>
        <v>#N/A</v>
      </c>
      <c r="N55" s="28" t="str">
        <f t="shared" si="5"/>
        <v>#N/A</v>
      </c>
      <c r="O55" s="74" t="e">
        <v>#N/A</v>
      </c>
      <c r="P55" s="29"/>
      <c r="Q55" s="28">
        <f t="shared" si="6"/>
        <v>80</v>
      </c>
    </row>
    <row r="56" ht="18.75" customHeight="1">
      <c r="A56" s="64" t="s">
        <v>216</v>
      </c>
      <c r="B56" s="65">
        <v>60.0</v>
      </c>
      <c r="C56" s="66" t="s">
        <v>32</v>
      </c>
      <c r="D56" s="73">
        <v>2.0</v>
      </c>
      <c r="F56" s="64" t="s">
        <v>523</v>
      </c>
      <c r="G56" s="68" t="s">
        <v>141</v>
      </c>
      <c r="H56" s="69">
        <v>34.0</v>
      </c>
      <c r="I56" s="70">
        <f t="shared" si="17"/>
        <v>0.7647058824</v>
      </c>
      <c r="J56" s="71">
        <f t="shared" si="18"/>
        <v>13</v>
      </c>
      <c r="K56" s="11"/>
      <c r="L56" s="28" t="str">
        <f t="shared" si="3"/>
        <v>#N/A</v>
      </c>
      <c r="M56" s="28" t="str">
        <f t="shared" si="20"/>
        <v>#N/A</v>
      </c>
      <c r="N56" s="28" t="str">
        <f t="shared" si="5"/>
        <v>#N/A</v>
      </c>
      <c r="O56" s="74" t="e">
        <v>#N/A</v>
      </c>
      <c r="P56" s="29"/>
      <c r="Q56" s="28">
        <f t="shared" si="6"/>
        <v>68</v>
      </c>
    </row>
    <row r="57" ht="18.75" customHeight="1">
      <c r="A57" s="64" t="s">
        <v>219</v>
      </c>
      <c r="B57" s="65">
        <v>40.0</v>
      </c>
      <c r="C57" s="66" t="s">
        <v>32</v>
      </c>
      <c r="D57" s="75">
        <v>3.0</v>
      </c>
      <c r="F57" s="64" t="s">
        <v>523</v>
      </c>
      <c r="G57" s="76" t="s">
        <v>633</v>
      </c>
      <c r="H57" s="77">
        <v>21.32</v>
      </c>
      <c r="I57" s="70">
        <f t="shared" si="17"/>
        <v>0.8761726079</v>
      </c>
      <c r="J57" s="71">
        <f t="shared" si="18"/>
        <v>9.34</v>
      </c>
      <c r="K57" s="11"/>
      <c r="L57" s="28" t="str">
        <f t="shared" si="3"/>
        <v>#N/A</v>
      </c>
      <c r="M57" s="28" t="str">
        <f t="shared" si="20"/>
        <v>#N/A</v>
      </c>
      <c r="N57" s="28" t="str">
        <f t="shared" si="5"/>
        <v>#N/A</v>
      </c>
      <c r="O57" s="72" t="e">
        <v>#N/A</v>
      </c>
      <c r="P57" s="29"/>
      <c r="Q57" s="28">
        <f t="shared" si="6"/>
        <v>63.96</v>
      </c>
    </row>
    <row r="58" ht="18.75" customHeight="1">
      <c r="A58" s="64" t="s">
        <v>221</v>
      </c>
      <c r="B58" s="65">
        <v>40.0</v>
      </c>
      <c r="C58" s="66" t="s">
        <v>32</v>
      </c>
      <c r="D58" s="75">
        <v>5.0</v>
      </c>
      <c r="F58" s="64" t="s">
        <v>523</v>
      </c>
      <c r="G58" s="76" t="s">
        <v>633</v>
      </c>
      <c r="H58" s="77">
        <v>21.32</v>
      </c>
      <c r="I58" s="70">
        <f t="shared" si="17"/>
        <v>0.8761726079</v>
      </c>
      <c r="J58" s="71">
        <f t="shared" si="18"/>
        <v>9.34</v>
      </c>
      <c r="K58" s="11"/>
      <c r="L58" s="28" t="str">
        <f t="shared" si="3"/>
        <v>#N/A</v>
      </c>
      <c r="M58" s="28" t="str">
        <f t="shared" si="20"/>
        <v>#N/A</v>
      </c>
      <c r="N58" s="28" t="str">
        <f t="shared" si="5"/>
        <v>#N/A</v>
      </c>
      <c r="O58" s="72" t="e">
        <v>#N/A</v>
      </c>
      <c r="P58" s="29"/>
      <c r="Q58" s="28">
        <f t="shared" si="6"/>
        <v>106.6</v>
      </c>
    </row>
    <row r="59" ht="18.75" customHeight="1">
      <c r="A59" s="64" t="s">
        <v>222</v>
      </c>
      <c r="B59" s="65">
        <v>20.0</v>
      </c>
      <c r="C59" s="66" t="s">
        <v>32</v>
      </c>
      <c r="D59" s="75">
        <v>9.0</v>
      </c>
      <c r="E59" s="78" t="str">
        <f t="shared" ref="E59:E298" si="21">D59 + SUMIF('Hoja 33'!A:A, A59, 'Hoja 33'!B:B)</f>
        <v>#N/A</v>
      </c>
      <c r="F59" s="64" t="s">
        <v>523</v>
      </c>
      <c r="G59" s="76" t="s">
        <v>633</v>
      </c>
      <c r="H59" s="77">
        <v>8.98</v>
      </c>
      <c r="I59" s="70">
        <f t="shared" si="17"/>
        <v>1.227171492</v>
      </c>
      <c r="J59" s="71">
        <f t="shared" si="18"/>
        <v>5.51</v>
      </c>
      <c r="K59" s="11"/>
      <c r="L59" s="28" t="str">
        <f t="shared" si="3"/>
        <v>#N/A</v>
      </c>
      <c r="M59" s="28" t="str">
        <f t="shared" si="20"/>
        <v>#N/A</v>
      </c>
      <c r="N59" s="28" t="str">
        <f t="shared" si="5"/>
        <v>#N/A</v>
      </c>
      <c r="O59" s="72" t="e">
        <v>#N/A</v>
      </c>
      <c r="P59" s="29"/>
      <c r="Q59" s="28">
        <f t="shared" si="6"/>
        <v>80.82</v>
      </c>
    </row>
    <row r="60" ht="18.75" customHeight="1">
      <c r="A60" s="64" t="s">
        <v>224</v>
      </c>
      <c r="B60" s="65">
        <v>20.0</v>
      </c>
      <c r="C60" s="66" t="s">
        <v>32</v>
      </c>
      <c r="D60" s="75">
        <v>10.0</v>
      </c>
      <c r="E60" s="78" t="str">
        <f t="shared" si="21"/>
        <v>#N/A</v>
      </c>
      <c r="F60" s="64" t="s">
        <v>523</v>
      </c>
      <c r="G60" s="76" t="s">
        <v>633</v>
      </c>
      <c r="H60" s="77">
        <v>8.98</v>
      </c>
      <c r="I60" s="70">
        <f t="shared" si="17"/>
        <v>1.227171492</v>
      </c>
      <c r="J60" s="71">
        <f t="shared" si="18"/>
        <v>5.51</v>
      </c>
      <c r="K60" s="11"/>
      <c r="L60" s="28" t="str">
        <f t="shared" si="3"/>
        <v>#N/A</v>
      </c>
      <c r="M60" s="28" t="str">
        <f t="shared" si="20"/>
        <v>#N/A</v>
      </c>
      <c r="N60" s="28" t="str">
        <f t="shared" si="5"/>
        <v>#N/A</v>
      </c>
      <c r="O60" s="72" t="e">
        <v>#N/A</v>
      </c>
      <c r="P60" s="29"/>
      <c r="Q60" s="28">
        <f t="shared" si="6"/>
        <v>89.8</v>
      </c>
    </row>
    <row r="61" ht="18.75" customHeight="1">
      <c r="A61" s="79" t="s">
        <v>225</v>
      </c>
      <c r="B61" s="80">
        <v>170.0</v>
      </c>
      <c r="C61" s="81" t="s">
        <v>32</v>
      </c>
      <c r="D61" s="82">
        <v>4.0</v>
      </c>
      <c r="E61" s="78" t="str">
        <f t="shared" si="21"/>
        <v>#N/A</v>
      </c>
      <c r="F61" s="79" t="s">
        <v>711</v>
      </c>
      <c r="G61" s="83" t="s">
        <v>141</v>
      </c>
      <c r="H61" s="84">
        <v>115.0</v>
      </c>
      <c r="I61" s="85">
        <f t="shared" si="17"/>
        <v>0.4782608696</v>
      </c>
      <c r="J61" s="86">
        <f t="shared" si="18"/>
        <v>27.5</v>
      </c>
      <c r="K61" s="11"/>
      <c r="L61" s="28" t="str">
        <f t="shared" si="3"/>
        <v>#N/A</v>
      </c>
      <c r="M61" s="28" t="str">
        <f t="shared" si="20"/>
        <v>#N/A</v>
      </c>
      <c r="N61" s="28" t="str">
        <f t="shared" si="5"/>
        <v>#N/A</v>
      </c>
      <c r="O61" s="74" t="e">
        <v>#N/A</v>
      </c>
      <c r="P61" s="29"/>
      <c r="Q61" s="28">
        <f t="shared" si="6"/>
        <v>460</v>
      </c>
    </row>
    <row r="62" ht="18.75" customHeight="1">
      <c r="A62" s="79" t="s">
        <v>227</v>
      </c>
      <c r="B62" s="80">
        <v>170.0</v>
      </c>
      <c r="C62" s="81" t="s">
        <v>32</v>
      </c>
      <c r="D62" s="87">
        <v>4.0</v>
      </c>
      <c r="E62" s="78" t="str">
        <f t="shared" si="21"/>
        <v>#N/A</v>
      </c>
      <c r="F62" s="79" t="s">
        <v>711</v>
      </c>
      <c r="G62" s="83" t="s">
        <v>141</v>
      </c>
      <c r="H62" s="84">
        <v>115.0</v>
      </c>
      <c r="I62" s="85">
        <f t="shared" si="17"/>
        <v>0.4782608696</v>
      </c>
      <c r="J62" s="86">
        <f t="shared" si="18"/>
        <v>27.5</v>
      </c>
      <c r="K62" s="11"/>
      <c r="L62" s="28" t="str">
        <f t="shared" si="3"/>
        <v>#N/A</v>
      </c>
      <c r="M62" s="28" t="str">
        <f t="shared" si="20"/>
        <v>#N/A</v>
      </c>
      <c r="N62" s="28" t="str">
        <f t="shared" si="5"/>
        <v>#N/A</v>
      </c>
      <c r="O62" s="74" t="e">
        <v>#N/A</v>
      </c>
      <c r="P62" s="29"/>
      <c r="Q62" s="28">
        <f t="shared" si="6"/>
        <v>460</v>
      </c>
    </row>
    <row r="63" ht="18.75" customHeight="1">
      <c r="A63" s="79" t="s">
        <v>229</v>
      </c>
      <c r="B63" s="80">
        <v>170.0</v>
      </c>
      <c r="C63" s="81" t="s">
        <v>32</v>
      </c>
      <c r="D63" s="82">
        <v>0.0</v>
      </c>
      <c r="E63" s="78" t="str">
        <f t="shared" si="21"/>
        <v>#N/A</v>
      </c>
      <c r="F63" s="79" t="s">
        <v>711</v>
      </c>
      <c r="G63" s="83" t="s">
        <v>141</v>
      </c>
      <c r="H63" s="84">
        <v>115.0</v>
      </c>
      <c r="I63" s="85">
        <f t="shared" si="17"/>
        <v>0.4782608696</v>
      </c>
      <c r="J63" s="86">
        <f t="shared" si="18"/>
        <v>27.5</v>
      </c>
      <c r="K63" s="11"/>
      <c r="L63" s="28" t="str">
        <f t="shared" si="3"/>
        <v>#N/A</v>
      </c>
      <c r="M63" s="28" t="str">
        <f t="shared" si="20"/>
        <v>#N/A</v>
      </c>
      <c r="N63" s="28" t="str">
        <f t="shared" si="5"/>
        <v>#N/A</v>
      </c>
      <c r="O63" s="74" t="e">
        <v>#N/A</v>
      </c>
      <c r="P63" s="29"/>
      <c r="Q63" s="28">
        <f t="shared" si="6"/>
        <v>0</v>
      </c>
    </row>
    <row r="64" ht="18.75" customHeight="1">
      <c r="A64" s="79" t="s">
        <v>230</v>
      </c>
      <c r="B64" s="80">
        <v>170.0</v>
      </c>
      <c r="C64" s="81" t="s">
        <v>32</v>
      </c>
      <c r="D64" s="82">
        <v>0.0</v>
      </c>
      <c r="E64" s="78" t="str">
        <f t="shared" si="21"/>
        <v>#N/A</v>
      </c>
      <c r="F64" s="79" t="s">
        <v>711</v>
      </c>
      <c r="G64" s="83" t="s">
        <v>141</v>
      </c>
      <c r="H64" s="84">
        <v>115.0</v>
      </c>
      <c r="I64" s="85">
        <f t="shared" si="17"/>
        <v>0.4782608696</v>
      </c>
      <c r="J64" s="86">
        <f t="shared" si="18"/>
        <v>27.5</v>
      </c>
      <c r="K64" s="11"/>
      <c r="L64" s="28" t="str">
        <f t="shared" si="3"/>
        <v>#N/A</v>
      </c>
      <c r="M64" s="28" t="str">
        <f t="shared" si="20"/>
        <v>#N/A</v>
      </c>
      <c r="N64" s="28" t="str">
        <f t="shared" si="5"/>
        <v>#N/A</v>
      </c>
      <c r="O64" s="74" t="e">
        <v>#N/A</v>
      </c>
      <c r="P64" s="29"/>
      <c r="Q64" s="28">
        <f t="shared" si="6"/>
        <v>0</v>
      </c>
    </row>
    <row r="65" ht="18.75" customHeight="1">
      <c r="A65" s="88" t="s">
        <v>232</v>
      </c>
      <c r="B65" s="89">
        <v>16.0</v>
      </c>
      <c r="C65" s="90" t="s">
        <v>32</v>
      </c>
      <c r="D65" s="89">
        <v>0.0</v>
      </c>
      <c r="E65" s="78" t="str">
        <f t="shared" si="21"/>
        <v>#N/A</v>
      </c>
      <c r="F65" s="88" t="s">
        <v>844</v>
      </c>
      <c r="G65" s="91" t="s">
        <v>141</v>
      </c>
      <c r="H65" s="92">
        <v>11.0547</v>
      </c>
      <c r="I65" s="93">
        <f t="shared" si="17"/>
        <v>0.4473481867</v>
      </c>
      <c r="J65" s="94">
        <f t="shared" si="18"/>
        <v>2.47265</v>
      </c>
      <c r="K65" s="11"/>
      <c r="L65" s="28">
        <f t="shared" si="3"/>
        <v>0.38</v>
      </c>
      <c r="M65" s="23">
        <f t="shared" ref="M65:M77" si="22">L65+10</f>
        <v>10.38</v>
      </c>
      <c r="N65" s="23">
        <f t="shared" si="5"/>
        <v>11.0547</v>
      </c>
      <c r="O65" s="95">
        <v>0.01</v>
      </c>
      <c r="P65" s="29"/>
      <c r="Q65" s="28">
        <f t="shared" si="6"/>
        <v>0</v>
      </c>
    </row>
    <row r="66" ht="18.75" customHeight="1">
      <c r="A66" s="88" t="s">
        <v>235</v>
      </c>
      <c r="B66" s="89">
        <v>16.0</v>
      </c>
      <c r="C66" s="90" t="s">
        <v>32</v>
      </c>
      <c r="D66" s="96">
        <v>0.0</v>
      </c>
      <c r="E66" s="78" t="str">
        <f t="shared" si="21"/>
        <v>#N/A</v>
      </c>
      <c r="F66" s="88" t="s">
        <v>844</v>
      </c>
      <c r="G66" s="91" t="s">
        <v>141</v>
      </c>
      <c r="H66" s="92">
        <v>11.0547</v>
      </c>
      <c r="I66" s="93">
        <f t="shared" si="17"/>
        <v>0.4473481867</v>
      </c>
      <c r="J66" s="94">
        <f t="shared" si="18"/>
        <v>2.47265</v>
      </c>
      <c r="K66" s="11"/>
      <c r="L66" s="28">
        <f t="shared" si="3"/>
        <v>0.38</v>
      </c>
      <c r="M66" s="23">
        <f t="shared" si="22"/>
        <v>10.38</v>
      </c>
      <c r="N66" s="23">
        <f t="shared" si="5"/>
        <v>11.0547</v>
      </c>
      <c r="O66" s="95">
        <v>0.01</v>
      </c>
      <c r="P66" s="29"/>
      <c r="Q66" s="28">
        <f t="shared" si="6"/>
        <v>0</v>
      </c>
    </row>
    <row r="67" ht="18.75" customHeight="1">
      <c r="A67" s="88" t="s">
        <v>237</v>
      </c>
      <c r="B67" s="89">
        <v>16.0</v>
      </c>
      <c r="C67" s="90" t="s">
        <v>32</v>
      </c>
      <c r="D67" s="89">
        <v>1.0</v>
      </c>
      <c r="E67" s="78" t="str">
        <f t="shared" si="21"/>
        <v>#N/A</v>
      </c>
      <c r="F67" s="88" t="s">
        <v>844</v>
      </c>
      <c r="G67" s="91" t="s">
        <v>141</v>
      </c>
      <c r="H67" s="92">
        <v>11.0547</v>
      </c>
      <c r="I67" s="93">
        <f t="shared" si="17"/>
        <v>0.4473481867</v>
      </c>
      <c r="J67" s="94">
        <f t="shared" si="18"/>
        <v>2.47265</v>
      </c>
      <c r="K67" s="11"/>
      <c r="L67" s="28">
        <f t="shared" si="3"/>
        <v>0.38</v>
      </c>
      <c r="M67" s="23">
        <f t="shared" si="22"/>
        <v>10.38</v>
      </c>
      <c r="N67" s="23">
        <f t="shared" si="5"/>
        <v>11.0547</v>
      </c>
      <c r="O67" s="95">
        <v>0.01</v>
      </c>
      <c r="P67" s="29"/>
      <c r="Q67" s="28">
        <f t="shared" si="6"/>
        <v>11.0547</v>
      </c>
    </row>
    <row r="68" ht="18.75" customHeight="1">
      <c r="A68" s="88" t="s">
        <v>239</v>
      </c>
      <c r="B68" s="89">
        <v>16.0</v>
      </c>
      <c r="C68" s="90" t="s">
        <v>32</v>
      </c>
      <c r="D68" s="89">
        <v>1.0</v>
      </c>
      <c r="E68" s="78" t="str">
        <f t="shared" si="21"/>
        <v>#N/A</v>
      </c>
      <c r="F68" s="88" t="s">
        <v>844</v>
      </c>
      <c r="G68" s="91" t="s">
        <v>141</v>
      </c>
      <c r="H68" s="92">
        <v>11.0547</v>
      </c>
      <c r="I68" s="93">
        <f t="shared" si="17"/>
        <v>0.4473481867</v>
      </c>
      <c r="J68" s="94">
        <f t="shared" si="18"/>
        <v>2.47265</v>
      </c>
      <c r="K68" s="11"/>
      <c r="L68" s="28">
        <f t="shared" si="3"/>
        <v>0.38</v>
      </c>
      <c r="M68" s="23">
        <f t="shared" si="22"/>
        <v>10.38</v>
      </c>
      <c r="N68" s="23">
        <f t="shared" si="5"/>
        <v>11.0547</v>
      </c>
      <c r="O68" s="95">
        <v>0.01</v>
      </c>
      <c r="P68" s="29"/>
      <c r="Q68" s="28">
        <f t="shared" si="6"/>
        <v>11.0547</v>
      </c>
    </row>
    <row r="69" ht="18.75" customHeight="1">
      <c r="A69" s="88" t="s">
        <v>240</v>
      </c>
      <c r="B69" s="89">
        <v>16.0</v>
      </c>
      <c r="C69" s="90" t="s">
        <v>32</v>
      </c>
      <c r="D69" s="89">
        <v>1.0</v>
      </c>
      <c r="E69" s="78" t="str">
        <f t="shared" si="21"/>
        <v>#N/A</v>
      </c>
      <c r="F69" s="88" t="s">
        <v>844</v>
      </c>
      <c r="G69" s="91" t="s">
        <v>141</v>
      </c>
      <c r="H69" s="92">
        <v>11.0547</v>
      </c>
      <c r="I69" s="93">
        <f t="shared" si="17"/>
        <v>0.4473481867</v>
      </c>
      <c r="J69" s="94">
        <f t="shared" si="18"/>
        <v>2.47265</v>
      </c>
      <c r="K69" s="11"/>
      <c r="L69" s="28">
        <f t="shared" si="3"/>
        <v>0.38</v>
      </c>
      <c r="M69" s="23">
        <f t="shared" si="22"/>
        <v>10.38</v>
      </c>
      <c r="N69" s="23">
        <f t="shared" si="5"/>
        <v>11.0547</v>
      </c>
      <c r="O69" s="95">
        <v>0.01</v>
      </c>
      <c r="P69" s="29"/>
      <c r="Q69" s="28">
        <f t="shared" si="6"/>
        <v>11.0547</v>
      </c>
    </row>
    <row r="70" ht="18.75" customHeight="1">
      <c r="A70" s="88" t="s">
        <v>242</v>
      </c>
      <c r="B70" s="89">
        <v>16.0</v>
      </c>
      <c r="C70" s="90" t="s">
        <v>32</v>
      </c>
      <c r="D70" s="89">
        <v>2.0</v>
      </c>
      <c r="E70" s="78" t="str">
        <f t="shared" si="21"/>
        <v>#N/A</v>
      </c>
      <c r="F70" s="88" t="s">
        <v>844</v>
      </c>
      <c r="G70" s="91" t="s">
        <v>141</v>
      </c>
      <c r="H70" s="92">
        <v>11.0547</v>
      </c>
      <c r="I70" s="93">
        <f t="shared" si="17"/>
        <v>0.4473481867</v>
      </c>
      <c r="J70" s="94">
        <f t="shared" si="18"/>
        <v>2.47265</v>
      </c>
      <c r="K70" s="11"/>
      <c r="L70" s="28">
        <f t="shared" si="3"/>
        <v>0.38</v>
      </c>
      <c r="M70" s="23">
        <f t="shared" si="22"/>
        <v>10.38</v>
      </c>
      <c r="N70" s="23">
        <f t="shared" si="5"/>
        <v>11.0547</v>
      </c>
      <c r="O70" s="95">
        <v>0.01</v>
      </c>
      <c r="P70" s="29"/>
      <c r="Q70" s="28">
        <f t="shared" si="6"/>
        <v>22.1094</v>
      </c>
    </row>
    <row r="71" ht="18.75" customHeight="1">
      <c r="A71" s="88" t="s">
        <v>244</v>
      </c>
      <c r="B71" s="89">
        <v>16.0</v>
      </c>
      <c r="C71" s="90" t="s">
        <v>32</v>
      </c>
      <c r="D71" s="89">
        <v>1.0</v>
      </c>
      <c r="E71" s="78" t="str">
        <f t="shared" si="21"/>
        <v>#N/A</v>
      </c>
      <c r="F71" s="88" t="s">
        <v>844</v>
      </c>
      <c r="G71" s="91" t="s">
        <v>141</v>
      </c>
      <c r="H71" s="92">
        <v>11.0547</v>
      </c>
      <c r="I71" s="93">
        <f t="shared" si="17"/>
        <v>0.4473481867</v>
      </c>
      <c r="J71" s="94">
        <f t="shared" si="18"/>
        <v>2.47265</v>
      </c>
      <c r="K71" s="11"/>
      <c r="L71" s="28">
        <f t="shared" si="3"/>
        <v>0.38</v>
      </c>
      <c r="M71" s="23">
        <f t="shared" si="22"/>
        <v>10.38</v>
      </c>
      <c r="N71" s="23">
        <f t="shared" si="5"/>
        <v>11.0547</v>
      </c>
      <c r="O71" s="95">
        <v>0.01</v>
      </c>
      <c r="P71" s="29"/>
      <c r="Q71" s="28">
        <f t="shared" si="6"/>
        <v>11.0547</v>
      </c>
    </row>
    <row r="72" ht="18.75" customHeight="1">
      <c r="A72" s="88" t="s">
        <v>245</v>
      </c>
      <c r="B72" s="89">
        <v>16.0</v>
      </c>
      <c r="C72" s="90" t="s">
        <v>32</v>
      </c>
      <c r="D72" s="89">
        <v>2.0</v>
      </c>
      <c r="E72" s="78" t="str">
        <f t="shared" si="21"/>
        <v>#N/A</v>
      </c>
      <c r="F72" s="88" t="s">
        <v>844</v>
      </c>
      <c r="G72" s="91" t="s">
        <v>141</v>
      </c>
      <c r="H72" s="92">
        <v>11.0547</v>
      </c>
      <c r="I72" s="93">
        <f t="shared" si="17"/>
        <v>0.4473481867</v>
      </c>
      <c r="J72" s="94">
        <f t="shared" si="18"/>
        <v>2.47265</v>
      </c>
      <c r="K72" s="11"/>
      <c r="L72" s="28">
        <f t="shared" si="3"/>
        <v>0.38</v>
      </c>
      <c r="M72" s="23">
        <f t="shared" si="22"/>
        <v>10.38</v>
      </c>
      <c r="N72" s="23">
        <f t="shared" si="5"/>
        <v>11.0547</v>
      </c>
      <c r="O72" s="95">
        <v>0.01</v>
      </c>
      <c r="P72" s="29"/>
      <c r="Q72" s="28">
        <f t="shared" si="6"/>
        <v>22.1094</v>
      </c>
    </row>
    <row r="73" ht="18.75" customHeight="1">
      <c r="A73" s="88" t="s">
        <v>247</v>
      </c>
      <c r="B73" s="89">
        <v>16.0</v>
      </c>
      <c r="C73" s="90" t="s">
        <v>32</v>
      </c>
      <c r="D73" s="89">
        <v>2.0</v>
      </c>
      <c r="E73" s="78" t="str">
        <f t="shared" si="21"/>
        <v>#N/A</v>
      </c>
      <c r="F73" s="88" t="s">
        <v>844</v>
      </c>
      <c r="G73" s="91" t="s">
        <v>141</v>
      </c>
      <c r="H73" s="92">
        <v>11.0547</v>
      </c>
      <c r="I73" s="93">
        <f t="shared" si="17"/>
        <v>0.4473481867</v>
      </c>
      <c r="J73" s="94">
        <f t="shared" si="18"/>
        <v>2.47265</v>
      </c>
      <c r="K73" s="11"/>
      <c r="L73" s="28">
        <f t="shared" si="3"/>
        <v>0.38</v>
      </c>
      <c r="M73" s="23">
        <f t="shared" si="22"/>
        <v>10.38</v>
      </c>
      <c r="N73" s="23">
        <f t="shared" si="5"/>
        <v>11.0547</v>
      </c>
      <c r="O73" s="95">
        <v>0.01</v>
      </c>
      <c r="P73" s="29"/>
      <c r="Q73" s="28">
        <f t="shared" si="6"/>
        <v>22.1094</v>
      </c>
    </row>
    <row r="74" ht="18.75" customHeight="1">
      <c r="A74" s="88" t="s">
        <v>250</v>
      </c>
      <c r="B74" s="89">
        <v>16.0</v>
      </c>
      <c r="C74" s="90" t="s">
        <v>32</v>
      </c>
      <c r="D74" s="89">
        <v>0.0</v>
      </c>
      <c r="E74" s="78" t="str">
        <f t="shared" si="21"/>
        <v>#N/A</v>
      </c>
      <c r="F74" s="88" t="s">
        <v>844</v>
      </c>
      <c r="G74" s="91" t="s">
        <v>141</v>
      </c>
      <c r="H74" s="92">
        <v>11.0547</v>
      </c>
      <c r="I74" s="93">
        <f t="shared" si="17"/>
        <v>0.4473481867</v>
      </c>
      <c r="J74" s="94">
        <f t="shared" si="18"/>
        <v>2.47265</v>
      </c>
      <c r="K74" s="11"/>
      <c r="L74" s="28">
        <f t="shared" si="3"/>
        <v>0.38</v>
      </c>
      <c r="M74" s="23">
        <f t="shared" si="22"/>
        <v>10.38</v>
      </c>
      <c r="N74" s="23">
        <f t="shared" si="5"/>
        <v>11.0547</v>
      </c>
      <c r="O74" s="95">
        <v>0.01</v>
      </c>
      <c r="P74" s="29"/>
      <c r="Q74" s="28">
        <f t="shared" si="6"/>
        <v>0</v>
      </c>
    </row>
    <row r="75" ht="18.75" customHeight="1">
      <c r="A75" s="88" t="s">
        <v>252</v>
      </c>
      <c r="B75" s="89">
        <v>16.0</v>
      </c>
      <c r="C75" s="90" t="s">
        <v>32</v>
      </c>
      <c r="D75" s="89">
        <v>3.0</v>
      </c>
      <c r="E75" s="78" t="str">
        <f t="shared" si="21"/>
        <v>#N/A</v>
      </c>
      <c r="F75" s="88" t="s">
        <v>844</v>
      </c>
      <c r="G75" s="91" t="s">
        <v>141</v>
      </c>
      <c r="H75" s="92">
        <v>11.0547</v>
      </c>
      <c r="I75" s="93">
        <f t="shared" si="17"/>
        <v>0.4473481867</v>
      </c>
      <c r="J75" s="94">
        <f t="shared" si="18"/>
        <v>2.47265</v>
      </c>
      <c r="K75" s="11"/>
      <c r="L75" s="28">
        <f t="shared" si="3"/>
        <v>0.38</v>
      </c>
      <c r="M75" s="23">
        <f t="shared" si="22"/>
        <v>10.38</v>
      </c>
      <c r="N75" s="23">
        <f t="shared" si="5"/>
        <v>11.0547</v>
      </c>
      <c r="O75" s="95">
        <v>0.01</v>
      </c>
      <c r="P75" s="29"/>
      <c r="Q75" s="28">
        <f t="shared" si="6"/>
        <v>33.1641</v>
      </c>
    </row>
    <row r="76" ht="18.75" customHeight="1">
      <c r="A76" s="88" t="s">
        <v>254</v>
      </c>
      <c r="B76" s="89">
        <v>16.0</v>
      </c>
      <c r="C76" s="90" t="s">
        <v>32</v>
      </c>
      <c r="D76" s="89">
        <v>3.0</v>
      </c>
      <c r="E76" s="78" t="str">
        <f t="shared" si="21"/>
        <v>#N/A</v>
      </c>
      <c r="F76" s="88" t="s">
        <v>844</v>
      </c>
      <c r="G76" s="91" t="s">
        <v>141</v>
      </c>
      <c r="H76" s="92">
        <v>11.0547</v>
      </c>
      <c r="I76" s="93">
        <f t="shared" si="17"/>
        <v>0.4473481867</v>
      </c>
      <c r="J76" s="94">
        <f t="shared" si="18"/>
        <v>2.47265</v>
      </c>
      <c r="K76" s="11"/>
      <c r="L76" s="28">
        <f t="shared" si="3"/>
        <v>0.38</v>
      </c>
      <c r="M76" s="23">
        <f t="shared" si="22"/>
        <v>10.38</v>
      </c>
      <c r="N76" s="23">
        <f t="shared" si="5"/>
        <v>11.0547</v>
      </c>
      <c r="O76" s="95">
        <v>0.01</v>
      </c>
      <c r="P76" s="29"/>
      <c r="Q76" s="28">
        <f t="shared" si="6"/>
        <v>33.1641</v>
      </c>
    </row>
    <row r="77" ht="18.75" customHeight="1">
      <c r="A77" s="88" t="s">
        <v>256</v>
      </c>
      <c r="B77" s="89">
        <v>16.0</v>
      </c>
      <c r="C77" s="90" t="s">
        <v>32</v>
      </c>
      <c r="D77" s="89">
        <v>3.0</v>
      </c>
      <c r="E77" s="78" t="str">
        <f t="shared" si="21"/>
        <v>#N/A</v>
      </c>
      <c r="F77" s="88" t="s">
        <v>844</v>
      </c>
      <c r="G77" s="91" t="s">
        <v>141</v>
      </c>
      <c r="H77" s="92">
        <v>11.0547</v>
      </c>
      <c r="I77" s="93">
        <f t="shared" si="17"/>
        <v>0.4473481867</v>
      </c>
      <c r="J77" s="94">
        <f t="shared" si="18"/>
        <v>2.47265</v>
      </c>
      <c r="K77" s="11"/>
      <c r="L77" s="28">
        <f t="shared" si="3"/>
        <v>0.38</v>
      </c>
      <c r="M77" s="23">
        <f t="shared" si="22"/>
        <v>10.38</v>
      </c>
      <c r="N77" s="23">
        <f t="shared" si="5"/>
        <v>11.0547</v>
      </c>
      <c r="O77" s="95">
        <v>0.01</v>
      </c>
      <c r="P77" s="29"/>
      <c r="Q77" s="28">
        <f t="shared" si="6"/>
        <v>33.1641</v>
      </c>
    </row>
    <row r="78" ht="18.75" customHeight="1">
      <c r="A78" s="79" t="s">
        <v>258</v>
      </c>
      <c r="B78" s="80">
        <v>30.0</v>
      </c>
      <c r="C78" s="81" t="s">
        <v>32</v>
      </c>
      <c r="D78" s="80">
        <v>12.0</v>
      </c>
      <c r="E78" s="78" t="str">
        <f t="shared" si="21"/>
        <v>#N/A</v>
      </c>
      <c r="F78" s="79" t="s">
        <v>711</v>
      </c>
      <c r="G78" s="83" t="s">
        <v>141</v>
      </c>
      <c r="H78" s="84">
        <v>16.9</v>
      </c>
      <c r="I78" s="85">
        <f t="shared" si="17"/>
        <v>0.775147929</v>
      </c>
      <c r="J78" s="86">
        <f t="shared" si="18"/>
        <v>6.55</v>
      </c>
      <c r="K78" s="11"/>
      <c r="L78" s="28">
        <f t="shared" si="3"/>
        <v>1.9</v>
      </c>
      <c r="M78" s="28">
        <f t="shared" ref="M78:M163" si="23">L78+250</f>
        <v>251.9</v>
      </c>
      <c r="N78" s="28">
        <f t="shared" si="5"/>
        <v>268.2735</v>
      </c>
      <c r="O78" s="72">
        <v>0.05</v>
      </c>
      <c r="P78" s="29"/>
      <c r="Q78" s="28">
        <f t="shared" si="6"/>
        <v>202.8</v>
      </c>
    </row>
    <row r="79" ht="18.75" customHeight="1">
      <c r="A79" s="79" t="s">
        <v>260</v>
      </c>
      <c r="B79" s="80">
        <v>30.0</v>
      </c>
      <c r="C79" s="81" t="s">
        <v>32</v>
      </c>
      <c r="D79" s="80">
        <v>12.0</v>
      </c>
      <c r="E79" s="78" t="str">
        <f t="shared" si="21"/>
        <v>#N/A</v>
      </c>
      <c r="F79" s="79" t="s">
        <v>711</v>
      </c>
      <c r="G79" s="83" t="s">
        <v>141</v>
      </c>
      <c r="H79" s="84">
        <v>12.5</v>
      </c>
      <c r="I79" s="85">
        <f t="shared" si="17"/>
        <v>1.4</v>
      </c>
      <c r="J79" s="86">
        <f t="shared" si="18"/>
        <v>8.75</v>
      </c>
      <c r="K79" s="11"/>
      <c r="L79" s="28">
        <f t="shared" si="3"/>
        <v>31.464</v>
      </c>
      <c r="M79" s="28">
        <f t="shared" si="23"/>
        <v>281.464</v>
      </c>
      <c r="N79" s="28">
        <f t="shared" si="5"/>
        <v>299.75916</v>
      </c>
      <c r="O79" s="72">
        <v>0.828</v>
      </c>
      <c r="P79" s="29"/>
      <c r="Q79" s="28">
        <f t="shared" si="6"/>
        <v>150</v>
      </c>
    </row>
    <row r="80" ht="18.75" customHeight="1">
      <c r="A80" s="88" t="s">
        <v>261</v>
      </c>
      <c r="B80" s="89">
        <v>12.0</v>
      </c>
      <c r="C80" s="90" t="s">
        <v>32</v>
      </c>
      <c r="D80" s="96">
        <v>1.0</v>
      </c>
      <c r="E80" s="78" t="str">
        <f t="shared" si="21"/>
        <v>#N/A</v>
      </c>
      <c r="F80" s="88" t="s">
        <v>844</v>
      </c>
      <c r="G80" s="91" t="s">
        <v>141</v>
      </c>
      <c r="H80" s="100">
        <v>6.95</v>
      </c>
      <c r="I80" s="93">
        <f t="shared" si="17"/>
        <v>0.726618705</v>
      </c>
      <c r="J80" s="94">
        <f t="shared" si="18"/>
        <v>2.525</v>
      </c>
      <c r="K80" s="11"/>
      <c r="L80" s="28">
        <f t="shared" si="3"/>
        <v>0.95</v>
      </c>
      <c r="M80" s="28">
        <f t="shared" si="23"/>
        <v>250.95</v>
      </c>
      <c r="N80" s="28">
        <f t="shared" si="5"/>
        <v>267.26175</v>
      </c>
      <c r="O80" s="72">
        <v>0.025</v>
      </c>
      <c r="P80" s="29"/>
      <c r="Q80" s="28">
        <f t="shared" si="6"/>
        <v>6.95</v>
      </c>
    </row>
    <row r="81" ht="18.75" customHeight="1">
      <c r="A81" s="88" t="s">
        <v>263</v>
      </c>
      <c r="B81" s="89">
        <v>12.0</v>
      </c>
      <c r="C81" s="90" t="s">
        <v>32</v>
      </c>
      <c r="D81" s="96">
        <v>2.0</v>
      </c>
      <c r="E81" s="78" t="str">
        <f t="shared" si="21"/>
        <v>#N/A</v>
      </c>
      <c r="F81" s="88" t="s">
        <v>844</v>
      </c>
      <c r="G81" s="91" t="s">
        <v>141</v>
      </c>
      <c r="H81" s="100">
        <v>6.95</v>
      </c>
      <c r="I81" s="93">
        <f t="shared" si="17"/>
        <v>0.726618705</v>
      </c>
      <c r="J81" s="94">
        <f t="shared" si="18"/>
        <v>2.525</v>
      </c>
      <c r="K81" s="11"/>
      <c r="L81" s="28">
        <f t="shared" si="3"/>
        <v>0.95</v>
      </c>
      <c r="M81" s="28">
        <f t="shared" si="23"/>
        <v>250.95</v>
      </c>
      <c r="N81" s="28">
        <f t="shared" si="5"/>
        <v>267.26175</v>
      </c>
      <c r="O81" s="72">
        <v>0.025</v>
      </c>
      <c r="P81" s="29"/>
      <c r="Q81" s="28">
        <f t="shared" si="6"/>
        <v>13.9</v>
      </c>
    </row>
    <row r="82" ht="18.75" customHeight="1">
      <c r="A82" s="88" t="s">
        <v>265</v>
      </c>
      <c r="B82" s="89">
        <v>12.0</v>
      </c>
      <c r="C82" s="90" t="s">
        <v>32</v>
      </c>
      <c r="D82" s="101">
        <v>3.0</v>
      </c>
      <c r="E82" s="78" t="str">
        <f t="shared" si="21"/>
        <v>#N/A</v>
      </c>
      <c r="F82" s="88" t="s">
        <v>844</v>
      </c>
      <c r="G82" s="91" t="s">
        <v>141</v>
      </c>
      <c r="H82" s="100">
        <v>6.95</v>
      </c>
      <c r="I82" s="93">
        <f t="shared" si="17"/>
        <v>0.726618705</v>
      </c>
      <c r="J82" s="94">
        <f t="shared" si="18"/>
        <v>2.525</v>
      </c>
      <c r="K82" s="11"/>
      <c r="L82" s="28">
        <f t="shared" si="3"/>
        <v>0.95</v>
      </c>
      <c r="M82" s="28">
        <f t="shared" si="23"/>
        <v>250.95</v>
      </c>
      <c r="N82" s="28">
        <f t="shared" si="5"/>
        <v>267.26175</v>
      </c>
      <c r="O82" s="72">
        <v>0.025</v>
      </c>
      <c r="P82" s="29"/>
      <c r="Q82" s="28">
        <f t="shared" si="6"/>
        <v>20.85</v>
      </c>
    </row>
    <row r="83" ht="18.75" customHeight="1">
      <c r="A83" s="88" t="s">
        <v>267</v>
      </c>
      <c r="B83" s="89">
        <v>12.0</v>
      </c>
      <c r="C83" s="90" t="s">
        <v>32</v>
      </c>
      <c r="D83" s="96">
        <v>1.0</v>
      </c>
      <c r="E83" s="78" t="str">
        <f t="shared" si="21"/>
        <v>#N/A</v>
      </c>
      <c r="F83" s="88" t="s">
        <v>844</v>
      </c>
      <c r="G83" s="91" t="s">
        <v>141</v>
      </c>
      <c r="H83" s="100">
        <v>7.52</v>
      </c>
      <c r="I83" s="93">
        <f t="shared" si="17"/>
        <v>0.5957446809</v>
      </c>
      <c r="J83" s="94">
        <f t="shared" si="18"/>
        <v>2.24</v>
      </c>
      <c r="K83" s="11"/>
      <c r="L83" s="28">
        <f t="shared" si="3"/>
        <v>1.52</v>
      </c>
      <c r="M83" s="28">
        <f t="shared" si="23"/>
        <v>251.52</v>
      </c>
      <c r="N83" s="28">
        <f t="shared" si="5"/>
        <v>267.8688</v>
      </c>
      <c r="O83" s="72">
        <v>0.04</v>
      </c>
      <c r="P83" s="29"/>
      <c r="Q83" s="28">
        <f t="shared" si="6"/>
        <v>7.52</v>
      </c>
    </row>
    <row r="84" ht="18.75" customHeight="1">
      <c r="A84" s="88" t="s">
        <v>268</v>
      </c>
      <c r="B84" s="89">
        <v>12.0</v>
      </c>
      <c r="C84" s="90" t="s">
        <v>32</v>
      </c>
      <c r="D84" s="96">
        <v>1.0</v>
      </c>
      <c r="E84" s="78" t="str">
        <f t="shared" si="21"/>
        <v>#N/A</v>
      </c>
      <c r="F84" s="88" t="s">
        <v>844</v>
      </c>
      <c r="G84" s="91" t="s">
        <v>141</v>
      </c>
      <c r="H84" s="100">
        <v>7.02</v>
      </c>
      <c r="I84" s="93">
        <f t="shared" si="17"/>
        <v>0.7094017094</v>
      </c>
      <c r="J84" s="94">
        <f t="shared" si="18"/>
        <v>2.49</v>
      </c>
      <c r="K84" s="11"/>
      <c r="L84" s="28">
        <f t="shared" si="3"/>
        <v>1.52</v>
      </c>
      <c r="M84" s="28">
        <f t="shared" si="23"/>
        <v>251.52</v>
      </c>
      <c r="N84" s="28">
        <f t="shared" si="5"/>
        <v>267.8688</v>
      </c>
      <c r="O84" s="72">
        <v>0.04</v>
      </c>
      <c r="P84" s="29"/>
      <c r="Q84" s="28">
        <f t="shared" si="6"/>
        <v>7.02</v>
      </c>
    </row>
    <row r="85" ht="18.75" customHeight="1">
      <c r="A85" s="88" t="s">
        <v>271</v>
      </c>
      <c r="B85" s="89">
        <v>12.0</v>
      </c>
      <c r="C85" s="90" t="s">
        <v>32</v>
      </c>
      <c r="D85" s="101">
        <v>2.0</v>
      </c>
      <c r="E85" s="78" t="str">
        <f t="shared" si="21"/>
        <v>#N/A</v>
      </c>
      <c r="F85" s="88" t="s">
        <v>844</v>
      </c>
      <c r="G85" s="91" t="s">
        <v>141</v>
      </c>
      <c r="H85" s="100">
        <v>7.02</v>
      </c>
      <c r="I85" s="93">
        <f t="shared" si="17"/>
        <v>0.7094017094</v>
      </c>
      <c r="J85" s="94">
        <f t="shared" si="18"/>
        <v>2.49</v>
      </c>
      <c r="K85" s="11"/>
      <c r="L85" s="28">
        <f t="shared" si="3"/>
        <v>1.52</v>
      </c>
      <c r="M85" s="28">
        <f t="shared" si="23"/>
        <v>251.52</v>
      </c>
      <c r="N85" s="28">
        <f t="shared" si="5"/>
        <v>267.8688</v>
      </c>
      <c r="O85" s="72">
        <v>0.04</v>
      </c>
      <c r="P85" s="29"/>
      <c r="Q85" s="28">
        <f t="shared" si="6"/>
        <v>14.04</v>
      </c>
    </row>
    <row r="86" ht="18.75" customHeight="1">
      <c r="A86" s="88" t="s">
        <v>272</v>
      </c>
      <c r="B86" s="89">
        <v>12.0</v>
      </c>
      <c r="C86" s="90" t="s">
        <v>32</v>
      </c>
      <c r="D86" s="101">
        <v>3.0</v>
      </c>
      <c r="E86" s="78" t="str">
        <f t="shared" si="21"/>
        <v>#N/A</v>
      </c>
      <c r="F86" s="88" t="s">
        <v>844</v>
      </c>
      <c r="G86" s="91" t="s">
        <v>141</v>
      </c>
      <c r="H86" s="100">
        <v>8.02</v>
      </c>
      <c r="I86" s="93">
        <f t="shared" si="17"/>
        <v>0.4962593516</v>
      </c>
      <c r="J86" s="94">
        <f t="shared" si="18"/>
        <v>1.99</v>
      </c>
      <c r="K86" s="11"/>
      <c r="L86" s="28">
        <f t="shared" si="3"/>
        <v>1.52</v>
      </c>
      <c r="M86" s="28">
        <f t="shared" si="23"/>
        <v>251.52</v>
      </c>
      <c r="N86" s="28">
        <f t="shared" si="5"/>
        <v>267.8688</v>
      </c>
      <c r="O86" s="72">
        <v>0.04</v>
      </c>
      <c r="P86" s="29"/>
      <c r="Q86" s="28">
        <f t="shared" si="6"/>
        <v>24.06</v>
      </c>
    </row>
    <row r="87" ht="18.75" customHeight="1">
      <c r="A87" s="88" t="s">
        <v>275</v>
      </c>
      <c r="B87" s="89">
        <v>12.0</v>
      </c>
      <c r="C87" s="90" t="s">
        <v>32</v>
      </c>
      <c r="D87" s="101">
        <v>0.0</v>
      </c>
      <c r="E87" s="78" t="str">
        <f t="shared" si="21"/>
        <v>#N/A</v>
      </c>
      <c r="F87" s="88" t="s">
        <v>844</v>
      </c>
      <c r="G87" s="91" t="s">
        <v>141</v>
      </c>
      <c r="H87" s="100">
        <v>6.77</v>
      </c>
      <c r="I87" s="93">
        <f t="shared" si="17"/>
        <v>0.7725258493</v>
      </c>
      <c r="J87" s="94">
        <f t="shared" si="18"/>
        <v>2.615</v>
      </c>
      <c r="K87" s="11"/>
      <c r="L87" s="28">
        <f t="shared" si="3"/>
        <v>1.52</v>
      </c>
      <c r="M87" s="28">
        <f t="shared" si="23"/>
        <v>251.52</v>
      </c>
      <c r="N87" s="28">
        <f t="shared" si="5"/>
        <v>267.8688</v>
      </c>
      <c r="O87" s="72">
        <v>0.04</v>
      </c>
      <c r="P87" s="29"/>
      <c r="Q87" s="28">
        <f t="shared" si="6"/>
        <v>0</v>
      </c>
    </row>
    <row r="88" ht="18.75" customHeight="1">
      <c r="A88" s="88" t="s">
        <v>277</v>
      </c>
      <c r="B88" s="89">
        <v>12.0</v>
      </c>
      <c r="C88" s="90" t="s">
        <v>32</v>
      </c>
      <c r="D88" s="101">
        <v>0.0</v>
      </c>
      <c r="E88" s="78" t="str">
        <f t="shared" si="21"/>
        <v>#N/A</v>
      </c>
      <c r="F88" s="88" t="s">
        <v>844</v>
      </c>
      <c r="G88" s="91" t="s">
        <v>141</v>
      </c>
      <c r="H88" s="100">
        <v>6.77</v>
      </c>
      <c r="I88" s="93">
        <f t="shared" si="17"/>
        <v>0.7725258493</v>
      </c>
      <c r="J88" s="94">
        <f t="shared" si="18"/>
        <v>2.615</v>
      </c>
      <c r="K88" s="11"/>
      <c r="L88" s="28">
        <f t="shared" si="3"/>
        <v>1.52</v>
      </c>
      <c r="M88" s="28">
        <f t="shared" si="23"/>
        <v>251.52</v>
      </c>
      <c r="N88" s="28">
        <f t="shared" si="5"/>
        <v>267.8688</v>
      </c>
      <c r="O88" s="72">
        <v>0.04</v>
      </c>
      <c r="P88" s="29"/>
      <c r="Q88" s="28">
        <f t="shared" si="6"/>
        <v>0</v>
      </c>
    </row>
    <row r="89" ht="18.75" customHeight="1">
      <c r="A89" s="88" t="s">
        <v>279</v>
      </c>
      <c r="B89" s="89">
        <v>12.0</v>
      </c>
      <c r="C89" s="90" t="s">
        <v>32</v>
      </c>
      <c r="D89" s="101">
        <v>0.0</v>
      </c>
      <c r="E89" s="78" t="str">
        <f t="shared" si="21"/>
        <v>#N/A</v>
      </c>
      <c r="F89" s="88" t="s">
        <v>844</v>
      </c>
      <c r="G89" s="91" t="s">
        <v>141</v>
      </c>
      <c r="H89" s="100">
        <v>6.77</v>
      </c>
      <c r="I89" s="93">
        <f t="shared" si="17"/>
        <v>0.7725258493</v>
      </c>
      <c r="J89" s="94">
        <f t="shared" si="18"/>
        <v>2.615</v>
      </c>
      <c r="K89" s="11"/>
      <c r="L89" s="28">
        <f t="shared" si="3"/>
        <v>1.52</v>
      </c>
      <c r="M89" s="28">
        <f t="shared" si="23"/>
        <v>251.52</v>
      </c>
      <c r="N89" s="28">
        <f t="shared" si="5"/>
        <v>267.8688</v>
      </c>
      <c r="O89" s="72">
        <v>0.04</v>
      </c>
      <c r="P89" s="29"/>
      <c r="Q89" s="28">
        <f t="shared" si="6"/>
        <v>0</v>
      </c>
    </row>
    <row r="90" ht="18.75" customHeight="1">
      <c r="A90" s="88" t="s">
        <v>280</v>
      </c>
      <c r="B90" s="89">
        <v>12.0</v>
      </c>
      <c r="C90" s="90" t="s">
        <v>32</v>
      </c>
      <c r="D90" s="101">
        <v>0.0</v>
      </c>
      <c r="E90" s="78" t="str">
        <f t="shared" si="21"/>
        <v>#N/A</v>
      </c>
      <c r="F90" s="88" t="s">
        <v>844</v>
      </c>
      <c r="G90" s="91" t="s">
        <v>141</v>
      </c>
      <c r="H90" s="100">
        <v>6.77</v>
      </c>
      <c r="I90" s="93">
        <f t="shared" si="17"/>
        <v>0.7725258493</v>
      </c>
      <c r="J90" s="94">
        <f t="shared" si="18"/>
        <v>2.615</v>
      </c>
      <c r="K90" s="11"/>
      <c r="L90" s="28">
        <f t="shared" si="3"/>
        <v>1.52</v>
      </c>
      <c r="M90" s="28">
        <f t="shared" si="23"/>
        <v>251.52</v>
      </c>
      <c r="N90" s="28">
        <f t="shared" si="5"/>
        <v>267.8688</v>
      </c>
      <c r="O90" s="72">
        <v>0.04</v>
      </c>
      <c r="P90" s="29"/>
      <c r="Q90" s="28">
        <f t="shared" si="6"/>
        <v>0</v>
      </c>
    </row>
    <row r="91" ht="18.75" customHeight="1">
      <c r="A91" s="88" t="s">
        <v>282</v>
      </c>
      <c r="B91" s="89">
        <v>12.0</v>
      </c>
      <c r="C91" s="90" t="s">
        <v>32</v>
      </c>
      <c r="D91" s="101">
        <v>0.0</v>
      </c>
      <c r="E91" s="78" t="str">
        <f t="shared" si="21"/>
        <v>#N/A</v>
      </c>
      <c r="F91" s="88" t="s">
        <v>844</v>
      </c>
      <c r="G91" s="91" t="s">
        <v>141</v>
      </c>
      <c r="H91" s="100">
        <v>7.02</v>
      </c>
      <c r="I91" s="93">
        <f t="shared" si="17"/>
        <v>0.7094017094</v>
      </c>
      <c r="J91" s="94">
        <f t="shared" si="18"/>
        <v>2.49</v>
      </c>
      <c r="K91" s="11"/>
      <c r="L91" s="28">
        <f t="shared" si="3"/>
        <v>1.52</v>
      </c>
      <c r="M91" s="28">
        <f t="shared" si="23"/>
        <v>251.52</v>
      </c>
      <c r="N91" s="28">
        <f t="shared" si="5"/>
        <v>267.8688</v>
      </c>
      <c r="O91" s="72">
        <v>0.04</v>
      </c>
      <c r="P91" s="29"/>
      <c r="Q91" s="28">
        <f t="shared" si="6"/>
        <v>0</v>
      </c>
    </row>
    <row r="92" ht="18.75" customHeight="1">
      <c r="A92" s="88" t="s">
        <v>285</v>
      </c>
      <c r="B92" s="89">
        <v>12.0</v>
      </c>
      <c r="C92" s="90" t="s">
        <v>32</v>
      </c>
      <c r="D92" s="101">
        <v>0.0</v>
      </c>
      <c r="E92" s="78" t="str">
        <f t="shared" si="21"/>
        <v>#N/A</v>
      </c>
      <c r="F92" s="88" t="s">
        <v>844</v>
      </c>
      <c r="G92" s="91" t="s">
        <v>141</v>
      </c>
      <c r="H92" s="100">
        <v>7.02</v>
      </c>
      <c r="I92" s="93">
        <f t="shared" si="17"/>
        <v>0.7094017094</v>
      </c>
      <c r="J92" s="94">
        <f t="shared" si="18"/>
        <v>2.49</v>
      </c>
      <c r="K92" s="11"/>
      <c r="L92" s="28">
        <f t="shared" si="3"/>
        <v>1.52</v>
      </c>
      <c r="M92" s="28">
        <f t="shared" si="23"/>
        <v>251.52</v>
      </c>
      <c r="N92" s="28">
        <f t="shared" si="5"/>
        <v>267.8688</v>
      </c>
      <c r="O92" s="72">
        <v>0.04</v>
      </c>
      <c r="P92" s="29"/>
      <c r="Q92" s="28">
        <f t="shared" si="6"/>
        <v>0</v>
      </c>
    </row>
    <row r="93" ht="18.75" customHeight="1">
      <c r="A93" s="88" t="s">
        <v>286</v>
      </c>
      <c r="B93" s="89">
        <v>12.0</v>
      </c>
      <c r="C93" s="90" t="s">
        <v>32</v>
      </c>
      <c r="D93" s="101">
        <v>0.0</v>
      </c>
      <c r="E93" s="78" t="str">
        <f t="shared" si="21"/>
        <v>#N/A</v>
      </c>
      <c r="F93" s="88" t="s">
        <v>844</v>
      </c>
      <c r="G93" s="91" t="s">
        <v>141</v>
      </c>
      <c r="H93" s="100">
        <v>7.27</v>
      </c>
      <c r="I93" s="93">
        <f t="shared" si="17"/>
        <v>0.6506189821</v>
      </c>
      <c r="J93" s="94">
        <f t="shared" si="18"/>
        <v>2.365</v>
      </c>
      <c r="K93" s="11"/>
      <c r="L93" s="28">
        <f t="shared" si="3"/>
        <v>1.52</v>
      </c>
      <c r="M93" s="28">
        <f t="shared" si="23"/>
        <v>251.52</v>
      </c>
      <c r="N93" s="28">
        <f t="shared" si="5"/>
        <v>267.8688</v>
      </c>
      <c r="O93" s="72">
        <v>0.04</v>
      </c>
      <c r="P93" s="29"/>
      <c r="Q93" s="28">
        <f t="shared" si="6"/>
        <v>0</v>
      </c>
    </row>
    <row r="94" ht="18.75" customHeight="1">
      <c r="A94" s="88" t="s">
        <v>288</v>
      </c>
      <c r="B94" s="89">
        <v>12.0</v>
      </c>
      <c r="C94" s="90" t="s">
        <v>32</v>
      </c>
      <c r="D94" s="101">
        <v>0.0</v>
      </c>
      <c r="E94" s="78" t="str">
        <f t="shared" si="21"/>
        <v>#N/A</v>
      </c>
      <c r="F94" s="88" t="s">
        <v>844</v>
      </c>
      <c r="G94" s="91" t="s">
        <v>141</v>
      </c>
      <c r="H94" s="100">
        <v>8.52</v>
      </c>
      <c r="I94" s="93">
        <f t="shared" si="17"/>
        <v>0.4084507042</v>
      </c>
      <c r="J94" s="94">
        <f t="shared" si="18"/>
        <v>1.74</v>
      </c>
      <c r="K94" s="11"/>
      <c r="L94" s="28">
        <f t="shared" si="3"/>
        <v>1.52</v>
      </c>
      <c r="M94" s="28">
        <f t="shared" si="23"/>
        <v>251.52</v>
      </c>
      <c r="N94" s="28">
        <f t="shared" si="5"/>
        <v>267.8688</v>
      </c>
      <c r="O94" s="72">
        <v>0.04</v>
      </c>
      <c r="P94" s="29"/>
      <c r="Q94" s="28">
        <f t="shared" si="6"/>
        <v>0</v>
      </c>
    </row>
    <row r="95" ht="18.75" customHeight="1">
      <c r="A95" s="88" t="s">
        <v>290</v>
      </c>
      <c r="B95" s="89">
        <v>12.0</v>
      </c>
      <c r="C95" s="90" t="s">
        <v>32</v>
      </c>
      <c r="D95" s="101">
        <v>0.0</v>
      </c>
      <c r="E95" s="78" t="str">
        <f t="shared" si="21"/>
        <v>#N/A</v>
      </c>
      <c r="F95" s="88" t="s">
        <v>844</v>
      </c>
      <c r="G95" s="91" t="s">
        <v>141</v>
      </c>
      <c r="H95" s="100">
        <v>7.27</v>
      </c>
      <c r="I95" s="93">
        <f t="shared" si="17"/>
        <v>0.6506189821</v>
      </c>
      <c r="J95" s="94">
        <f t="shared" si="18"/>
        <v>2.365</v>
      </c>
      <c r="K95" s="11"/>
      <c r="L95" s="28">
        <f t="shared" si="3"/>
        <v>1.52</v>
      </c>
      <c r="M95" s="28">
        <f t="shared" si="23"/>
        <v>251.52</v>
      </c>
      <c r="N95" s="28">
        <f t="shared" si="5"/>
        <v>267.8688</v>
      </c>
      <c r="O95" s="72">
        <v>0.04</v>
      </c>
      <c r="P95" s="29"/>
      <c r="Q95" s="28">
        <f t="shared" si="6"/>
        <v>0</v>
      </c>
    </row>
    <row r="96" ht="18.75" customHeight="1">
      <c r="A96" s="88" t="s">
        <v>291</v>
      </c>
      <c r="B96" s="89">
        <v>12.0</v>
      </c>
      <c r="C96" s="90" t="s">
        <v>32</v>
      </c>
      <c r="D96" s="101">
        <v>0.0</v>
      </c>
      <c r="E96" s="78" t="str">
        <f t="shared" si="21"/>
        <v>#N/A</v>
      </c>
      <c r="F96" s="88" t="s">
        <v>844</v>
      </c>
      <c r="G96" s="91" t="s">
        <v>141</v>
      </c>
      <c r="H96" s="100">
        <v>8.02</v>
      </c>
      <c r="I96" s="93">
        <f t="shared" si="17"/>
        <v>0.4962593516</v>
      </c>
      <c r="J96" s="94">
        <f t="shared" si="18"/>
        <v>1.99</v>
      </c>
      <c r="K96" s="11"/>
      <c r="L96" s="28">
        <f t="shared" si="3"/>
        <v>1.52</v>
      </c>
      <c r="M96" s="28">
        <f t="shared" si="23"/>
        <v>251.52</v>
      </c>
      <c r="N96" s="28">
        <f t="shared" si="5"/>
        <v>267.8688</v>
      </c>
      <c r="O96" s="72">
        <v>0.04</v>
      </c>
      <c r="P96" s="29"/>
      <c r="Q96" s="28">
        <f t="shared" si="6"/>
        <v>0</v>
      </c>
    </row>
    <row r="97" ht="18.75" customHeight="1">
      <c r="A97" s="88" t="s">
        <v>295</v>
      </c>
      <c r="B97" s="89">
        <v>12.0</v>
      </c>
      <c r="C97" s="90" t="s">
        <v>32</v>
      </c>
      <c r="D97" s="101">
        <v>0.0</v>
      </c>
      <c r="E97" s="78" t="str">
        <f t="shared" si="21"/>
        <v>#N/A</v>
      </c>
      <c r="F97" s="88" t="s">
        <v>844</v>
      </c>
      <c r="G97" s="91" t="s">
        <v>141</v>
      </c>
      <c r="H97" s="100">
        <v>6.52</v>
      </c>
      <c r="I97" s="93">
        <f t="shared" si="17"/>
        <v>0.8404907975</v>
      </c>
      <c r="J97" s="94">
        <f t="shared" si="18"/>
        <v>2.74</v>
      </c>
      <c r="K97" s="11"/>
      <c r="L97" s="28">
        <f t="shared" si="3"/>
        <v>1.52</v>
      </c>
      <c r="M97" s="28">
        <f t="shared" si="23"/>
        <v>251.52</v>
      </c>
      <c r="N97" s="28">
        <f t="shared" si="5"/>
        <v>267.8688</v>
      </c>
      <c r="O97" s="72">
        <v>0.04</v>
      </c>
      <c r="P97" s="29"/>
      <c r="Q97" s="28">
        <f t="shared" si="6"/>
        <v>0</v>
      </c>
    </row>
    <row r="98" ht="18.75" customHeight="1">
      <c r="A98" s="88" t="s">
        <v>296</v>
      </c>
      <c r="B98" s="89">
        <v>12.0</v>
      </c>
      <c r="C98" s="90" t="s">
        <v>32</v>
      </c>
      <c r="D98" s="101">
        <v>0.0</v>
      </c>
      <c r="E98" s="78" t="str">
        <f t="shared" si="21"/>
        <v>#N/A</v>
      </c>
      <c r="F98" s="88" t="s">
        <v>844</v>
      </c>
      <c r="G98" s="91" t="s">
        <v>141</v>
      </c>
      <c r="H98" s="100">
        <v>7.02</v>
      </c>
      <c r="I98" s="93">
        <f t="shared" si="17"/>
        <v>0.7094017094</v>
      </c>
      <c r="J98" s="94">
        <f t="shared" si="18"/>
        <v>2.49</v>
      </c>
      <c r="K98" s="11"/>
      <c r="L98" s="28">
        <f t="shared" si="3"/>
        <v>1.52</v>
      </c>
      <c r="M98" s="28">
        <f t="shared" si="23"/>
        <v>251.52</v>
      </c>
      <c r="N98" s="28">
        <f t="shared" si="5"/>
        <v>267.8688</v>
      </c>
      <c r="O98" s="72">
        <v>0.04</v>
      </c>
      <c r="P98" s="29"/>
      <c r="Q98" s="28">
        <f t="shared" si="6"/>
        <v>0</v>
      </c>
    </row>
    <row r="99" ht="18.75" customHeight="1">
      <c r="A99" s="88" t="s">
        <v>297</v>
      </c>
      <c r="B99" s="89">
        <v>12.0</v>
      </c>
      <c r="C99" s="90" t="s">
        <v>32</v>
      </c>
      <c r="D99" s="101">
        <v>0.0</v>
      </c>
      <c r="E99" s="78" t="str">
        <f t="shared" si="21"/>
        <v>#N/A</v>
      </c>
      <c r="F99" s="88" t="s">
        <v>844</v>
      </c>
      <c r="G99" s="91" t="s">
        <v>141</v>
      </c>
      <c r="H99" s="100">
        <v>7.02</v>
      </c>
      <c r="I99" s="93">
        <f t="shared" si="17"/>
        <v>0.7094017094</v>
      </c>
      <c r="J99" s="94">
        <f t="shared" si="18"/>
        <v>2.49</v>
      </c>
      <c r="K99" s="11"/>
      <c r="L99" s="28">
        <f t="shared" si="3"/>
        <v>1.52</v>
      </c>
      <c r="M99" s="28">
        <f t="shared" si="23"/>
        <v>251.52</v>
      </c>
      <c r="N99" s="28">
        <f t="shared" si="5"/>
        <v>267.8688</v>
      </c>
      <c r="O99" s="72">
        <v>0.04</v>
      </c>
      <c r="P99" s="29"/>
      <c r="Q99" s="28">
        <f t="shared" si="6"/>
        <v>0</v>
      </c>
    </row>
    <row r="100" ht="18.75" customHeight="1">
      <c r="A100" s="88" t="s">
        <v>299</v>
      </c>
      <c r="B100" s="89">
        <v>12.0</v>
      </c>
      <c r="C100" s="90" t="s">
        <v>32</v>
      </c>
      <c r="D100" s="101">
        <v>0.0</v>
      </c>
      <c r="E100" s="78" t="str">
        <f t="shared" si="21"/>
        <v>#N/A</v>
      </c>
      <c r="F100" s="88" t="s">
        <v>844</v>
      </c>
      <c r="G100" s="91" t="s">
        <v>141</v>
      </c>
      <c r="H100" s="100">
        <v>7.02</v>
      </c>
      <c r="I100" s="93">
        <f t="shared" si="17"/>
        <v>0.7094017094</v>
      </c>
      <c r="J100" s="94">
        <f t="shared" si="18"/>
        <v>2.49</v>
      </c>
      <c r="K100" s="11"/>
      <c r="L100" s="28">
        <f t="shared" si="3"/>
        <v>1.52</v>
      </c>
      <c r="M100" s="28">
        <f t="shared" si="23"/>
        <v>251.52</v>
      </c>
      <c r="N100" s="28">
        <f t="shared" si="5"/>
        <v>267.8688</v>
      </c>
      <c r="O100" s="72">
        <v>0.04</v>
      </c>
      <c r="P100" s="29"/>
      <c r="Q100" s="28">
        <f t="shared" si="6"/>
        <v>0</v>
      </c>
    </row>
    <row r="101" ht="18.75" customHeight="1">
      <c r="A101" s="88" t="s">
        <v>302</v>
      </c>
      <c r="B101" s="89">
        <v>12.0</v>
      </c>
      <c r="C101" s="90" t="s">
        <v>32</v>
      </c>
      <c r="D101" s="101">
        <v>0.0</v>
      </c>
      <c r="E101" s="78" t="str">
        <f t="shared" si="21"/>
        <v>#N/A</v>
      </c>
      <c r="F101" s="88" t="s">
        <v>844</v>
      </c>
      <c r="G101" s="91" t="s">
        <v>141</v>
      </c>
      <c r="H101" s="100">
        <v>6.52</v>
      </c>
      <c r="I101" s="93">
        <f t="shared" si="17"/>
        <v>0.8404907975</v>
      </c>
      <c r="J101" s="94">
        <f t="shared" si="18"/>
        <v>2.74</v>
      </c>
      <c r="K101" s="11"/>
      <c r="L101" s="28">
        <f t="shared" si="3"/>
        <v>1.52</v>
      </c>
      <c r="M101" s="28">
        <f t="shared" si="23"/>
        <v>251.52</v>
      </c>
      <c r="N101" s="28">
        <f t="shared" si="5"/>
        <v>267.8688</v>
      </c>
      <c r="O101" s="72">
        <v>0.04</v>
      </c>
      <c r="P101" s="29"/>
      <c r="Q101" s="28">
        <f t="shared" si="6"/>
        <v>0</v>
      </c>
    </row>
    <row r="102" ht="18.75" customHeight="1">
      <c r="A102" s="88" t="s">
        <v>305</v>
      </c>
      <c r="B102" s="89">
        <v>12.0</v>
      </c>
      <c r="C102" s="90" t="s">
        <v>32</v>
      </c>
      <c r="D102" s="101">
        <v>0.0</v>
      </c>
      <c r="E102" s="78" t="str">
        <f t="shared" si="21"/>
        <v>#N/A</v>
      </c>
      <c r="F102" s="88" t="s">
        <v>844</v>
      </c>
      <c r="G102" s="91" t="s">
        <v>141</v>
      </c>
      <c r="H102" s="100">
        <v>6.27</v>
      </c>
      <c r="I102" s="93">
        <f t="shared" si="17"/>
        <v>0.9138755981</v>
      </c>
      <c r="J102" s="94">
        <f t="shared" si="18"/>
        <v>2.865</v>
      </c>
      <c r="K102" s="11"/>
      <c r="L102" s="28">
        <f t="shared" si="3"/>
        <v>1.52</v>
      </c>
      <c r="M102" s="28">
        <f t="shared" si="23"/>
        <v>251.52</v>
      </c>
      <c r="N102" s="28">
        <f t="shared" si="5"/>
        <v>267.8688</v>
      </c>
      <c r="O102" s="72">
        <v>0.04</v>
      </c>
      <c r="P102" s="29"/>
      <c r="Q102" s="28">
        <f t="shared" si="6"/>
        <v>0</v>
      </c>
    </row>
    <row r="103" ht="18.75" customHeight="1">
      <c r="A103" s="88" t="s">
        <v>307</v>
      </c>
      <c r="B103" s="89">
        <v>12.0</v>
      </c>
      <c r="C103" s="90" t="s">
        <v>32</v>
      </c>
      <c r="D103" s="101">
        <v>0.0</v>
      </c>
      <c r="E103" s="78" t="str">
        <f t="shared" si="21"/>
        <v>#N/A</v>
      </c>
      <c r="F103" s="88" t="s">
        <v>844</v>
      </c>
      <c r="G103" s="91" t="s">
        <v>141</v>
      </c>
      <c r="H103" s="100">
        <v>6.52</v>
      </c>
      <c r="I103" s="93">
        <f t="shared" si="17"/>
        <v>0.8404907975</v>
      </c>
      <c r="J103" s="94">
        <f t="shared" si="18"/>
        <v>2.74</v>
      </c>
      <c r="K103" s="11"/>
      <c r="L103" s="28" t="str">
        <f t="shared" si="3"/>
        <v>#N/A</v>
      </c>
      <c r="M103" s="28" t="str">
        <f t="shared" si="23"/>
        <v>#N/A</v>
      </c>
      <c r="N103" s="28" t="str">
        <f t="shared" si="5"/>
        <v>#N/A</v>
      </c>
      <c r="O103" s="74" t="e">
        <v>#N/A</v>
      </c>
      <c r="P103" s="29"/>
      <c r="Q103" s="28">
        <f t="shared" si="6"/>
        <v>0</v>
      </c>
    </row>
    <row r="104" ht="18.75" customHeight="1">
      <c r="A104" s="88" t="s">
        <v>310</v>
      </c>
      <c r="B104" s="89">
        <v>12.0</v>
      </c>
      <c r="C104" s="90" t="s">
        <v>32</v>
      </c>
      <c r="D104" s="101">
        <v>0.0</v>
      </c>
      <c r="E104" s="78" t="str">
        <f t="shared" si="21"/>
        <v>#N/A</v>
      </c>
      <c r="F104" s="88" t="s">
        <v>844</v>
      </c>
      <c r="G104" s="91" t="s">
        <v>141</v>
      </c>
      <c r="H104" s="100">
        <v>6.52</v>
      </c>
      <c r="I104" s="93">
        <f t="shared" si="17"/>
        <v>0.8404907975</v>
      </c>
      <c r="J104" s="94">
        <f t="shared" si="18"/>
        <v>2.74</v>
      </c>
      <c r="K104" s="11"/>
      <c r="L104" s="28" t="str">
        <f t="shared" si="3"/>
        <v>#N/A</v>
      </c>
      <c r="M104" s="28" t="str">
        <f t="shared" si="23"/>
        <v>#N/A</v>
      </c>
      <c r="N104" s="28" t="str">
        <f t="shared" si="5"/>
        <v>#N/A</v>
      </c>
      <c r="O104" s="74" t="e">
        <v>#N/A</v>
      </c>
      <c r="P104" s="29"/>
      <c r="Q104" s="28">
        <f t="shared" si="6"/>
        <v>0</v>
      </c>
    </row>
    <row r="105" ht="18.75" customHeight="1">
      <c r="A105" s="88" t="s">
        <v>312</v>
      </c>
      <c r="B105" s="89">
        <v>12.0</v>
      </c>
      <c r="C105" s="90" t="s">
        <v>32</v>
      </c>
      <c r="D105" s="96">
        <v>0.0</v>
      </c>
      <c r="E105" s="78" t="str">
        <f t="shared" si="21"/>
        <v>#N/A</v>
      </c>
      <c r="F105" s="88" t="s">
        <v>844</v>
      </c>
      <c r="G105" s="91" t="s">
        <v>141</v>
      </c>
      <c r="H105" s="100">
        <v>6.52</v>
      </c>
      <c r="I105" s="93">
        <f t="shared" si="17"/>
        <v>0.8404907975</v>
      </c>
      <c r="J105" s="94">
        <f t="shared" si="18"/>
        <v>2.74</v>
      </c>
      <c r="K105" s="11"/>
      <c r="L105" s="28" t="str">
        <f t="shared" si="3"/>
        <v>#N/A</v>
      </c>
      <c r="M105" s="28" t="str">
        <f t="shared" si="23"/>
        <v>#N/A</v>
      </c>
      <c r="N105" s="28" t="str">
        <f t="shared" si="5"/>
        <v>#N/A</v>
      </c>
      <c r="O105" s="74" t="e">
        <v>#N/A</v>
      </c>
      <c r="P105" s="29"/>
      <c r="Q105" s="28">
        <f t="shared" si="6"/>
        <v>0</v>
      </c>
    </row>
    <row r="106" ht="18.75" customHeight="1">
      <c r="A106" s="88" t="s">
        <v>313</v>
      </c>
      <c r="B106" s="89">
        <v>12.0</v>
      </c>
      <c r="C106" s="90" t="s">
        <v>32</v>
      </c>
      <c r="D106" s="96">
        <v>0.0</v>
      </c>
      <c r="E106" s="78" t="str">
        <f t="shared" si="21"/>
        <v>#N/A</v>
      </c>
      <c r="F106" s="88" t="s">
        <v>844</v>
      </c>
      <c r="G106" s="91" t="s">
        <v>141</v>
      </c>
      <c r="H106" s="100">
        <v>6.52</v>
      </c>
      <c r="I106" s="93">
        <f t="shared" si="17"/>
        <v>0.8404907975</v>
      </c>
      <c r="J106" s="94">
        <f t="shared" si="18"/>
        <v>2.74</v>
      </c>
      <c r="K106" s="11"/>
      <c r="L106" s="28" t="str">
        <f t="shared" si="3"/>
        <v>#N/A</v>
      </c>
      <c r="M106" s="28" t="str">
        <f t="shared" si="23"/>
        <v>#N/A</v>
      </c>
      <c r="N106" s="28" t="str">
        <f t="shared" si="5"/>
        <v>#N/A</v>
      </c>
      <c r="O106" s="74" t="e">
        <v>#N/A</v>
      </c>
      <c r="P106" s="29"/>
      <c r="Q106" s="28">
        <f t="shared" si="6"/>
        <v>0</v>
      </c>
    </row>
    <row r="107" ht="18.75" customHeight="1">
      <c r="A107" s="88" t="s">
        <v>316</v>
      </c>
      <c r="B107" s="89">
        <v>12.0</v>
      </c>
      <c r="C107" s="90" t="s">
        <v>32</v>
      </c>
      <c r="D107" s="101">
        <v>1.0</v>
      </c>
      <c r="E107" s="78" t="str">
        <f t="shared" si="21"/>
        <v>#N/A</v>
      </c>
      <c r="F107" s="88" t="s">
        <v>844</v>
      </c>
      <c r="G107" s="91" t="s">
        <v>141</v>
      </c>
      <c r="H107" s="100">
        <v>6.52</v>
      </c>
      <c r="I107" s="93">
        <f t="shared" si="17"/>
        <v>0.8404907975</v>
      </c>
      <c r="J107" s="94">
        <f t="shared" si="18"/>
        <v>2.74</v>
      </c>
      <c r="K107" s="11"/>
      <c r="L107" s="28">
        <f t="shared" si="3"/>
        <v>1.52</v>
      </c>
      <c r="M107" s="28">
        <f t="shared" si="23"/>
        <v>251.52</v>
      </c>
      <c r="N107" s="28">
        <f t="shared" si="5"/>
        <v>267.8688</v>
      </c>
      <c r="O107" s="72">
        <v>0.04</v>
      </c>
      <c r="P107" s="29"/>
      <c r="Q107" s="28">
        <f t="shared" si="6"/>
        <v>6.52</v>
      </c>
    </row>
    <row r="108" ht="18.75" customHeight="1">
      <c r="A108" s="88" t="s">
        <v>318</v>
      </c>
      <c r="B108" s="89">
        <v>12.0</v>
      </c>
      <c r="C108" s="90" t="s">
        <v>32</v>
      </c>
      <c r="D108" s="101">
        <v>1.0</v>
      </c>
      <c r="E108" s="78" t="str">
        <f t="shared" si="21"/>
        <v>#N/A</v>
      </c>
      <c r="F108" s="88" t="s">
        <v>844</v>
      </c>
      <c r="G108" s="91" t="s">
        <v>141</v>
      </c>
      <c r="H108" s="100">
        <v>6.52</v>
      </c>
      <c r="I108" s="93">
        <f t="shared" si="17"/>
        <v>0.8404907975</v>
      </c>
      <c r="J108" s="94">
        <f t="shared" si="18"/>
        <v>2.74</v>
      </c>
      <c r="K108" s="11"/>
      <c r="L108" s="28">
        <f t="shared" si="3"/>
        <v>1.52</v>
      </c>
      <c r="M108" s="28">
        <f t="shared" si="23"/>
        <v>251.52</v>
      </c>
      <c r="N108" s="28">
        <f t="shared" si="5"/>
        <v>267.8688</v>
      </c>
      <c r="O108" s="72">
        <v>0.04</v>
      </c>
      <c r="P108" s="29"/>
      <c r="Q108" s="28">
        <f t="shared" si="6"/>
        <v>6.52</v>
      </c>
    </row>
    <row r="109" ht="18.75" customHeight="1">
      <c r="A109" s="88" t="s">
        <v>320</v>
      </c>
      <c r="B109" s="89">
        <v>12.0</v>
      </c>
      <c r="C109" s="90" t="s">
        <v>32</v>
      </c>
      <c r="D109" s="101">
        <v>1.0</v>
      </c>
      <c r="E109" s="78" t="str">
        <f t="shared" si="21"/>
        <v>#N/A</v>
      </c>
      <c r="F109" s="88" t="s">
        <v>844</v>
      </c>
      <c r="G109" s="91" t="s">
        <v>141</v>
      </c>
      <c r="H109" s="100">
        <v>6.52</v>
      </c>
      <c r="I109" s="93">
        <f t="shared" si="17"/>
        <v>0.8404907975</v>
      </c>
      <c r="J109" s="94">
        <f t="shared" si="18"/>
        <v>2.74</v>
      </c>
      <c r="K109" s="11"/>
      <c r="L109" s="28">
        <f t="shared" si="3"/>
        <v>1.52</v>
      </c>
      <c r="M109" s="28">
        <f t="shared" si="23"/>
        <v>251.52</v>
      </c>
      <c r="N109" s="28">
        <f t="shared" si="5"/>
        <v>267.8688</v>
      </c>
      <c r="O109" s="72">
        <v>0.04</v>
      </c>
      <c r="P109" s="29"/>
      <c r="Q109" s="28">
        <f t="shared" si="6"/>
        <v>6.52</v>
      </c>
    </row>
    <row r="110" ht="18.75" customHeight="1">
      <c r="A110" s="88" t="s">
        <v>323</v>
      </c>
      <c r="B110" s="89">
        <v>12.0</v>
      </c>
      <c r="C110" s="90" t="s">
        <v>32</v>
      </c>
      <c r="D110" s="96">
        <v>0.0</v>
      </c>
      <c r="E110" s="78" t="str">
        <f t="shared" si="21"/>
        <v>#N/A</v>
      </c>
      <c r="F110" s="88" t="s">
        <v>844</v>
      </c>
      <c r="G110" s="91" t="s">
        <v>141</v>
      </c>
      <c r="H110" s="100">
        <v>7.52</v>
      </c>
      <c r="I110" s="93">
        <f t="shared" si="17"/>
        <v>0.5957446809</v>
      </c>
      <c r="J110" s="94">
        <f t="shared" si="18"/>
        <v>2.24</v>
      </c>
      <c r="K110" s="11"/>
      <c r="L110" s="28">
        <f t="shared" si="3"/>
        <v>1.52</v>
      </c>
      <c r="M110" s="28">
        <f t="shared" si="23"/>
        <v>251.52</v>
      </c>
      <c r="N110" s="28">
        <f t="shared" si="5"/>
        <v>267.8688</v>
      </c>
      <c r="O110" s="72">
        <v>0.04</v>
      </c>
      <c r="P110" s="29"/>
      <c r="Q110" s="28">
        <f t="shared" si="6"/>
        <v>0</v>
      </c>
    </row>
    <row r="111" ht="18.75" customHeight="1">
      <c r="A111" s="88" t="s">
        <v>325</v>
      </c>
      <c r="B111" s="89">
        <v>12.0</v>
      </c>
      <c r="C111" s="90" t="s">
        <v>32</v>
      </c>
      <c r="D111" s="96">
        <v>0.0</v>
      </c>
      <c r="E111" s="78" t="str">
        <f t="shared" si="21"/>
        <v>#N/A</v>
      </c>
      <c r="F111" s="88" t="s">
        <v>844</v>
      </c>
      <c r="G111" s="91" t="s">
        <v>141</v>
      </c>
      <c r="H111" s="100">
        <v>7.52</v>
      </c>
      <c r="I111" s="93">
        <f t="shared" si="17"/>
        <v>0.5957446809</v>
      </c>
      <c r="J111" s="94">
        <f t="shared" si="18"/>
        <v>2.24</v>
      </c>
      <c r="K111" s="11"/>
      <c r="L111" s="28">
        <f t="shared" si="3"/>
        <v>1.52</v>
      </c>
      <c r="M111" s="28">
        <f t="shared" si="23"/>
        <v>251.52</v>
      </c>
      <c r="N111" s="28">
        <f t="shared" si="5"/>
        <v>267.8688</v>
      </c>
      <c r="O111" s="72">
        <v>0.04</v>
      </c>
      <c r="P111" s="29"/>
      <c r="Q111" s="28">
        <f t="shared" si="6"/>
        <v>0</v>
      </c>
    </row>
    <row r="112" ht="18.75" customHeight="1">
      <c r="A112" s="88" t="s">
        <v>326</v>
      </c>
      <c r="B112" s="89">
        <v>12.0</v>
      </c>
      <c r="C112" s="90" t="s">
        <v>32</v>
      </c>
      <c r="D112" s="101">
        <v>1.0</v>
      </c>
      <c r="E112" s="78" t="str">
        <f t="shared" si="21"/>
        <v>#N/A</v>
      </c>
      <c r="F112" s="88" t="s">
        <v>844</v>
      </c>
      <c r="G112" s="91" t="s">
        <v>141</v>
      </c>
      <c r="H112" s="100">
        <v>7.52</v>
      </c>
      <c r="I112" s="93">
        <f t="shared" si="17"/>
        <v>0.5957446809</v>
      </c>
      <c r="J112" s="94">
        <f t="shared" si="18"/>
        <v>2.24</v>
      </c>
      <c r="K112" s="11"/>
      <c r="L112" s="28">
        <f t="shared" si="3"/>
        <v>1.52</v>
      </c>
      <c r="M112" s="28">
        <f t="shared" si="23"/>
        <v>251.52</v>
      </c>
      <c r="N112" s="28">
        <f t="shared" si="5"/>
        <v>267.8688</v>
      </c>
      <c r="O112" s="72">
        <v>0.04</v>
      </c>
      <c r="P112" s="29"/>
      <c r="Q112" s="28">
        <f t="shared" si="6"/>
        <v>7.52</v>
      </c>
    </row>
    <row r="113" ht="18.75" customHeight="1">
      <c r="A113" s="88" t="s">
        <v>328</v>
      </c>
      <c r="B113" s="89">
        <v>12.0</v>
      </c>
      <c r="C113" s="90" t="s">
        <v>32</v>
      </c>
      <c r="D113" s="101">
        <v>1.0</v>
      </c>
      <c r="E113" s="78" t="str">
        <f t="shared" si="21"/>
        <v>#N/A</v>
      </c>
      <c r="F113" s="88" t="s">
        <v>844</v>
      </c>
      <c r="G113" s="91" t="s">
        <v>141</v>
      </c>
      <c r="H113" s="100">
        <v>7.52</v>
      </c>
      <c r="I113" s="93">
        <f t="shared" si="17"/>
        <v>0.5957446809</v>
      </c>
      <c r="J113" s="94">
        <f t="shared" si="18"/>
        <v>2.24</v>
      </c>
      <c r="K113" s="11"/>
      <c r="L113" s="28">
        <f t="shared" si="3"/>
        <v>1.52</v>
      </c>
      <c r="M113" s="28">
        <f t="shared" si="23"/>
        <v>251.52</v>
      </c>
      <c r="N113" s="28">
        <f t="shared" si="5"/>
        <v>267.8688</v>
      </c>
      <c r="O113" s="72">
        <v>0.04</v>
      </c>
      <c r="P113" s="29"/>
      <c r="Q113" s="28">
        <f t="shared" si="6"/>
        <v>7.52</v>
      </c>
    </row>
    <row r="114" ht="18.75" customHeight="1">
      <c r="A114" s="112" t="s">
        <v>329</v>
      </c>
      <c r="B114" s="113">
        <v>20.0</v>
      </c>
      <c r="C114" s="114" t="s">
        <v>32</v>
      </c>
      <c r="D114" s="115">
        <v>1.0</v>
      </c>
      <c r="E114" s="78" t="str">
        <f t="shared" si="21"/>
        <v>#N/A</v>
      </c>
      <c r="F114" s="112" t="s">
        <v>1082</v>
      </c>
      <c r="G114" s="116" t="s">
        <v>141</v>
      </c>
      <c r="H114" s="117">
        <v>8.64</v>
      </c>
      <c r="I114" s="118">
        <f t="shared" si="17"/>
        <v>1.314814815</v>
      </c>
      <c r="J114" s="119">
        <f t="shared" si="18"/>
        <v>5.68</v>
      </c>
      <c r="K114" s="11"/>
      <c r="L114" s="28" t="str">
        <f t="shared" si="3"/>
        <v>#N/A</v>
      </c>
      <c r="M114" s="28" t="str">
        <f t="shared" si="23"/>
        <v>#N/A</v>
      </c>
      <c r="N114" s="28" t="str">
        <f t="shared" si="5"/>
        <v>#N/A</v>
      </c>
      <c r="O114" s="74" t="e">
        <v>#N/A</v>
      </c>
      <c r="P114" s="29"/>
      <c r="Q114" s="28">
        <f t="shared" si="6"/>
        <v>8.64</v>
      </c>
    </row>
    <row r="115" ht="18.75" customHeight="1">
      <c r="A115" s="112" t="s">
        <v>331</v>
      </c>
      <c r="B115" s="113">
        <v>20.0</v>
      </c>
      <c r="C115" s="114" t="s">
        <v>32</v>
      </c>
      <c r="D115" s="115">
        <v>3.0</v>
      </c>
      <c r="E115" s="78" t="str">
        <f t="shared" si="21"/>
        <v>#N/A</v>
      </c>
      <c r="F115" s="112" t="s">
        <v>1082</v>
      </c>
      <c r="G115" s="116" t="s">
        <v>141</v>
      </c>
      <c r="H115" s="117">
        <v>9.02</v>
      </c>
      <c r="I115" s="118">
        <f t="shared" si="17"/>
        <v>1.2172949</v>
      </c>
      <c r="J115" s="119">
        <f t="shared" si="18"/>
        <v>5.49</v>
      </c>
      <c r="K115" s="11"/>
      <c r="L115" s="28" t="str">
        <f t="shared" si="3"/>
        <v>#N/A</v>
      </c>
      <c r="M115" s="28" t="str">
        <f t="shared" si="23"/>
        <v>#N/A</v>
      </c>
      <c r="N115" s="28" t="str">
        <f t="shared" si="5"/>
        <v>#N/A</v>
      </c>
      <c r="O115" s="74" t="e">
        <v>#N/A</v>
      </c>
      <c r="P115" s="29"/>
      <c r="Q115" s="28">
        <f t="shared" si="6"/>
        <v>27.06</v>
      </c>
    </row>
    <row r="116" ht="18.75" customHeight="1">
      <c r="A116" s="112" t="s">
        <v>333</v>
      </c>
      <c r="B116" s="113">
        <v>25.0</v>
      </c>
      <c r="C116" s="114" t="s">
        <v>32</v>
      </c>
      <c r="D116" s="120">
        <v>8.0</v>
      </c>
      <c r="E116" s="78" t="str">
        <f t="shared" si="21"/>
        <v>#N/A</v>
      </c>
      <c r="F116" s="112" t="s">
        <v>1082</v>
      </c>
      <c r="G116" s="116" t="s">
        <v>141</v>
      </c>
      <c r="H116" s="117">
        <v>16.78</v>
      </c>
      <c r="I116" s="118">
        <f t="shared" si="17"/>
        <v>0.4898688915</v>
      </c>
      <c r="J116" s="119">
        <f t="shared" si="18"/>
        <v>4.11</v>
      </c>
      <c r="K116" s="11"/>
      <c r="L116" s="28" t="str">
        <f t="shared" si="3"/>
        <v>#N/A</v>
      </c>
      <c r="M116" s="28" t="str">
        <f t="shared" si="23"/>
        <v>#N/A</v>
      </c>
      <c r="N116" s="28" t="str">
        <f t="shared" si="5"/>
        <v>#N/A</v>
      </c>
      <c r="O116" s="74" t="e">
        <v>#N/A</v>
      </c>
      <c r="P116" s="29"/>
      <c r="Q116" s="28">
        <f t="shared" si="6"/>
        <v>134.24</v>
      </c>
    </row>
    <row r="117" ht="18.75" customHeight="1">
      <c r="A117" s="112" t="s">
        <v>334</v>
      </c>
      <c r="B117" s="113">
        <v>25.0</v>
      </c>
      <c r="C117" s="114" t="s">
        <v>32</v>
      </c>
      <c r="D117" s="120">
        <v>0.0</v>
      </c>
      <c r="E117" s="78" t="str">
        <f t="shared" si="21"/>
        <v>#N/A</v>
      </c>
      <c r="F117" s="112" t="s">
        <v>1082</v>
      </c>
      <c r="G117" s="116" t="s">
        <v>141</v>
      </c>
      <c r="H117" s="117">
        <v>16.78</v>
      </c>
      <c r="I117" s="118">
        <f t="shared" si="17"/>
        <v>0.4898688915</v>
      </c>
      <c r="J117" s="119">
        <f t="shared" si="18"/>
        <v>4.11</v>
      </c>
      <c r="K117" s="11"/>
      <c r="L117" s="28" t="str">
        <f t="shared" si="3"/>
        <v>#N/A</v>
      </c>
      <c r="M117" s="28" t="str">
        <f t="shared" si="23"/>
        <v>#N/A</v>
      </c>
      <c r="N117" s="28" t="str">
        <f t="shared" si="5"/>
        <v>#N/A</v>
      </c>
      <c r="O117" s="74" t="e">
        <v>#N/A</v>
      </c>
      <c r="P117" s="29"/>
      <c r="Q117" s="28">
        <f t="shared" si="6"/>
        <v>0</v>
      </c>
    </row>
    <row r="118" ht="18.75" customHeight="1">
      <c r="A118" s="112" t="s">
        <v>336</v>
      </c>
      <c r="B118" s="113">
        <v>25.0</v>
      </c>
      <c r="C118" s="114" t="s">
        <v>32</v>
      </c>
      <c r="D118" s="120">
        <v>0.0</v>
      </c>
      <c r="E118" s="78" t="str">
        <f t="shared" si="21"/>
        <v>#N/A</v>
      </c>
      <c r="F118" s="112" t="s">
        <v>1082</v>
      </c>
      <c r="G118" s="116" t="s">
        <v>141</v>
      </c>
      <c r="H118" s="117">
        <v>16.78</v>
      </c>
      <c r="I118" s="118">
        <f t="shared" si="17"/>
        <v>0.4898688915</v>
      </c>
      <c r="J118" s="119">
        <f t="shared" si="18"/>
        <v>4.11</v>
      </c>
      <c r="K118" s="11"/>
      <c r="L118" s="28" t="str">
        <f t="shared" si="3"/>
        <v>#N/A</v>
      </c>
      <c r="M118" s="28" t="str">
        <f t="shared" si="23"/>
        <v>#N/A</v>
      </c>
      <c r="N118" s="28" t="str">
        <f t="shared" si="5"/>
        <v>#N/A</v>
      </c>
      <c r="O118" s="74" t="e">
        <v>#N/A</v>
      </c>
      <c r="P118" s="29"/>
      <c r="Q118" s="28">
        <f t="shared" si="6"/>
        <v>0</v>
      </c>
    </row>
    <row r="119" ht="18.75" customHeight="1">
      <c r="A119" s="112" t="s">
        <v>338</v>
      </c>
      <c r="B119" s="113">
        <v>25.0</v>
      </c>
      <c r="C119" s="114" t="s">
        <v>32</v>
      </c>
      <c r="D119" s="115">
        <v>0.0</v>
      </c>
      <c r="E119" s="78" t="str">
        <f t="shared" si="21"/>
        <v>#N/A</v>
      </c>
      <c r="F119" s="112" t="s">
        <v>1082</v>
      </c>
      <c r="G119" s="116" t="s">
        <v>141</v>
      </c>
      <c r="H119" s="117">
        <v>16.78</v>
      </c>
      <c r="I119" s="118">
        <f t="shared" si="17"/>
        <v>0.4898688915</v>
      </c>
      <c r="J119" s="119">
        <f t="shared" si="18"/>
        <v>4.11</v>
      </c>
      <c r="K119" s="11"/>
      <c r="L119" s="28" t="str">
        <f t="shared" si="3"/>
        <v>#N/A</v>
      </c>
      <c r="M119" s="28" t="str">
        <f t="shared" si="23"/>
        <v>#N/A</v>
      </c>
      <c r="N119" s="28" t="str">
        <f t="shared" si="5"/>
        <v>#N/A</v>
      </c>
      <c r="O119" s="74" t="e">
        <v>#N/A</v>
      </c>
      <c r="P119" s="29"/>
      <c r="Q119" s="28">
        <f t="shared" si="6"/>
        <v>0</v>
      </c>
    </row>
    <row r="120" ht="18.75" customHeight="1">
      <c r="A120" s="112" t="s">
        <v>341</v>
      </c>
      <c r="B120" s="113">
        <v>25.0</v>
      </c>
      <c r="C120" s="114" t="s">
        <v>32</v>
      </c>
      <c r="D120" s="115">
        <v>3.0</v>
      </c>
      <c r="E120" s="78" t="str">
        <f t="shared" si="21"/>
        <v>#N/A</v>
      </c>
      <c r="F120" s="112" t="s">
        <v>1082</v>
      </c>
      <c r="G120" s="116" t="s">
        <v>141</v>
      </c>
      <c r="H120" s="117">
        <v>17.35</v>
      </c>
      <c r="I120" s="118">
        <f t="shared" si="17"/>
        <v>0.4409221902</v>
      </c>
      <c r="J120" s="119">
        <f t="shared" si="18"/>
        <v>3.825</v>
      </c>
      <c r="K120" s="11"/>
      <c r="L120" s="28" t="str">
        <f t="shared" si="3"/>
        <v>#N/A</v>
      </c>
      <c r="M120" s="28" t="str">
        <f t="shared" si="23"/>
        <v>#N/A</v>
      </c>
      <c r="N120" s="28" t="str">
        <f t="shared" si="5"/>
        <v>#N/A</v>
      </c>
      <c r="O120" s="74" t="e">
        <v>#N/A</v>
      </c>
      <c r="P120" s="29"/>
      <c r="Q120" s="28">
        <f t="shared" si="6"/>
        <v>52.05</v>
      </c>
    </row>
    <row r="121" ht="18.75" customHeight="1">
      <c r="A121" s="112" t="s">
        <v>343</v>
      </c>
      <c r="B121" s="113">
        <v>25.0</v>
      </c>
      <c r="C121" s="114" t="s">
        <v>32</v>
      </c>
      <c r="D121" s="120">
        <v>10.0</v>
      </c>
      <c r="E121" s="78" t="str">
        <f t="shared" si="21"/>
        <v>#N/A</v>
      </c>
      <c r="F121" s="112" t="s">
        <v>1082</v>
      </c>
      <c r="G121" s="116" t="s">
        <v>141</v>
      </c>
      <c r="H121" s="117">
        <v>17.35</v>
      </c>
      <c r="I121" s="118">
        <f t="shared" si="17"/>
        <v>0.4409221902</v>
      </c>
      <c r="J121" s="119">
        <f t="shared" si="18"/>
        <v>3.825</v>
      </c>
      <c r="K121" s="11"/>
      <c r="L121" s="28" t="str">
        <f t="shared" si="3"/>
        <v>#N/A</v>
      </c>
      <c r="M121" s="28" t="str">
        <f t="shared" si="23"/>
        <v>#N/A</v>
      </c>
      <c r="N121" s="28" t="str">
        <f t="shared" si="5"/>
        <v>#N/A</v>
      </c>
      <c r="O121" s="74" t="e">
        <v>#N/A</v>
      </c>
      <c r="P121" s="29"/>
      <c r="Q121" s="28">
        <f t="shared" si="6"/>
        <v>173.5</v>
      </c>
    </row>
    <row r="122" ht="18.75" customHeight="1">
      <c r="A122" s="112" t="s">
        <v>345</v>
      </c>
      <c r="B122" s="113">
        <v>15.0</v>
      </c>
      <c r="C122" s="114" t="s">
        <v>32</v>
      </c>
      <c r="D122" s="115">
        <v>9.0</v>
      </c>
      <c r="E122" s="78" t="str">
        <f t="shared" si="21"/>
        <v>#N/A</v>
      </c>
      <c r="F122" s="112" t="s">
        <v>1082</v>
      </c>
      <c r="G122" s="116" t="s">
        <v>141</v>
      </c>
      <c r="H122" s="117">
        <v>10.8</v>
      </c>
      <c r="I122" s="118">
        <f t="shared" si="17"/>
        <v>0.3888888889</v>
      </c>
      <c r="J122" s="119">
        <f t="shared" si="18"/>
        <v>2.1</v>
      </c>
      <c r="K122" s="11"/>
      <c r="L122" s="28" t="str">
        <f t="shared" si="3"/>
        <v>#N/A</v>
      </c>
      <c r="M122" s="28" t="str">
        <f t="shared" si="23"/>
        <v>#N/A</v>
      </c>
      <c r="N122" s="28" t="str">
        <f t="shared" si="5"/>
        <v>#N/A</v>
      </c>
      <c r="O122" s="74" t="e">
        <v>#N/A</v>
      </c>
      <c r="P122" s="29"/>
      <c r="Q122" s="28">
        <f t="shared" si="6"/>
        <v>97.2</v>
      </c>
    </row>
    <row r="123" ht="18.75" customHeight="1">
      <c r="A123" s="112" t="s">
        <v>347</v>
      </c>
      <c r="B123" s="113">
        <v>15.0</v>
      </c>
      <c r="C123" s="114" t="s">
        <v>32</v>
      </c>
      <c r="D123" s="115">
        <v>8.0</v>
      </c>
      <c r="E123" s="78" t="str">
        <f t="shared" si="21"/>
        <v>#N/A</v>
      </c>
      <c r="F123" s="112" t="s">
        <v>1082</v>
      </c>
      <c r="G123" s="116" t="s">
        <v>141</v>
      </c>
      <c r="H123" s="117">
        <v>10.8</v>
      </c>
      <c r="I123" s="118">
        <f t="shared" si="17"/>
        <v>0.3888888889</v>
      </c>
      <c r="J123" s="119">
        <f t="shared" si="18"/>
        <v>2.1</v>
      </c>
      <c r="K123" s="11"/>
      <c r="L123" s="28" t="str">
        <f t="shared" si="3"/>
        <v>#N/A</v>
      </c>
      <c r="M123" s="28" t="str">
        <f t="shared" si="23"/>
        <v>#N/A</v>
      </c>
      <c r="N123" s="28" t="str">
        <f t="shared" si="5"/>
        <v>#N/A</v>
      </c>
      <c r="O123" s="74" t="e">
        <v>#N/A</v>
      </c>
      <c r="P123" s="29"/>
      <c r="Q123" s="28">
        <f t="shared" si="6"/>
        <v>86.4</v>
      </c>
    </row>
    <row r="124" ht="18.75" customHeight="1">
      <c r="A124" s="112" t="s">
        <v>351</v>
      </c>
      <c r="B124" s="113">
        <v>15.0</v>
      </c>
      <c r="C124" s="114" t="s">
        <v>32</v>
      </c>
      <c r="D124" s="115">
        <v>7.0</v>
      </c>
      <c r="E124" s="78" t="str">
        <f t="shared" si="21"/>
        <v>#N/A</v>
      </c>
      <c r="F124" s="112" t="s">
        <v>1082</v>
      </c>
      <c r="G124" s="116" t="s">
        <v>141</v>
      </c>
      <c r="H124" s="117">
        <v>10.8</v>
      </c>
      <c r="I124" s="118">
        <f t="shared" si="17"/>
        <v>0.3888888889</v>
      </c>
      <c r="J124" s="119">
        <f t="shared" si="18"/>
        <v>2.1</v>
      </c>
      <c r="K124" s="11"/>
      <c r="L124" s="28">
        <f t="shared" si="3"/>
        <v>1.482</v>
      </c>
      <c r="M124" s="28">
        <f t="shared" si="23"/>
        <v>251.482</v>
      </c>
      <c r="N124" s="28">
        <f t="shared" si="5"/>
        <v>267.82833</v>
      </c>
      <c r="O124" s="72">
        <v>0.039</v>
      </c>
      <c r="P124" s="29"/>
      <c r="Q124" s="28">
        <f t="shared" si="6"/>
        <v>75.6</v>
      </c>
    </row>
    <row r="125" ht="18.75" customHeight="1">
      <c r="A125" s="112" t="s">
        <v>356</v>
      </c>
      <c r="B125" s="113">
        <v>15.0</v>
      </c>
      <c r="C125" s="114" t="s">
        <v>32</v>
      </c>
      <c r="D125" s="115">
        <v>9.0</v>
      </c>
      <c r="E125" s="78" t="str">
        <f t="shared" si="21"/>
        <v>#N/A</v>
      </c>
      <c r="F125" s="112" t="s">
        <v>1082</v>
      </c>
      <c r="G125" s="116" t="s">
        <v>141</v>
      </c>
      <c r="H125" s="117">
        <v>10.8</v>
      </c>
      <c r="I125" s="118">
        <f t="shared" si="17"/>
        <v>0.3888888889</v>
      </c>
      <c r="J125" s="119">
        <f t="shared" si="18"/>
        <v>2.1</v>
      </c>
      <c r="K125" s="11"/>
      <c r="L125" s="28">
        <f t="shared" si="3"/>
        <v>1.482</v>
      </c>
      <c r="M125" s="28">
        <f t="shared" si="23"/>
        <v>251.482</v>
      </c>
      <c r="N125" s="28">
        <f t="shared" si="5"/>
        <v>267.82833</v>
      </c>
      <c r="O125" s="72">
        <v>0.039</v>
      </c>
      <c r="P125" s="29"/>
      <c r="Q125" s="28">
        <f t="shared" si="6"/>
        <v>97.2</v>
      </c>
    </row>
    <row r="126" ht="18.75" customHeight="1">
      <c r="A126" s="112" t="s">
        <v>359</v>
      </c>
      <c r="B126" s="113">
        <v>15.0</v>
      </c>
      <c r="C126" s="114" t="s">
        <v>32</v>
      </c>
      <c r="D126" s="115">
        <v>8.0</v>
      </c>
      <c r="E126" s="78" t="str">
        <f t="shared" si="21"/>
        <v>#N/A</v>
      </c>
      <c r="F126" s="112" t="s">
        <v>1082</v>
      </c>
      <c r="G126" s="116" t="s">
        <v>141</v>
      </c>
      <c r="H126" s="117">
        <v>10.8</v>
      </c>
      <c r="I126" s="118">
        <f t="shared" si="17"/>
        <v>0.3888888889</v>
      </c>
      <c r="J126" s="119">
        <f t="shared" si="18"/>
        <v>2.1</v>
      </c>
      <c r="K126" s="11"/>
      <c r="L126" s="28">
        <f t="shared" si="3"/>
        <v>1.482</v>
      </c>
      <c r="M126" s="28">
        <f t="shared" si="23"/>
        <v>251.482</v>
      </c>
      <c r="N126" s="28">
        <f t="shared" si="5"/>
        <v>267.82833</v>
      </c>
      <c r="O126" s="72">
        <v>0.039</v>
      </c>
      <c r="P126" s="29"/>
      <c r="Q126" s="28">
        <f t="shared" si="6"/>
        <v>86.4</v>
      </c>
    </row>
    <row r="127" ht="18.75" customHeight="1">
      <c r="A127" s="112" t="s">
        <v>360</v>
      </c>
      <c r="B127" s="113">
        <v>25.0</v>
      </c>
      <c r="C127" s="114" t="s">
        <v>32</v>
      </c>
      <c r="D127" s="120">
        <v>0.0</v>
      </c>
      <c r="E127" s="78" t="str">
        <f t="shared" si="21"/>
        <v>#N/A</v>
      </c>
      <c r="F127" s="112" t="s">
        <v>1082</v>
      </c>
      <c r="G127" s="116" t="s">
        <v>141</v>
      </c>
      <c r="H127" s="117">
        <v>17.87</v>
      </c>
      <c r="I127" s="118">
        <f t="shared" si="17"/>
        <v>0.3989927252</v>
      </c>
      <c r="J127" s="119">
        <f t="shared" si="18"/>
        <v>3.565</v>
      </c>
      <c r="K127" s="11"/>
      <c r="L127" s="28" t="str">
        <f t="shared" si="3"/>
        <v>#N/A</v>
      </c>
      <c r="M127" s="28" t="str">
        <f t="shared" si="23"/>
        <v>#N/A</v>
      </c>
      <c r="N127" s="28" t="str">
        <f t="shared" si="5"/>
        <v>#N/A</v>
      </c>
      <c r="O127" s="74" t="e">
        <v>#N/A</v>
      </c>
      <c r="P127" s="29"/>
      <c r="Q127" s="28">
        <f t="shared" si="6"/>
        <v>0</v>
      </c>
    </row>
    <row r="128" ht="18.75" customHeight="1">
      <c r="A128" s="112" t="s">
        <v>363</v>
      </c>
      <c r="B128" s="113">
        <v>18.0</v>
      </c>
      <c r="C128" s="114" t="s">
        <v>32</v>
      </c>
      <c r="D128" s="115">
        <v>7.0</v>
      </c>
      <c r="E128" s="78" t="str">
        <f t="shared" si="21"/>
        <v>#N/A</v>
      </c>
      <c r="F128" s="112" t="s">
        <v>1082</v>
      </c>
      <c r="G128" s="116" t="s">
        <v>141</v>
      </c>
      <c r="H128" s="117">
        <v>10.8</v>
      </c>
      <c r="I128" s="118">
        <f t="shared" si="17"/>
        <v>0.6666666667</v>
      </c>
      <c r="J128" s="119">
        <f t="shared" si="18"/>
        <v>3.6</v>
      </c>
      <c r="K128" s="11"/>
      <c r="L128" s="28">
        <f t="shared" si="3"/>
        <v>1.026</v>
      </c>
      <c r="M128" s="28">
        <f t="shared" si="23"/>
        <v>251.026</v>
      </c>
      <c r="N128" s="28">
        <f t="shared" si="5"/>
        <v>267.34269</v>
      </c>
      <c r="O128" s="72">
        <v>0.027</v>
      </c>
      <c r="P128" s="29"/>
      <c r="Q128" s="28">
        <f t="shared" si="6"/>
        <v>75.6</v>
      </c>
    </row>
    <row r="129" ht="18.75" customHeight="1">
      <c r="A129" s="88" t="s">
        <v>366</v>
      </c>
      <c r="B129" s="89">
        <v>65.0</v>
      </c>
      <c r="C129" s="90" t="s">
        <v>32</v>
      </c>
      <c r="D129" s="89">
        <v>1.0</v>
      </c>
      <c r="E129" s="78" t="str">
        <f t="shared" si="21"/>
        <v>#N/A</v>
      </c>
      <c r="F129" s="88" t="s">
        <v>1083</v>
      </c>
      <c r="G129" s="91" t="s">
        <v>1084</v>
      </c>
      <c r="H129" s="100">
        <v>46.226</v>
      </c>
      <c r="I129" s="93">
        <f t="shared" si="17"/>
        <v>0.4061350755</v>
      </c>
      <c r="J129" s="94">
        <f t="shared" si="18"/>
        <v>9.387</v>
      </c>
      <c r="K129" s="11"/>
      <c r="L129" s="28" t="str">
        <f t="shared" si="3"/>
        <v>#N/A</v>
      </c>
      <c r="M129" s="28" t="str">
        <f t="shared" si="23"/>
        <v>#N/A</v>
      </c>
      <c r="N129" s="28" t="str">
        <f t="shared" si="5"/>
        <v>#N/A</v>
      </c>
      <c r="O129" s="74" t="e">
        <v>#N/A</v>
      </c>
      <c r="P129" s="29"/>
      <c r="Q129" s="28">
        <f t="shared" si="6"/>
        <v>46.226</v>
      </c>
    </row>
    <row r="130" ht="18.75" customHeight="1">
      <c r="A130" s="112" t="s">
        <v>369</v>
      </c>
      <c r="B130" s="113">
        <v>50.0</v>
      </c>
      <c r="C130" s="114" t="s">
        <v>32</v>
      </c>
      <c r="D130" s="120">
        <v>0.0</v>
      </c>
      <c r="E130" s="78" t="str">
        <f t="shared" si="21"/>
        <v>#N/A</v>
      </c>
      <c r="F130" s="112" t="s">
        <v>1082</v>
      </c>
      <c r="G130" s="116" t="s">
        <v>1084</v>
      </c>
      <c r="H130" s="117">
        <v>33.91</v>
      </c>
      <c r="I130" s="118">
        <f t="shared" si="17"/>
        <v>0.4744913005</v>
      </c>
      <c r="J130" s="119">
        <f t="shared" si="18"/>
        <v>8.045</v>
      </c>
      <c r="K130" s="11"/>
      <c r="L130" s="28">
        <f t="shared" si="3"/>
        <v>9.12</v>
      </c>
      <c r="M130" s="28">
        <f t="shared" si="23"/>
        <v>259.12</v>
      </c>
      <c r="N130" s="28">
        <f t="shared" si="5"/>
        <v>275.9628</v>
      </c>
      <c r="O130" s="72">
        <v>0.24</v>
      </c>
      <c r="P130" s="29"/>
      <c r="Q130" s="28">
        <f t="shared" si="6"/>
        <v>0</v>
      </c>
    </row>
    <row r="131" ht="18.75" customHeight="1">
      <c r="A131" s="112" t="s">
        <v>373</v>
      </c>
      <c r="B131" s="113">
        <v>50.0</v>
      </c>
      <c r="C131" s="114" t="s">
        <v>32</v>
      </c>
      <c r="D131" s="113">
        <v>0.0</v>
      </c>
      <c r="E131" s="78" t="str">
        <f t="shared" si="21"/>
        <v>#N/A</v>
      </c>
      <c r="F131" s="112" t="s">
        <v>1082</v>
      </c>
      <c r="G131" s="116" t="s">
        <v>1084</v>
      </c>
      <c r="H131" s="117">
        <v>33.91</v>
      </c>
      <c r="I131" s="118">
        <f t="shared" si="17"/>
        <v>0.4744913005</v>
      </c>
      <c r="J131" s="119">
        <f t="shared" si="18"/>
        <v>8.045</v>
      </c>
      <c r="K131" s="11"/>
      <c r="L131" s="28">
        <f t="shared" si="3"/>
        <v>9.12</v>
      </c>
      <c r="M131" s="28">
        <f t="shared" si="23"/>
        <v>259.12</v>
      </c>
      <c r="N131" s="28">
        <f t="shared" si="5"/>
        <v>275.9628</v>
      </c>
      <c r="O131" s="72">
        <v>0.24</v>
      </c>
      <c r="P131" s="29"/>
      <c r="Q131" s="28">
        <f t="shared" si="6"/>
        <v>0</v>
      </c>
    </row>
    <row r="132" ht="18.75" customHeight="1">
      <c r="A132" s="112" t="s">
        <v>376</v>
      </c>
      <c r="B132" s="113">
        <v>50.0</v>
      </c>
      <c r="C132" s="114" t="s">
        <v>32</v>
      </c>
      <c r="D132" s="120">
        <v>0.0</v>
      </c>
      <c r="E132" s="78" t="str">
        <f t="shared" si="21"/>
        <v>#N/A</v>
      </c>
      <c r="F132" s="112" t="s">
        <v>1082</v>
      </c>
      <c r="G132" s="116" t="s">
        <v>1084</v>
      </c>
      <c r="H132" s="117">
        <v>33.91</v>
      </c>
      <c r="I132" s="118">
        <f t="shared" si="17"/>
        <v>0.4744913005</v>
      </c>
      <c r="J132" s="119">
        <f t="shared" si="18"/>
        <v>8.045</v>
      </c>
      <c r="K132" s="11"/>
      <c r="L132" s="28">
        <f t="shared" si="3"/>
        <v>9.12</v>
      </c>
      <c r="M132" s="28">
        <f t="shared" si="23"/>
        <v>259.12</v>
      </c>
      <c r="N132" s="28">
        <f t="shared" si="5"/>
        <v>275.9628</v>
      </c>
      <c r="O132" s="72">
        <v>0.24</v>
      </c>
      <c r="P132" s="29"/>
      <c r="Q132" s="28">
        <f t="shared" si="6"/>
        <v>0</v>
      </c>
    </row>
    <row r="133" ht="18.75" customHeight="1">
      <c r="A133" s="112" t="s">
        <v>380</v>
      </c>
      <c r="B133" s="113">
        <v>45.0</v>
      </c>
      <c r="C133" s="114" t="s">
        <v>32</v>
      </c>
      <c r="D133" s="113">
        <v>0.0</v>
      </c>
      <c r="E133" s="78" t="str">
        <f t="shared" si="21"/>
        <v>#N/A</v>
      </c>
      <c r="F133" s="112" t="s">
        <v>1082</v>
      </c>
      <c r="G133" s="116" t="s">
        <v>1084</v>
      </c>
      <c r="H133" s="117">
        <v>26.71</v>
      </c>
      <c r="I133" s="118">
        <f t="shared" si="17"/>
        <v>0.6847622613</v>
      </c>
      <c r="J133" s="119">
        <f t="shared" si="18"/>
        <v>9.145</v>
      </c>
      <c r="K133" s="11"/>
      <c r="L133" s="28">
        <f t="shared" si="3"/>
        <v>7.41</v>
      </c>
      <c r="M133" s="28">
        <f t="shared" si="23"/>
        <v>257.41</v>
      </c>
      <c r="N133" s="28">
        <f t="shared" si="5"/>
        <v>274.14165</v>
      </c>
      <c r="O133" s="72">
        <v>0.195</v>
      </c>
      <c r="P133" s="29"/>
      <c r="Q133" s="28">
        <f t="shared" si="6"/>
        <v>0</v>
      </c>
    </row>
    <row r="134" ht="18.75" customHeight="1">
      <c r="A134" s="112" t="s">
        <v>383</v>
      </c>
      <c r="B134" s="113">
        <v>47.0</v>
      </c>
      <c r="C134" s="114" t="s">
        <v>32</v>
      </c>
      <c r="D134" s="113">
        <v>0.0</v>
      </c>
      <c r="E134" s="78" t="str">
        <f t="shared" si="21"/>
        <v>#N/A</v>
      </c>
      <c r="F134" s="112" t="s">
        <v>1082</v>
      </c>
      <c r="G134" s="116" t="s">
        <v>1084</v>
      </c>
      <c r="H134" s="117">
        <v>26.71</v>
      </c>
      <c r="I134" s="118">
        <f t="shared" si="17"/>
        <v>0.7596405841</v>
      </c>
      <c r="J134" s="119">
        <f t="shared" si="18"/>
        <v>10.145</v>
      </c>
      <c r="K134" s="11"/>
      <c r="L134" s="28">
        <f t="shared" si="3"/>
        <v>7.41</v>
      </c>
      <c r="M134" s="28">
        <f t="shared" si="23"/>
        <v>257.41</v>
      </c>
      <c r="N134" s="28">
        <f t="shared" si="5"/>
        <v>274.14165</v>
      </c>
      <c r="O134" s="72">
        <v>0.195</v>
      </c>
      <c r="P134" s="29"/>
      <c r="Q134" s="28">
        <f t="shared" si="6"/>
        <v>0</v>
      </c>
    </row>
    <row r="135" ht="18.75" customHeight="1">
      <c r="A135" s="112" t="s">
        <v>384</v>
      </c>
      <c r="B135" s="113">
        <v>75.0</v>
      </c>
      <c r="C135" s="114" t="s">
        <v>32</v>
      </c>
      <c r="D135" s="115">
        <v>1.0</v>
      </c>
      <c r="E135" s="78" t="str">
        <f t="shared" si="21"/>
        <v>#N/A</v>
      </c>
      <c r="F135" s="112" t="s">
        <v>1082</v>
      </c>
      <c r="G135" s="116" t="s">
        <v>1084</v>
      </c>
      <c r="H135" s="117">
        <v>56.09</v>
      </c>
      <c r="I135" s="118">
        <f t="shared" si="17"/>
        <v>0.3371367445</v>
      </c>
      <c r="J135" s="119">
        <f t="shared" si="18"/>
        <v>9.455</v>
      </c>
      <c r="K135" s="11"/>
      <c r="L135" s="28">
        <f t="shared" si="3"/>
        <v>15.77</v>
      </c>
      <c r="M135" s="28">
        <f t="shared" si="23"/>
        <v>265.77</v>
      </c>
      <c r="N135" s="28">
        <f t="shared" si="5"/>
        <v>283.04505</v>
      </c>
      <c r="O135" s="72">
        <v>0.415</v>
      </c>
      <c r="P135" s="29"/>
      <c r="Q135" s="28">
        <f t="shared" si="6"/>
        <v>56.09</v>
      </c>
    </row>
    <row r="136" ht="18.75" customHeight="1">
      <c r="A136" s="112" t="s">
        <v>386</v>
      </c>
      <c r="B136" s="113">
        <v>50.0</v>
      </c>
      <c r="C136" s="114" t="s">
        <v>32</v>
      </c>
      <c r="D136" s="115">
        <v>0.0</v>
      </c>
      <c r="E136" s="78" t="str">
        <f t="shared" si="21"/>
        <v>#N/A</v>
      </c>
      <c r="F136" s="112" t="s">
        <v>1082</v>
      </c>
      <c r="G136" s="116" t="s">
        <v>1084</v>
      </c>
      <c r="H136" s="117">
        <v>28.2</v>
      </c>
      <c r="I136" s="118">
        <f t="shared" si="17"/>
        <v>0.7730496454</v>
      </c>
      <c r="J136" s="119">
        <f t="shared" si="18"/>
        <v>10.9</v>
      </c>
      <c r="K136" s="11"/>
      <c r="L136" s="28">
        <f t="shared" si="3"/>
        <v>8.474</v>
      </c>
      <c r="M136" s="28">
        <f t="shared" si="23"/>
        <v>258.474</v>
      </c>
      <c r="N136" s="28">
        <f t="shared" si="5"/>
        <v>275.27481</v>
      </c>
      <c r="O136" s="72">
        <v>0.223</v>
      </c>
      <c r="P136" s="29"/>
      <c r="Q136" s="28">
        <f t="shared" si="6"/>
        <v>0</v>
      </c>
    </row>
    <row r="137" ht="18.75" customHeight="1">
      <c r="A137" s="112" t="s">
        <v>389</v>
      </c>
      <c r="B137" s="113">
        <v>55.0</v>
      </c>
      <c r="C137" s="114" t="s">
        <v>32</v>
      </c>
      <c r="D137" s="115">
        <v>2.0</v>
      </c>
      <c r="E137" s="78" t="str">
        <f t="shared" si="21"/>
        <v>#N/A</v>
      </c>
      <c r="F137" s="112" t="s">
        <v>1082</v>
      </c>
      <c r="G137" s="116" t="s">
        <v>1084</v>
      </c>
      <c r="H137" s="117">
        <v>35.36</v>
      </c>
      <c r="I137" s="118">
        <f t="shared" si="17"/>
        <v>0.5554298643</v>
      </c>
      <c r="J137" s="119">
        <f t="shared" si="18"/>
        <v>9.82</v>
      </c>
      <c r="K137" s="11"/>
      <c r="L137" s="28">
        <f t="shared" si="3"/>
        <v>10.032</v>
      </c>
      <c r="M137" s="28">
        <f t="shared" si="23"/>
        <v>260.032</v>
      </c>
      <c r="N137" s="28">
        <f t="shared" si="5"/>
        <v>276.93408</v>
      </c>
      <c r="O137" s="72">
        <v>0.264</v>
      </c>
      <c r="P137" s="29"/>
      <c r="Q137" s="28">
        <f t="shared" si="6"/>
        <v>70.72</v>
      </c>
    </row>
    <row r="138" ht="18.75" customHeight="1">
      <c r="A138" s="112" t="s">
        <v>392</v>
      </c>
      <c r="B138" s="113">
        <v>50.0</v>
      </c>
      <c r="C138" s="114" t="s">
        <v>32</v>
      </c>
      <c r="D138" s="113">
        <v>4.0</v>
      </c>
      <c r="E138" s="78" t="str">
        <f t="shared" si="21"/>
        <v>#N/A</v>
      </c>
      <c r="F138" s="112" t="s">
        <v>1082</v>
      </c>
      <c r="G138" s="116" t="s">
        <v>1084</v>
      </c>
      <c r="H138" s="117">
        <v>35.77</v>
      </c>
      <c r="I138" s="118">
        <f t="shared" si="17"/>
        <v>0.3978194017</v>
      </c>
      <c r="J138" s="119">
        <f t="shared" si="18"/>
        <v>7.115</v>
      </c>
      <c r="K138" s="11"/>
      <c r="L138" s="28">
        <f t="shared" si="3"/>
        <v>8.93</v>
      </c>
      <c r="M138" s="28">
        <f t="shared" si="23"/>
        <v>258.93</v>
      </c>
      <c r="N138" s="28">
        <f t="shared" si="5"/>
        <v>275.76045</v>
      </c>
      <c r="O138" s="72">
        <v>0.235</v>
      </c>
      <c r="P138" s="29"/>
      <c r="Q138" s="28">
        <f t="shared" si="6"/>
        <v>143.08</v>
      </c>
    </row>
    <row r="139" ht="18.75" customHeight="1">
      <c r="A139" s="112" t="s">
        <v>394</v>
      </c>
      <c r="B139" s="113">
        <v>45.0</v>
      </c>
      <c r="C139" s="114" t="s">
        <v>32</v>
      </c>
      <c r="D139" s="120">
        <v>1.0</v>
      </c>
      <c r="E139" s="78" t="str">
        <f t="shared" si="21"/>
        <v>#N/A</v>
      </c>
      <c r="F139" s="112" t="s">
        <v>1082</v>
      </c>
      <c r="G139" s="116" t="s">
        <v>1084</v>
      </c>
      <c r="H139" s="117">
        <v>26.47</v>
      </c>
      <c r="I139" s="118">
        <f t="shared" si="17"/>
        <v>0.7000377786</v>
      </c>
      <c r="J139" s="119">
        <f t="shared" si="18"/>
        <v>9.265</v>
      </c>
      <c r="K139" s="11"/>
      <c r="L139" s="28">
        <f t="shared" si="3"/>
        <v>6.802</v>
      </c>
      <c r="M139" s="28">
        <f t="shared" si="23"/>
        <v>256.802</v>
      </c>
      <c r="N139" s="28">
        <f t="shared" si="5"/>
        <v>273.49413</v>
      </c>
      <c r="O139" s="72">
        <v>0.179</v>
      </c>
      <c r="P139" s="29"/>
      <c r="Q139" s="28">
        <f t="shared" si="6"/>
        <v>26.47</v>
      </c>
    </row>
    <row r="140" ht="18.75" customHeight="1">
      <c r="A140" s="112" t="s">
        <v>395</v>
      </c>
      <c r="B140" s="113">
        <v>55.0</v>
      </c>
      <c r="C140" s="114" t="s">
        <v>32</v>
      </c>
      <c r="D140" s="120">
        <v>2.0</v>
      </c>
      <c r="E140" s="78" t="str">
        <f t="shared" si="21"/>
        <v>#N/A</v>
      </c>
      <c r="F140" s="112" t="s">
        <v>1082</v>
      </c>
      <c r="G140" s="116" t="s">
        <v>1084</v>
      </c>
      <c r="H140" s="117">
        <v>22.36</v>
      </c>
      <c r="I140" s="118">
        <f t="shared" si="17"/>
        <v>1.459749553</v>
      </c>
      <c r="J140" s="119">
        <f t="shared" si="18"/>
        <v>16.32</v>
      </c>
      <c r="K140" s="11"/>
      <c r="L140" s="28" t="str">
        <f t="shared" si="3"/>
        <v>#N/A</v>
      </c>
      <c r="M140" s="28" t="str">
        <f t="shared" si="23"/>
        <v>#N/A</v>
      </c>
      <c r="N140" s="28" t="str">
        <f t="shared" si="5"/>
        <v>#N/A</v>
      </c>
      <c r="O140" s="74" t="e">
        <v>#N/A</v>
      </c>
      <c r="P140" s="29"/>
      <c r="Q140" s="28">
        <f t="shared" si="6"/>
        <v>44.72</v>
      </c>
    </row>
    <row r="141" ht="18.75" customHeight="1">
      <c r="A141" s="112" t="s">
        <v>397</v>
      </c>
      <c r="B141" s="113">
        <v>55.0</v>
      </c>
      <c r="C141" s="114" t="s">
        <v>32</v>
      </c>
      <c r="D141" s="115">
        <v>3.0</v>
      </c>
      <c r="E141" s="78" t="str">
        <f t="shared" si="21"/>
        <v>#N/A</v>
      </c>
      <c r="F141" s="112" t="s">
        <v>1082</v>
      </c>
      <c r="G141" s="116" t="s">
        <v>1084</v>
      </c>
      <c r="H141" s="117">
        <v>22.36</v>
      </c>
      <c r="I141" s="118">
        <f t="shared" si="17"/>
        <v>1.459749553</v>
      </c>
      <c r="J141" s="119">
        <f t="shared" si="18"/>
        <v>16.32</v>
      </c>
      <c r="K141" s="11"/>
      <c r="L141" s="28">
        <f t="shared" si="3"/>
        <v>7.98</v>
      </c>
      <c r="M141" s="28">
        <f t="shared" si="23"/>
        <v>257.98</v>
      </c>
      <c r="N141" s="28">
        <f t="shared" si="5"/>
        <v>274.7487</v>
      </c>
      <c r="O141" s="72">
        <v>0.21</v>
      </c>
      <c r="P141" s="29"/>
      <c r="Q141" s="28">
        <f t="shared" si="6"/>
        <v>67.08</v>
      </c>
    </row>
    <row r="142" ht="18.75" customHeight="1">
      <c r="A142" s="112" t="s">
        <v>399</v>
      </c>
      <c r="B142" s="113">
        <v>50.0</v>
      </c>
      <c r="C142" s="114" t="s">
        <v>32</v>
      </c>
      <c r="D142" s="120">
        <v>1.0</v>
      </c>
      <c r="E142" s="78" t="str">
        <f t="shared" si="21"/>
        <v>#N/A</v>
      </c>
      <c r="F142" s="112" t="s">
        <v>1082</v>
      </c>
      <c r="G142" s="116" t="s">
        <v>1084</v>
      </c>
      <c r="H142" s="117">
        <v>27.02</v>
      </c>
      <c r="I142" s="118">
        <f t="shared" si="17"/>
        <v>0.8504811251</v>
      </c>
      <c r="J142" s="119">
        <f t="shared" si="18"/>
        <v>11.49</v>
      </c>
      <c r="K142" s="11"/>
      <c r="L142" s="28">
        <f t="shared" si="3"/>
        <v>7.03</v>
      </c>
      <c r="M142" s="28">
        <f t="shared" si="23"/>
        <v>257.03</v>
      </c>
      <c r="N142" s="28">
        <f t="shared" si="5"/>
        <v>273.73695</v>
      </c>
      <c r="O142" s="72">
        <v>0.185</v>
      </c>
      <c r="P142" s="29"/>
      <c r="Q142" s="28">
        <f t="shared" si="6"/>
        <v>27.02</v>
      </c>
    </row>
    <row r="143" ht="18.75" customHeight="1">
      <c r="A143" s="112" t="s">
        <v>402</v>
      </c>
      <c r="B143" s="113">
        <v>55.0</v>
      </c>
      <c r="C143" s="114" t="s">
        <v>32</v>
      </c>
      <c r="D143" s="115">
        <v>0.0</v>
      </c>
      <c r="E143" s="78" t="str">
        <f t="shared" si="21"/>
        <v>#N/A</v>
      </c>
      <c r="F143" s="112" t="s">
        <v>1082</v>
      </c>
      <c r="G143" s="116" t="s">
        <v>1084</v>
      </c>
      <c r="H143" s="117">
        <v>27.02</v>
      </c>
      <c r="I143" s="118">
        <f t="shared" si="17"/>
        <v>1.035529238</v>
      </c>
      <c r="J143" s="119">
        <f t="shared" si="18"/>
        <v>13.99</v>
      </c>
      <c r="K143" s="11"/>
      <c r="L143" s="28">
        <f t="shared" si="3"/>
        <v>7.03</v>
      </c>
      <c r="M143" s="28">
        <f t="shared" si="23"/>
        <v>257.03</v>
      </c>
      <c r="N143" s="28">
        <f t="shared" si="5"/>
        <v>273.73695</v>
      </c>
      <c r="O143" s="72">
        <v>0.185</v>
      </c>
      <c r="P143" s="29"/>
      <c r="Q143" s="28">
        <f t="shared" si="6"/>
        <v>0</v>
      </c>
    </row>
    <row r="144" ht="18.75" customHeight="1">
      <c r="A144" s="112" t="s">
        <v>404</v>
      </c>
      <c r="B144" s="113">
        <v>55.0</v>
      </c>
      <c r="C144" s="114" t="s">
        <v>32</v>
      </c>
      <c r="D144" s="115">
        <v>0.0</v>
      </c>
      <c r="E144" s="78" t="str">
        <f t="shared" si="21"/>
        <v>#N/A</v>
      </c>
      <c r="F144" s="112" t="s">
        <v>1082</v>
      </c>
      <c r="G144" s="116" t="s">
        <v>1084</v>
      </c>
      <c r="H144" s="117">
        <v>44.62</v>
      </c>
      <c r="I144" s="118">
        <f t="shared" si="17"/>
        <v>0.2326311071</v>
      </c>
      <c r="J144" s="119">
        <f t="shared" si="18"/>
        <v>5.19</v>
      </c>
      <c r="K144" s="11"/>
      <c r="L144" s="28">
        <f t="shared" si="3"/>
        <v>11.02</v>
      </c>
      <c r="M144" s="28">
        <f t="shared" si="23"/>
        <v>261.02</v>
      </c>
      <c r="N144" s="28">
        <f t="shared" si="5"/>
        <v>277.9863</v>
      </c>
      <c r="O144" s="72">
        <v>0.29</v>
      </c>
      <c r="P144" s="29"/>
      <c r="Q144" s="28">
        <f t="shared" si="6"/>
        <v>0</v>
      </c>
    </row>
    <row r="145" ht="18.75" customHeight="1">
      <c r="A145" s="112" t="s">
        <v>406</v>
      </c>
      <c r="B145" s="113">
        <v>55.0</v>
      </c>
      <c r="C145" s="114" t="s">
        <v>32</v>
      </c>
      <c r="D145" s="115">
        <v>1.0</v>
      </c>
      <c r="E145" s="78" t="str">
        <f t="shared" si="21"/>
        <v>#N/A</v>
      </c>
      <c r="F145" s="112" t="s">
        <v>1082</v>
      </c>
      <c r="G145" s="116" t="s">
        <v>1084</v>
      </c>
      <c r="H145" s="117">
        <v>38.43</v>
      </c>
      <c r="I145" s="118">
        <f t="shared" si="17"/>
        <v>0.4311735623</v>
      </c>
      <c r="J145" s="119">
        <f t="shared" si="18"/>
        <v>8.285</v>
      </c>
      <c r="K145" s="11"/>
      <c r="L145" s="28">
        <f t="shared" si="3"/>
        <v>11.21</v>
      </c>
      <c r="M145" s="28">
        <f t="shared" si="23"/>
        <v>261.21</v>
      </c>
      <c r="N145" s="28">
        <f t="shared" si="5"/>
        <v>278.18865</v>
      </c>
      <c r="O145" s="72">
        <v>0.295</v>
      </c>
      <c r="P145" s="29"/>
      <c r="Q145" s="28">
        <f t="shared" si="6"/>
        <v>38.43</v>
      </c>
    </row>
    <row r="146" ht="18.75" customHeight="1">
      <c r="A146" s="112" t="s">
        <v>408</v>
      </c>
      <c r="B146" s="113">
        <v>75.0</v>
      </c>
      <c r="C146" s="114" t="s">
        <v>32</v>
      </c>
      <c r="D146" s="120">
        <v>0.0</v>
      </c>
      <c r="E146" s="78" t="str">
        <f t="shared" si="21"/>
        <v>#N/A</v>
      </c>
      <c r="F146" s="112" t="s">
        <v>1082</v>
      </c>
      <c r="G146" s="116" t="s">
        <v>1084</v>
      </c>
      <c r="H146" s="117">
        <v>51.45</v>
      </c>
      <c r="I146" s="118">
        <f t="shared" si="17"/>
        <v>0.4577259475</v>
      </c>
      <c r="J146" s="119">
        <f t="shared" si="18"/>
        <v>11.775</v>
      </c>
      <c r="K146" s="11"/>
      <c r="L146" s="28">
        <f t="shared" si="3"/>
        <v>14.402</v>
      </c>
      <c r="M146" s="28">
        <f t="shared" si="23"/>
        <v>264.402</v>
      </c>
      <c r="N146" s="28">
        <f t="shared" si="5"/>
        <v>281.58813</v>
      </c>
      <c r="O146" s="72">
        <v>0.379</v>
      </c>
      <c r="P146" s="29"/>
      <c r="Q146" s="28">
        <f t="shared" si="6"/>
        <v>0</v>
      </c>
    </row>
    <row r="147" ht="18.75" customHeight="1">
      <c r="A147" s="112" t="s">
        <v>409</v>
      </c>
      <c r="B147" s="113">
        <v>65.0</v>
      </c>
      <c r="C147" s="114" t="s">
        <v>32</v>
      </c>
      <c r="D147" s="120">
        <v>0.0</v>
      </c>
      <c r="E147" s="78" t="str">
        <f t="shared" si="21"/>
        <v>#N/A</v>
      </c>
      <c r="F147" s="112" t="s">
        <v>1082</v>
      </c>
      <c r="G147" s="116" t="s">
        <v>1084</v>
      </c>
      <c r="H147" s="117">
        <v>49.26</v>
      </c>
      <c r="I147" s="118">
        <f t="shared" si="17"/>
        <v>0.3195290296</v>
      </c>
      <c r="J147" s="119">
        <f t="shared" si="18"/>
        <v>7.87</v>
      </c>
      <c r="K147" s="11"/>
      <c r="L147" s="28">
        <f t="shared" si="3"/>
        <v>12.274</v>
      </c>
      <c r="M147" s="28">
        <f t="shared" si="23"/>
        <v>262.274</v>
      </c>
      <c r="N147" s="28">
        <f t="shared" si="5"/>
        <v>279.32181</v>
      </c>
      <c r="O147" s="72">
        <v>0.323</v>
      </c>
      <c r="P147" s="29"/>
      <c r="Q147" s="28">
        <f t="shared" si="6"/>
        <v>0</v>
      </c>
    </row>
    <row r="148" ht="18.75" customHeight="1">
      <c r="A148" s="112" t="s">
        <v>411</v>
      </c>
      <c r="B148" s="113">
        <v>60.0</v>
      </c>
      <c r="C148" s="114" t="s">
        <v>32</v>
      </c>
      <c r="D148" s="120">
        <v>0.0</v>
      </c>
      <c r="E148" s="78" t="str">
        <f t="shared" si="21"/>
        <v>#N/A</v>
      </c>
      <c r="F148" s="112" t="s">
        <v>1082</v>
      </c>
      <c r="G148" s="116" t="s">
        <v>1084</v>
      </c>
      <c r="H148" s="117">
        <v>39.84</v>
      </c>
      <c r="I148" s="118">
        <f t="shared" si="17"/>
        <v>0.5060240964</v>
      </c>
      <c r="J148" s="119">
        <f t="shared" si="18"/>
        <v>10.08</v>
      </c>
      <c r="K148" s="11"/>
      <c r="L148" s="28">
        <f t="shared" si="3"/>
        <v>12.578</v>
      </c>
      <c r="M148" s="28">
        <f t="shared" si="23"/>
        <v>262.578</v>
      </c>
      <c r="N148" s="28">
        <f t="shared" si="5"/>
        <v>279.64557</v>
      </c>
      <c r="O148" s="72">
        <v>0.331</v>
      </c>
      <c r="P148" s="29"/>
      <c r="Q148" s="28">
        <f t="shared" si="6"/>
        <v>0</v>
      </c>
    </row>
    <row r="149" ht="18.75" customHeight="1">
      <c r="A149" s="112" t="s">
        <v>413</v>
      </c>
      <c r="B149" s="113">
        <v>50.0</v>
      </c>
      <c r="C149" s="114" t="s">
        <v>32</v>
      </c>
      <c r="D149" s="120">
        <v>1.0</v>
      </c>
      <c r="E149" s="78" t="str">
        <f t="shared" si="21"/>
        <v>#N/A</v>
      </c>
      <c r="F149" s="112" t="s">
        <v>1082</v>
      </c>
      <c r="G149" s="116" t="s">
        <v>1084</v>
      </c>
      <c r="H149" s="117">
        <v>37.14</v>
      </c>
      <c r="I149" s="118">
        <f t="shared" si="17"/>
        <v>0.3462574044</v>
      </c>
      <c r="J149" s="119">
        <f t="shared" si="18"/>
        <v>6.43</v>
      </c>
      <c r="K149" s="11"/>
      <c r="L149" s="28">
        <f t="shared" si="3"/>
        <v>9.88</v>
      </c>
      <c r="M149" s="28">
        <f t="shared" si="23"/>
        <v>259.88</v>
      </c>
      <c r="N149" s="28">
        <f t="shared" si="5"/>
        <v>276.7722</v>
      </c>
      <c r="O149" s="72">
        <v>0.26</v>
      </c>
      <c r="P149" s="29"/>
      <c r="Q149" s="28">
        <f t="shared" si="6"/>
        <v>37.14</v>
      </c>
    </row>
    <row r="150" ht="18.75" customHeight="1">
      <c r="A150" s="112" t="s">
        <v>414</v>
      </c>
      <c r="B150" s="113">
        <v>65.0</v>
      </c>
      <c r="C150" s="114" t="s">
        <v>32</v>
      </c>
      <c r="D150" s="113">
        <v>0.0</v>
      </c>
      <c r="E150" s="78" t="str">
        <f t="shared" si="21"/>
        <v>#N/A</v>
      </c>
      <c r="F150" s="112" t="s">
        <v>1082</v>
      </c>
      <c r="G150" s="116" t="s">
        <v>1084</v>
      </c>
      <c r="H150" s="117">
        <v>45.0</v>
      </c>
      <c r="I150" s="118">
        <f t="shared" si="17"/>
        <v>0.4444444444</v>
      </c>
      <c r="J150" s="119">
        <f t="shared" si="18"/>
        <v>10</v>
      </c>
      <c r="K150" s="11"/>
      <c r="L150" s="28">
        <f t="shared" si="3"/>
        <v>8.816</v>
      </c>
      <c r="M150" s="28">
        <f t="shared" si="23"/>
        <v>258.816</v>
      </c>
      <c r="N150" s="28">
        <f t="shared" si="5"/>
        <v>275.63904</v>
      </c>
      <c r="O150" s="72">
        <v>0.232</v>
      </c>
      <c r="P150" s="29"/>
      <c r="Q150" s="28">
        <f t="shared" si="6"/>
        <v>0</v>
      </c>
    </row>
    <row r="151" ht="18.75" customHeight="1">
      <c r="A151" s="112" t="s">
        <v>416</v>
      </c>
      <c r="B151" s="113">
        <v>40.0</v>
      </c>
      <c r="C151" s="114" t="s">
        <v>32</v>
      </c>
      <c r="D151" s="120">
        <v>0.0</v>
      </c>
      <c r="E151" s="78" t="str">
        <f t="shared" si="21"/>
        <v>#N/A</v>
      </c>
      <c r="F151" s="112" t="s">
        <v>1082</v>
      </c>
      <c r="G151" s="116" t="s">
        <v>141</v>
      </c>
      <c r="H151" s="117">
        <v>27.79</v>
      </c>
      <c r="I151" s="118">
        <f t="shared" si="17"/>
        <v>0.4393666787</v>
      </c>
      <c r="J151" s="119">
        <f t="shared" si="18"/>
        <v>6.105</v>
      </c>
      <c r="K151" s="11"/>
      <c r="L151" s="28">
        <f t="shared" si="3"/>
        <v>7.79</v>
      </c>
      <c r="M151" s="28">
        <f t="shared" si="23"/>
        <v>257.79</v>
      </c>
      <c r="N151" s="28">
        <f t="shared" si="5"/>
        <v>274.54635</v>
      </c>
      <c r="O151" s="72">
        <v>0.205</v>
      </c>
      <c r="P151" s="29"/>
      <c r="Q151" s="28">
        <f t="shared" si="6"/>
        <v>0</v>
      </c>
    </row>
    <row r="152" ht="18.75" customHeight="1">
      <c r="A152" s="112" t="s">
        <v>417</v>
      </c>
      <c r="B152" s="113">
        <v>70.0</v>
      </c>
      <c r="C152" s="114" t="s">
        <v>32</v>
      </c>
      <c r="D152" s="120">
        <v>0.0</v>
      </c>
      <c r="E152" s="78" t="str">
        <f t="shared" si="21"/>
        <v>#N/A</v>
      </c>
      <c r="F152" s="112" t="s">
        <v>1082</v>
      </c>
      <c r="G152" s="116" t="s">
        <v>141</v>
      </c>
      <c r="H152" s="117">
        <v>35.58</v>
      </c>
      <c r="I152" s="118">
        <f t="shared" si="17"/>
        <v>0.9673974143</v>
      </c>
      <c r="J152" s="119">
        <f t="shared" si="18"/>
        <v>17.21</v>
      </c>
      <c r="K152" s="11"/>
      <c r="L152" s="28">
        <f t="shared" si="3"/>
        <v>7.334</v>
      </c>
      <c r="M152" s="28">
        <f t="shared" si="23"/>
        <v>257.334</v>
      </c>
      <c r="N152" s="28">
        <f t="shared" si="5"/>
        <v>274.06071</v>
      </c>
      <c r="O152" s="72">
        <v>0.193</v>
      </c>
      <c r="P152" s="29"/>
      <c r="Q152" s="28">
        <f t="shared" si="6"/>
        <v>0</v>
      </c>
    </row>
    <row r="153" ht="18.75" customHeight="1">
      <c r="A153" s="112" t="s">
        <v>419</v>
      </c>
      <c r="B153" s="113">
        <v>75.0</v>
      </c>
      <c r="C153" s="114" t="s">
        <v>32</v>
      </c>
      <c r="D153" s="115">
        <v>2.0</v>
      </c>
      <c r="E153" s="78" t="str">
        <f t="shared" si="21"/>
        <v>#N/A</v>
      </c>
      <c r="F153" s="112" t="s">
        <v>1082</v>
      </c>
      <c r="G153" s="116" t="s">
        <v>141</v>
      </c>
      <c r="H153" s="117">
        <v>50.01</v>
      </c>
      <c r="I153" s="118">
        <f t="shared" si="17"/>
        <v>0.49970006</v>
      </c>
      <c r="J153" s="119">
        <f t="shared" si="18"/>
        <v>12.495</v>
      </c>
      <c r="K153" s="11"/>
      <c r="L153" s="28">
        <f t="shared" si="3"/>
        <v>9.006</v>
      </c>
      <c r="M153" s="28">
        <f t="shared" si="23"/>
        <v>259.006</v>
      </c>
      <c r="N153" s="28">
        <f t="shared" si="5"/>
        <v>275.84139</v>
      </c>
      <c r="O153" s="72">
        <v>0.237</v>
      </c>
      <c r="P153" s="29"/>
      <c r="Q153" s="28">
        <f t="shared" si="6"/>
        <v>100.02</v>
      </c>
    </row>
    <row r="154" ht="18.75" customHeight="1">
      <c r="A154" s="112" t="s">
        <v>420</v>
      </c>
      <c r="B154" s="113">
        <v>60.0</v>
      </c>
      <c r="C154" s="114" t="s">
        <v>32</v>
      </c>
      <c r="D154" s="115">
        <v>0.0</v>
      </c>
      <c r="E154" s="78" t="str">
        <f t="shared" si="21"/>
        <v>#N/A</v>
      </c>
      <c r="F154" s="112" t="s">
        <v>1082</v>
      </c>
      <c r="G154" s="116" t="s">
        <v>141</v>
      </c>
      <c r="H154" s="117">
        <v>40.71</v>
      </c>
      <c r="I154" s="118">
        <f t="shared" si="17"/>
        <v>0.4738393515</v>
      </c>
      <c r="J154" s="119">
        <f t="shared" si="18"/>
        <v>9.645</v>
      </c>
      <c r="K154" s="11"/>
      <c r="L154" s="28" t="str">
        <f t="shared" si="3"/>
        <v>#N/A</v>
      </c>
      <c r="M154" s="28" t="str">
        <f t="shared" si="23"/>
        <v>#N/A</v>
      </c>
      <c r="N154" s="28" t="str">
        <f t="shared" si="5"/>
        <v>#N/A</v>
      </c>
      <c r="O154" s="74" t="e">
        <v>#N/A</v>
      </c>
      <c r="P154" s="29"/>
      <c r="Q154" s="28">
        <f t="shared" si="6"/>
        <v>0</v>
      </c>
    </row>
    <row r="155" ht="18.75" customHeight="1">
      <c r="A155" s="112" t="s">
        <v>422</v>
      </c>
      <c r="B155" s="113">
        <v>70.0</v>
      </c>
      <c r="C155" s="114" t="s">
        <v>32</v>
      </c>
      <c r="D155" s="113">
        <v>0.0</v>
      </c>
      <c r="E155" s="78" t="str">
        <f t="shared" si="21"/>
        <v>#N/A</v>
      </c>
      <c r="F155" s="112" t="s">
        <v>1082</v>
      </c>
      <c r="G155" s="116" t="s">
        <v>141</v>
      </c>
      <c r="H155" s="117">
        <v>34.97</v>
      </c>
      <c r="I155" s="118">
        <f t="shared" si="17"/>
        <v>1.001715756</v>
      </c>
      <c r="J155" s="119">
        <f t="shared" si="18"/>
        <v>17.515</v>
      </c>
      <c r="K155" s="11"/>
      <c r="L155" s="28">
        <f t="shared" si="3"/>
        <v>6.954</v>
      </c>
      <c r="M155" s="28">
        <f t="shared" si="23"/>
        <v>256.954</v>
      </c>
      <c r="N155" s="28">
        <f t="shared" si="5"/>
        <v>273.65601</v>
      </c>
      <c r="O155" s="72">
        <v>0.183</v>
      </c>
      <c r="P155" s="29"/>
      <c r="Q155" s="28">
        <f t="shared" si="6"/>
        <v>0</v>
      </c>
    </row>
    <row r="156" ht="18.75" customHeight="1">
      <c r="A156" s="112" t="s">
        <v>424</v>
      </c>
      <c r="B156" s="113">
        <v>70.0</v>
      </c>
      <c r="C156" s="114" t="s">
        <v>32</v>
      </c>
      <c r="D156" s="120">
        <v>2.0</v>
      </c>
      <c r="E156" s="78" t="str">
        <f t="shared" si="21"/>
        <v>#N/A</v>
      </c>
      <c r="F156" s="112" t="s">
        <v>1082</v>
      </c>
      <c r="G156" s="116" t="s">
        <v>141</v>
      </c>
      <c r="H156" s="117">
        <v>40.71</v>
      </c>
      <c r="I156" s="118">
        <f t="shared" si="17"/>
        <v>0.7194792434</v>
      </c>
      <c r="J156" s="119">
        <f t="shared" si="18"/>
        <v>14.645</v>
      </c>
      <c r="K156" s="11"/>
      <c r="L156" s="28">
        <f t="shared" si="3"/>
        <v>8.816</v>
      </c>
      <c r="M156" s="28">
        <f t="shared" si="23"/>
        <v>258.816</v>
      </c>
      <c r="N156" s="28">
        <f t="shared" si="5"/>
        <v>275.63904</v>
      </c>
      <c r="O156" s="72">
        <v>0.232</v>
      </c>
      <c r="P156" s="29"/>
      <c r="Q156" s="28">
        <f t="shared" si="6"/>
        <v>81.42</v>
      </c>
    </row>
    <row r="157" ht="18.75" customHeight="1">
      <c r="A157" s="112" t="s">
        <v>426</v>
      </c>
      <c r="B157" s="113">
        <v>48.0</v>
      </c>
      <c r="C157" s="114" t="s">
        <v>32</v>
      </c>
      <c r="D157" s="113">
        <v>0.0</v>
      </c>
      <c r="E157" s="78" t="str">
        <f t="shared" si="21"/>
        <v>#N/A</v>
      </c>
      <c r="F157" s="112" t="s">
        <v>1082</v>
      </c>
      <c r="G157" s="116" t="s">
        <v>141</v>
      </c>
      <c r="H157" s="117">
        <v>30.6</v>
      </c>
      <c r="I157" s="118">
        <f t="shared" si="17"/>
        <v>0.568627451</v>
      </c>
      <c r="J157" s="119">
        <f t="shared" si="18"/>
        <v>8.7</v>
      </c>
      <c r="K157" s="11"/>
      <c r="L157" s="28">
        <f t="shared" si="3"/>
        <v>3.61</v>
      </c>
      <c r="M157" s="28">
        <f t="shared" si="23"/>
        <v>253.61</v>
      </c>
      <c r="N157" s="28">
        <f t="shared" si="5"/>
        <v>270.09465</v>
      </c>
      <c r="O157" s="72">
        <v>0.095</v>
      </c>
      <c r="P157" s="29"/>
      <c r="Q157" s="28">
        <f t="shared" si="6"/>
        <v>0</v>
      </c>
    </row>
    <row r="158" ht="18.75" customHeight="1">
      <c r="A158" s="112" t="s">
        <v>428</v>
      </c>
      <c r="B158" s="113">
        <v>40.0</v>
      </c>
      <c r="C158" s="114" t="s">
        <v>32</v>
      </c>
      <c r="D158" s="113">
        <v>3.0</v>
      </c>
      <c r="E158" s="78" t="str">
        <f t="shared" si="21"/>
        <v>#N/A</v>
      </c>
      <c r="F158" s="112" t="s">
        <v>1082</v>
      </c>
      <c r="G158" s="116" t="s">
        <v>141</v>
      </c>
      <c r="H158" s="117">
        <v>24.42</v>
      </c>
      <c r="I158" s="118">
        <f t="shared" si="17"/>
        <v>0.638001638</v>
      </c>
      <c r="J158" s="119">
        <f t="shared" si="18"/>
        <v>7.79</v>
      </c>
      <c r="K158" s="11"/>
      <c r="L158" s="28">
        <f t="shared" si="3"/>
        <v>3.42</v>
      </c>
      <c r="M158" s="28">
        <f t="shared" si="23"/>
        <v>253.42</v>
      </c>
      <c r="N158" s="28">
        <f t="shared" si="5"/>
        <v>269.8923</v>
      </c>
      <c r="O158" s="72">
        <v>0.09</v>
      </c>
      <c r="P158" s="29"/>
      <c r="Q158" s="28">
        <f t="shared" si="6"/>
        <v>73.26</v>
      </c>
    </row>
    <row r="159" ht="18.75" customHeight="1">
      <c r="A159" s="112" t="s">
        <v>429</v>
      </c>
      <c r="B159" s="113">
        <v>40.0</v>
      </c>
      <c r="C159" s="114" t="s">
        <v>32</v>
      </c>
      <c r="D159" s="115">
        <v>1.0</v>
      </c>
      <c r="E159" s="78" t="str">
        <f t="shared" si="21"/>
        <v>#N/A</v>
      </c>
      <c r="F159" s="112" t="s">
        <v>1082</v>
      </c>
      <c r="G159" s="116" t="s">
        <v>141</v>
      </c>
      <c r="H159" s="117">
        <v>24.42</v>
      </c>
      <c r="I159" s="118">
        <f t="shared" si="17"/>
        <v>0.638001638</v>
      </c>
      <c r="J159" s="119">
        <f t="shared" si="18"/>
        <v>7.79</v>
      </c>
      <c r="K159" s="11"/>
      <c r="L159" s="28" t="str">
        <f t="shared" si="3"/>
        <v>#N/A</v>
      </c>
      <c r="M159" s="28" t="str">
        <f t="shared" si="23"/>
        <v>#N/A</v>
      </c>
      <c r="N159" s="28" t="str">
        <f t="shared" si="5"/>
        <v>#N/A</v>
      </c>
      <c r="O159" s="74" t="e">
        <v>#N/A</v>
      </c>
      <c r="P159" s="29"/>
      <c r="Q159" s="28">
        <f t="shared" si="6"/>
        <v>24.42</v>
      </c>
    </row>
    <row r="160" ht="18.75" customHeight="1">
      <c r="A160" s="112" t="s">
        <v>431</v>
      </c>
      <c r="B160" s="113">
        <v>45.0</v>
      </c>
      <c r="C160" s="114" t="s">
        <v>32</v>
      </c>
      <c r="D160" s="120">
        <v>2.0</v>
      </c>
      <c r="E160" s="78" t="str">
        <f t="shared" si="21"/>
        <v>#N/A</v>
      </c>
      <c r="F160" s="112" t="s">
        <v>1082</v>
      </c>
      <c r="G160" s="116" t="s">
        <v>141</v>
      </c>
      <c r="H160" s="117">
        <v>32.0</v>
      </c>
      <c r="I160" s="118">
        <f t="shared" si="17"/>
        <v>0.40625</v>
      </c>
      <c r="J160" s="119">
        <f t="shared" si="18"/>
        <v>6.5</v>
      </c>
      <c r="K160" s="11"/>
      <c r="L160" s="28" t="str">
        <f t="shared" si="3"/>
        <v>#N/A</v>
      </c>
      <c r="M160" s="28" t="str">
        <f t="shared" si="23"/>
        <v>#N/A</v>
      </c>
      <c r="N160" s="28" t="str">
        <f t="shared" si="5"/>
        <v>#N/A</v>
      </c>
      <c r="O160" s="74" t="e">
        <v>#N/A</v>
      </c>
      <c r="P160" s="29"/>
      <c r="Q160" s="28">
        <f t="shared" si="6"/>
        <v>64</v>
      </c>
    </row>
    <row r="161" ht="18.75" customHeight="1">
      <c r="A161" s="112" t="s">
        <v>434</v>
      </c>
      <c r="B161" s="113">
        <v>80.0</v>
      </c>
      <c r="C161" s="114" t="s">
        <v>32</v>
      </c>
      <c r="D161" s="120">
        <v>0.0</v>
      </c>
      <c r="E161" s="78" t="str">
        <f t="shared" si="21"/>
        <v>#N/A</v>
      </c>
      <c r="F161" s="112" t="s">
        <v>1082</v>
      </c>
      <c r="G161" s="116" t="s">
        <v>141</v>
      </c>
      <c r="H161" s="117">
        <v>62.6</v>
      </c>
      <c r="I161" s="118">
        <f t="shared" si="17"/>
        <v>0.2779552716</v>
      </c>
      <c r="J161" s="119">
        <f t="shared" si="18"/>
        <v>8.7</v>
      </c>
      <c r="K161" s="11"/>
      <c r="L161" s="28">
        <f t="shared" si="3"/>
        <v>7.6</v>
      </c>
      <c r="M161" s="28">
        <f t="shared" si="23"/>
        <v>257.6</v>
      </c>
      <c r="N161" s="28">
        <f t="shared" si="5"/>
        <v>274.344</v>
      </c>
      <c r="O161" s="72">
        <v>0.2</v>
      </c>
      <c r="P161" s="29"/>
      <c r="Q161" s="28">
        <f t="shared" si="6"/>
        <v>0</v>
      </c>
    </row>
    <row r="162" ht="18.75" customHeight="1">
      <c r="A162" s="112" t="s">
        <v>436</v>
      </c>
      <c r="B162" s="113">
        <v>70.0</v>
      </c>
      <c r="C162" s="114" t="s">
        <v>32</v>
      </c>
      <c r="D162" s="113">
        <v>7.0</v>
      </c>
      <c r="E162" s="78" t="str">
        <f t="shared" si="21"/>
        <v>#N/A</v>
      </c>
      <c r="F162" s="112" t="s">
        <v>1082</v>
      </c>
      <c r="G162" s="116" t="s">
        <v>141</v>
      </c>
      <c r="H162" s="117">
        <v>34.97</v>
      </c>
      <c r="I162" s="118">
        <f t="shared" si="17"/>
        <v>1.001715756</v>
      </c>
      <c r="J162" s="119">
        <f t="shared" si="18"/>
        <v>17.515</v>
      </c>
      <c r="K162" s="11"/>
      <c r="L162" s="28" t="str">
        <f t="shared" si="3"/>
        <v>#N/A</v>
      </c>
      <c r="M162" s="28" t="str">
        <f t="shared" si="23"/>
        <v>#N/A</v>
      </c>
      <c r="N162" s="28" t="str">
        <f t="shared" si="5"/>
        <v>#N/A</v>
      </c>
      <c r="O162" s="74" t="e">
        <v>#N/A</v>
      </c>
      <c r="P162" s="29"/>
      <c r="Q162" s="28">
        <f t="shared" si="6"/>
        <v>244.79</v>
      </c>
    </row>
    <row r="163" ht="18.75" customHeight="1">
      <c r="A163" s="79" t="s">
        <v>438</v>
      </c>
      <c r="B163" s="80">
        <v>170.0</v>
      </c>
      <c r="C163" s="81" t="s">
        <v>32</v>
      </c>
      <c r="D163" s="137">
        <v>3.0</v>
      </c>
      <c r="E163" s="78" t="str">
        <f t="shared" si="21"/>
        <v>#N/A</v>
      </c>
      <c r="F163" s="79" t="s">
        <v>1194</v>
      </c>
      <c r="G163" s="138" t="s">
        <v>633</v>
      </c>
      <c r="H163" s="139">
        <v>132.04</v>
      </c>
      <c r="I163" s="85">
        <f t="shared" si="17"/>
        <v>0.2874886398</v>
      </c>
      <c r="J163" s="86">
        <f t="shared" si="18"/>
        <v>18.98</v>
      </c>
      <c r="K163" s="11"/>
      <c r="L163" s="28" t="str">
        <f t="shared" si="3"/>
        <v>#N/A</v>
      </c>
      <c r="M163" s="28" t="str">
        <f t="shared" si="23"/>
        <v>#N/A</v>
      </c>
      <c r="N163" s="28" t="str">
        <f t="shared" si="5"/>
        <v>#N/A</v>
      </c>
      <c r="O163" s="72" t="e">
        <v>#N/A</v>
      </c>
      <c r="P163" s="29"/>
      <c r="Q163" s="28">
        <f t="shared" si="6"/>
        <v>396.12</v>
      </c>
    </row>
    <row r="164" ht="18.75" customHeight="1">
      <c r="A164" s="141" t="s">
        <v>440</v>
      </c>
      <c r="B164" s="142">
        <v>85.0</v>
      </c>
      <c r="C164" s="143" t="s">
        <v>32</v>
      </c>
      <c r="D164" s="144">
        <v>2.0</v>
      </c>
      <c r="E164" s="78" t="str">
        <f t="shared" si="21"/>
        <v>#N/A</v>
      </c>
      <c r="F164" s="141" t="s">
        <v>1203</v>
      </c>
      <c r="G164" s="145" t="s">
        <v>633</v>
      </c>
      <c r="H164" s="146">
        <v>53.526900000000005</v>
      </c>
      <c r="I164" s="147">
        <f t="shared" si="17"/>
        <v>0.5879866011</v>
      </c>
      <c r="J164" s="148">
        <f t="shared" si="18"/>
        <v>15.73655</v>
      </c>
      <c r="K164" s="11"/>
      <c r="L164" s="28">
        <f t="shared" si="3"/>
        <v>10.26</v>
      </c>
      <c r="M164" s="23">
        <f t="shared" ref="M164:M169" si="24">L164+40</f>
        <v>50.26</v>
      </c>
      <c r="N164" s="23">
        <f t="shared" si="5"/>
        <v>53.5269</v>
      </c>
      <c r="O164" s="149">
        <v>0.27</v>
      </c>
      <c r="P164" s="29"/>
      <c r="Q164" s="28">
        <f t="shared" si="6"/>
        <v>107.0538</v>
      </c>
    </row>
    <row r="165" ht="18.75" customHeight="1">
      <c r="A165" s="141" t="s">
        <v>441</v>
      </c>
      <c r="B165" s="142">
        <v>85.0</v>
      </c>
      <c r="C165" s="143" t="s">
        <v>32</v>
      </c>
      <c r="D165" s="144">
        <v>2.0</v>
      </c>
      <c r="E165" s="78" t="str">
        <f t="shared" si="21"/>
        <v>#N/A</v>
      </c>
      <c r="F165" s="141" t="s">
        <v>1203</v>
      </c>
      <c r="G165" s="145" t="s">
        <v>633</v>
      </c>
      <c r="H165" s="146">
        <v>53.526900000000005</v>
      </c>
      <c r="I165" s="147">
        <f t="shared" si="17"/>
        <v>0.5879866011</v>
      </c>
      <c r="J165" s="148">
        <f t="shared" si="18"/>
        <v>15.73655</v>
      </c>
      <c r="K165" s="11"/>
      <c r="L165" s="28">
        <f t="shared" si="3"/>
        <v>10.26</v>
      </c>
      <c r="M165" s="23">
        <f t="shared" si="24"/>
        <v>50.26</v>
      </c>
      <c r="N165" s="23">
        <f t="shared" si="5"/>
        <v>53.5269</v>
      </c>
      <c r="O165" s="149">
        <v>0.27</v>
      </c>
      <c r="P165" s="29"/>
      <c r="Q165" s="28">
        <f t="shared" si="6"/>
        <v>107.0538</v>
      </c>
    </row>
    <row r="166" ht="18.75" customHeight="1">
      <c r="A166" s="141" t="s">
        <v>443</v>
      </c>
      <c r="B166" s="142">
        <v>85.0</v>
      </c>
      <c r="C166" s="143" t="s">
        <v>32</v>
      </c>
      <c r="D166" s="150">
        <v>0.0</v>
      </c>
      <c r="E166" s="78" t="str">
        <f t="shared" si="21"/>
        <v>#N/A</v>
      </c>
      <c r="F166" s="141" t="s">
        <v>1203</v>
      </c>
      <c r="G166" s="145" t="s">
        <v>633</v>
      </c>
      <c r="H166" s="146">
        <v>53.526900000000005</v>
      </c>
      <c r="I166" s="147">
        <f t="shared" si="17"/>
        <v>0.5879866011</v>
      </c>
      <c r="J166" s="148">
        <f t="shared" si="18"/>
        <v>15.73655</v>
      </c>
      <c r="K166" s="11"/>
      <c r="L166" s="28">
        <f t="shared" si="3"/>
        <v>10.26</v>
      </c>
      <c r="M166" s="23">
        <f t="shared" si="24"/>
        <v>50.26</v>
      </c>
      <c r="N166" s="23">
        <f t="shared" si="5"/>
        <v>53.5269</v>
      </c>
      <c r="O166" s="149">
        <v>0.27</v>
      </c>
      <c r="P166" s="29"/>
      <c r="Q166" s="28">
        <f t="shared" si="6"/>
        <v>0</v>
      </c>
    </row>
    <row r="167" ht="18.75" customHeight="1">
      <c r="A167" s="141" t="s">
        <v>445</v>
      </c>
      <c r="B167" s="142">
        <v>85.0</v>
      </c>
      <c r="C167" s="143" t="s">
        <v>32</v>
      </c>
      <c r="D167" s="144">
        <v>4.0</v>
      </c>
      <c r="E167" s="78" t="str">
        <f t="shared" si="21"/>
        <v>#N/A</v>
      </c>
      <c r="F167" s="141" t="s">
        <v>1203</v>
      </c>
      <c r="G167" s="145" t="s">
        <v>633</v>
      </c>
      <c r="H167" s="146">
        <v>53.526900000000005</v>
      </c>
      <c r="I167" s="147">
        <f t="shared" si="17"/>
        <v>0.5879866011</v>
      </c>
      <c r="J167" s="148">
        <f t="shared" si="18"/>
        <v>15.73655</v>
      </c>
      <c r="K167" s="11"/>
      <c r="L167" s="28">
        <f t="shared" si="3"/>
        <v>10.26</v>
      </c>
      <c r="M167" s="23">
        <f t="shared" si="24"/>
        <v>50.26</v>
      </c>
      <c r="N167" s="23">
        <f t="shared" si="5"/>
        <v>53.5269</v>
      </c>
      <c r="O167" s="149">
        <v>0.27</v>
      </c>
      <c r="P167" s="29"/>
      <c r="Q167" s="28">
        <f t="shared" si="6"/>
        <v>214.1076</v>
      </c>
    </row>
    <row r="168" ht="18.75" customHeight="1">
      <c r="A168" s="141" t="s">
        <v>448</v>
      </c>
      <c r="B168" s="142">
        <v>85.0</v>
      </c>
      <c r="C168" s="143" t="s">
        <v>32</v>
      </c>
      <c r="D168" s="144">
        <v>3.0</v>
      </c>
      <c r="E168" s="78" t="str">
        <f t="shared" si="21"/>
        <v>#N/A</v>
      </c>
      <c r="F168" s="141" t="s">
        <v>1203</v>
      </c>
      <c r="G168" s="145" t="s">
        <v>633</v>
      </c>
      <c r="H168" s="146">
        <v>53.526900000000005</v>
      </c>
      <c r="I168" s="147">
        <f t="shared" si="17"/>
        <v>0.5879866011</v>
      </c>
      <c r="J168" s="148">
        <f t="shared" si="18"/>
        <v>15.73655</v>
      </c>
      <c r="K168" s="11"/>
      <c r="L168" s="28">
        <f t="shared" si="3"/>
        <v>10.26</v>
      </c>
      <c r="M168" s="23">
        <f t="shared" si="24"/>
        <v>50.26</v>
      </c>
      <c r="N168" s="23">
        <f t="shared" si="5"/>
        <v>53.5269</v>
      </c>
      <c r="O168" s="149">
        <v>0.27</v>
      </c>
      <c r="P168" s="29"/>
      <c r="Q168" s="28">
        <f t="shared" si="6"/>
        <v>160.5807</v>
      </c>
    </row>
    <row r="169" ht="18.75" customHeight="1">
      <c r="A169" s="141" t="s">
        <v>449</v>
      </c>
      <c r="B169" s="142">
        <v>85.0</v>
      </c>
      <c r="C169" s="143" t="s">
        <v>32</v>
      </c>
      <c r="D169" s="144">
        <v>2.0</v>
      </c>
      <c r="E169" s="78" t="str">
        <f t="shared" si="21"/>
        <v>#N/A</v>
      </c>
      <c r="F169" s="141" t="s">
        <v>1203</v>
      </c>
      <c r="G169" s="145" t="s">
        <v>633</v>
      </c>
      <c r="H169" s="146">
        <v>53.526900000000005</v>
      </c>
      <c r="I169" s="147">
        <f t="shared" si="17"/>
        <v>0.5879866011</v>
      </c>
      <c r="J169" s="148">
        <f t="shared" si="18"/>
        <v>15.73655</v>
      </c>
      <c r="K169" s="11"/>
      <c r="L169" s="28">
        <f t="shared" si="3"/>
        <v>10.26</v>
      </c>
      <c r="M169" s="23">
        <f t="shared" si="24"/>
        <v>50.26</v>
      </c>
      <c r="N169" s="23">
        <f t="shared" si="5"/>
        <v>53.5269</v>
      </c>
      <c r="O169" s="149">
        <v>0.27</v>
      </c>
      <c r="P169" s="29"/>
      <c r="Q169" s="28">
        <f t="shared" si="6"/>
        <v>107.0538</v>
      </c>
    </row>
    <row r="170" ht="18.75" customHeight="1">
      <c r="A170" s="141" t="s">
        <v>452</v>
      </c>
      <c r="B170" s="142">
        <v>105.0</v>
      </c>
      <c r="C170" s="143" t="s">
        <v>32</v>
      </c>
      <c r="D170" s="144">
        <v>0.0</v>
      </c>
      <c r="E170" s="78" t="str">
        <f t="shared" si="21"/>
        <v>#N/A</v>
      </c>
      <c r="F170" s="141" t="s">
        <v>1203</v>
      </c>
      <c r="G170" s="145" t="s">
        <v>633</v>
      </c>
      <c r="H170" s="146">
        <v>64.1769</v>
      </c>
      <c r="I170" s="147">
        <f t="shared" si="17"/>
        <v>0.6361027099</v>
      </c>
      <c r="J170" s="148">
        <f t="shared" si="18"/>
        <v>20.41155</v>
      </c>
      <c r="K170" s="11"/>
      <c r="L170" s="28">
        <f t="shared" si="3"/>
        <v>10.26</v>
      </c>
      <c r="M170" s="23">
        <f>L170+50</f>
        <v>60.26</v>
      </c>
      <c r="N170" s="23">
        <f t="shared" si="5"/>
        <v>64.1769</v>
      </c>
      <c r="O170" s="149">
        <v>0.27</v>
      </c>
      <c r="P170" s="29"/>
      <c r="Q170" s="28">
        <f t="shared" si="6"/>
        <v>0</v>
      </c>
    </row>
    <row r="171" ht="18.75" customHeight="1">
      <c r="A171" s="141" t="s">
        <v>455</v>
      </c>
      <c r="B171" s="142">
        <v>85.0</v>
      </c>
      <c r="C171" s="143" t="s">
        <v>32</v>
      </c>
      <c r="D171" s="144">
        <v>6.0</v>
      </c>
      <c r="E171" s="78" t="str">
        <f t="shared" si="21"/>
        <v>#N/A</v>
      </c>
      <c r="F171" s="141" t="s">
        <v>1203</v>
      </c>
      <c r="G171" s="145" t="s">
        <v>633</v>
      </c>
      <c r="H171" s="146">
        <v>53.526900000000005</v>
      </c>
      <c r="I171" s="147">
        <f t="shared" si="17"/>
        <v>0.5879866011</v>
      </c>
      <c r="J171" s="148">
        <f t="shared" si="18"/>
        <v>15.73655</v>
      </c>
      <c r="K171" s="11"/>
      <c r="L171" s="28">
        <f t="shared" si="3"/>
        <v>10.26</v>
      </c>
      <c r="M171" s="23">
        <f t="shared" ref="M171:M173" si="25">L171+40</f>
        <v>50.26</v>
      </c>
      <c r="N171" s="23">
        <f t="shared" si="5"/>
        <v>53.5269</v>
      </c>
      <c r="O171" s="149">
        <v>0.27</v>
      </c>
      <c r="P171" s="29"/>
      <c r="Q171" s="28">
        <f t="shared" si="6"/>
        <v>321.1614</v>
      </c>
    </row>
    <row r="172" ht="18.75" customHeight="1">
      <c r="A172" s="141" t="s">
        <v>456</v>
      </c>
      <c r="B172" s="142">
        <v>85.0</v>
      </c>
      <c r="C172" s="143" t="s">
        <v>32</v>
      </c>
      <c r="D172" s="144">
        <v>0.0</v>
      </c>
      <c r="E172" s="78" t="str">
        <f t="shared" si="21"/>
        <v>#N/A</v>
      </c>
      <c r="F172" s="141" t="s">
        <v>1203</v>
      </c>
      <c r="G172" s="145" t="s">
        <v>633</v>
      </c>
      <c r="H172" s="146">
        <v>53.526900000000005</v>
      </c>
      <c r="I172" s="147">
        <f t="shared" si="17"/>
        <v>0.5879866011</v>
      </c>
      <c r="J172" s="148">
        <f t="shared" si="18"/>
        <v>15.73655</v>
      </c>
      <c r="K172" s="11"/>
      <c r="L172" s="28">
        <f t="shared" si="3"/>
        <v>10.26</v>
      </c>
      <c r="M172" s="23">
        <f t="shared" si="25"/>
        <v>50.26</v>
      </c>
      <c r="N172" s="23">
        <f t="shared" si="5"/>
        <v>53.5269</v>
      </c>
      <c r="O172" s="149">
        <v>0.27</v>
      </c>
      <c r="P172" s="29"/>
      <c r="Q172" s="28">
        <f t="shared" si="6"/>
        <v>0</v>
      </c>
    </row>
    <row r="173" ht="18.75" customHeight="1">
      <c r="A173" s="141" t="s">
        <v>458</v>
      </c>
      <c r="B173" s="142">
        <v>85.0</v>
      </c>
      <c r="C173" s="143" t="s">
        <v>32</v>
      </c>
      <c r="D173" s="144">
        <v>3.0</v>
      </c>
      <c r="E173" s="78" t="str">
        <f t="shared" si="21"/>
        <v>#N/A</v>
      </c>
      <c r="F173" s="141" t="s">
        <v>1203</v>
      </c>
      <c r="G173" s="145" t="s">
        <v>633</v>
      </c>
      <c r="H173" s="146">
        <v>53.526900000000005</v>
      </c>
      <c r="I173" s="147">
        <f t="shared" si="17"/>
        <v>0.5879866011</v>
      </c>
      <c r="J173" s="148">
        <f t="shared" si="18"/>
        <v>15.73655</v>
      </c>
      <c r="K173" s="11"/>
      <c r="L173" s="28">
        <f t="shared" si="3"/>
        <v>10.26</v>
      </c>
      <c r="M173" s="23">
        <f t="shared" si="25"/>
        <v>50.26</v>
      </c>
      <c r="N173" s="23">
        <f t="shared" si="5"/>
        <v>53.5269</v>
      </c>
      <c r="O173" s="149">
        <v>0.27</v>
      </c>
      <c r="P173" s="29"/>
      <c r="Q173" s="28">
        <f t="shared" si="6"/>
        <v>160.5807</v>
      </c>
    </row>
    <row r="174" ht="18.75" customHeight="1">
      <c r="A174" s="112" t="s">
        <v>460</v>
      </c>
      <c r="B174" s="113">
        <v>20.0</v>
      </c>
      <c r="C174" s="114" t="s">
        <v>32</v>
      </c>
      <c r="D174" s="153">
        <v>0.0</v>
      </c>
      <c r="E174" s="78" t="str">
        <f t="shared" si="21"/>
        <v>#N/A</v>
      </c>
      <c r="F174" s="112" t="s">
        <v>1082</v>
      </c>
      <c r="G174" s="154" t="s">
        <v>633</v>
      </c>
      <c r="H174" s="156">
        <v>12.4179</v>
      </c>
      <c r="I174" s="118">
        <f t="shared" si="17"/>
        <v>0.6105782781</v>
      </c>
      <c r="J174" s="119">
        <f t="shared" si="18"/>
        <v>3.79105</v>
      </c>
      <c r="K174" s="11"/>
      <c r="L174" s="28">
        <f t="shared" si="3"/>
        <v>2.66</v>
      </c>
      <c r="M174" s="23">
        <f t="shared" ref="M174:M175" si="26">L174+9</f>
        <v>11.66</v>
      </c>
      <c r="N174" s="23">
        <f t="shared" si="5"/>
        <v>12.4179</v>
      </c>
      <c r="O174" s="149">
        <v>0.07</v>
      </c>
      <c r="P174" s="29"/>
      <c r="Q174" s="28">
        <f t="shared" si="6"/>
        <v>0</v>
      </c>
    </row>
    <row r="175" ht="18.75" customHeight="1">
      <c r="A175" s="112" t="s">
        <v>462</v>
      </c>
      <c r="B175" s="113">
        <v>20.0</v>
      </c>
      <c r="C175" s="114" t="s">
        <v>32</v>
      </c>
      <c r="D175" s="157">
        <v>0.0</v>
      </c>
      <c r="E175" s="78" t="str">
        <f t="shared" si="21"/>
        <v>#N/A</v>
      </c>
      <c r="F175" s="112" t="s">
        <v>1082</v>
      </c>
      <c r="G175" s="154" t="s">
        <v>633</v>
      </c>
      <c r="H175" s="156">
        <v>12.4179</v>
      </c>
      <c r="I175" s="118">
        <f t="shared" si="17"/>
        <v>0.6105782781</v>
      </c>
      <c r="J175" s="119">
        <f t="shared" si="18"/>
        <v>3.79105</v>
      </c>
      <c r="K175" s="11"/>
      <c r="L175" s="28">
        <f t="shared" si="3"/>
        <v>2.66</v>
      </c>
      <c r="M175" s="23">
        <f t="shared" si="26"/>
        <v>11.66</v>
      </c>
      <c r="N175" s="23">
        <f t="shared" si="5"/>
        <v>12.4179</v>
      </c>
      <c r="O175" s="149">
        <v>0.07</v>
      </c>
      <c r="P175" s="29"/>
      <c r="Q175" s="28">
        <f t="shared" si="6"/>
        <v>0</v>
      </c>
    </row>
    <row r="176" ht="18.75" customHeight="1">
      <c r="A176" s="112" t="s">
        <v>463</v>
      </c>
      <c r="B176" s="113">
        <v>25.0</v>
      </c>
      <c r="C176" s="114" t="s">
        <v>32</v>
      </c>
      <c r="D176" s="157">
        <v>0.0</v>
      </c>
      <c r="E176" s="78" t="str">
        <f t="shared" si="21"/>
        <v>#N/A</v>
      </c>
      <c r="F176" s="112" t="s">
        <v>1082</v>
      </c>
      <c r="G176" s="154" t="s">
        <v>633</v>
      </c>
      <c r="H176" s="156">
        <v>16.13475</v>
      </c>
      <c r="I176" s="118">
        <f t="shared" si="17"/>
        <v>0.5494507197</v>
      </c>
      <c r="J176" s="119">
        <f t="shared" si="18"/>
        <v>4.432625</v>
      </c>
      <c r="K176" s="11"/>
      <c r="L176" s="28">
        <f t="shared" si="3"/>
        <v>2.85</v>
      </c>
      <c r="M176" s="23">
        <f t="shared" ref="M176:M177" si="27">L176+12.3</f>
        <v>15.15</v>
      </c>
      <c r="N176" s="23">
        <f t="shared" si="5"/>
        <v>16.13475</v>
      </c>
      <c r="O176" s="149">
        <v>0.075</v>
      </c>
      <c r="P176" s="29"/>
      <c r="Q176" s="28">
        <f t="shared" si="6"/>
        <v>0</v>
      </c>
    </row>
    <row r="177" ht="18.75" customHeight="1">
      <c r="A177" s="112" t="s">
        <v>464</v>
      </c>
      <c r="B177" s="113">
        <v>25.0</v>
      </c>
      <c r="C177" s="114" t="s">
        <v>32</v>
      </c>
      <c r="D177" s="153">
        <v>12.0</v>
      </c>
      <c r="E177" s="78" t="str">
        <f t="shared" si="21"/>
        <v>#N/A</v>
      </c>
      <c r="F177" s="112" t="s">
        <v>1082</v>
      </c>
      <c r="G177" s="154" t="s">
        <v>633</v>
      </c>
      <c r="H177" s="156">
        <v>16.13475</v>
      </c>
      <c r="I177" s="118">
        <f t="shared" si="17"/>
        <v>0.5494507197</v>
      </c>
      <c r="J177" s="119">
        <f t="shared" si="18"/>
        <v>4.432625</v>
      </c>
      <c r="K177" s="11"/>
      <c r="L177" s="28">
        <f t="shared" si="3"/>
        <v>2.85</v>
      </c>
      <c r="M177" s="23">
        <f t="shared" si="27"/>
        <v>15.15</v>
      </c>
      <c r="N177" s="23">
        <f t="shared" si="5"/>
        <v>16.13475</v>
      </c>
      <c r="O177" s="25">
        <v>0.075</v>
      </c>
      <c r="P177" s="29"/>
      <c r="Q177" s="28">
        <f t="shared" si="6"/>
        <v>193.617</v>
      </c>
    </row>
    <row r="178" ht="18.75" customHeight="1">
      <c r="A178" s="112" t="s">
        <v>466</v>
      </c>
      <c r="B178" s="113">
        <v>75.0</v>
      </c>
      <c r="C178" s="114" t="s">
        <v>32</v>
      </c>
      <c r="D178" s="158">
        <v>0.0</v>
      </c>
      <c r="E178" s="78" t="str">
        <f t="shared" si="21"/>
        <v>#N/A</v>
      </c>
      <c r="F178" s="112" t="s">
        <v>1082</v>
      </c>
      <c r="G178" s="154" t="s">
        <v>633</v>
      </c>
      <c r="H178" s="156">
        <v>36.449999999999996</v>
      </c>
      <c r="I178" s="118">
        <f t="shared" si="17"/>
        <v>1.057613169</v>
      </c>
      <c r="J178" s="119">
        <f t="shared" si="18"/>
        <v>19.275</v>
      </c>
      <c r="K178" s="11"/>
      <c r="L178" s="28">
        <f t="shared" si="3"/>
        <v>13.3</v>
      </c>
      <c r="M178" s="23">
        <f>L178+23.15</f>
        <v>36.45</v>
      </c>
      <c r="N178" s="23">
        <f t="shared" si="5"/>
        <v>38.81925</v>
      </c>
      <c r="O178" s="149">
        <v>0.35</v>
      </c>
      <c r="P178" s="29"/>
      <c r="Q178" s="28">
        <f t="shared" si="6"/>
        <v>0</v>
      </c>
    </row>
    <row r="179" ht="18.75" customHeight="1">
      <c r="A179" s="112" t="s">
        <v>467</v>
      </c>
      <c r="B179" s="113">
        <v>40.0</v>
      </c>
      <c r="C179" s="114" t="s">
        <v>32</v>
      </c>
      <c r="D179" s="158">
        <v>4.0</v>
      </c>
      <c r="E179" s="78" t="str">
        <f t="shared" si="21"/>
        <v>#N/A</v>
      </c>
      <c r="F179" s="112" t="s">
        <v>1082</v>
      </c>
      <c r="G179" s="154" t="s">
        <v>633</v>
      </c>
      <c r="H179" s="156">
        <v>20.8</v>
      </c>
      <c r="I179" s="118">
        <f t="shared" si="17"/>
        <v>0.9230769231</v>
      </c>
      <c r="J179" s="119">
        <f t="shared" si="18"/>
        <v>9.6</v>
      </c>
      <c r="K179" s="11"/>
      <c r="L179" s="28">
        <f t="shared" si="3"/>
        <v>3.8</v>
      </c>
      <c r="M179" s="23">
        <f>L179+17</f>
        <v>20.8</v>
      </c>
      <c r="N179" s="23">
        <f t="shared" si="5"/>
        <v>22.152</v>
      </c>
      <c r="O179" s="149">
        <v>0.1</v>
      </c>
      <c r="P179" s="29"/>
      <c r="Q179" s="28">
        <f t="shared" si="6"/>
        <v>83.2</v>
      </c>
    </row>
    <row r="180" ht="18.75" customHeight="1">
      <c r="A180" s="112" t="s">
        <v>470</v>
      </c>
      <c r="B180" s="113">
        <v>80.0</v>
      </c>
      <c r="C180" s="114" t="s">
        <v>32</v>
      </c>
      <c r="D180" s="153">
        <v>0.0</v>
      </c>
      <c r="E180" s="78" t="str">
        <f t="shared" si="21"/>
        <v>#N/A</v>
      </c>
      <c r="F180" s="112" t="s">
        <v>1082</v>
      </c>
      <c r="G180" s="154" t="s">
        <v>633</v>
      </c>
      <c r="H180" s="156">
        <v>46.798</v>
      </c>
      <c r="I180" s="118">
        <f t="shared" si="17"/>
        <v>0.7094747639</v>
      </c>
      <c r="J180" s="119">
        <f t="shared" si="18"/>
        <v>16.601</v>
      </c>
      <c r="K180" s="11"/>
      <c r="L180" s="28">
        <f t="shared" si="3"/>
        <v>8.968</v>
      </c>
      <c r="M180" s="23">
        <f>L180+37.83</f>
        <v>46.798</v>
      </c>
      <c r="N180" s="23">
        <f t="shared" si="5"/>
        <v>49.83987</v>
      </c>
      <c r="O180" s="149">
        <v>0.236</v>
      </c>
      <c r="P180" s="29"/>
      <c r="Q180" s="28">
        <f t="shared" si="6"/>
        <v>0</v>
      </c>
    </row>
    <row r="181" ht="18.75" customHeight="1">
      <c r="A181" s="112" t="s">
        <v>472</v>
      </c>
      <c r="B181" s="113">
        <v>13.0</v>
      </c>
      <c r="C181" s="114" t="s">
        <v>32</v>
      </c>
      <c r="D181" s="120">
        <v>8.0</v>
      </c>
      <c r="E181" s="78" t="str">
        <f t="shared" si="21"/>
        <v>#N/A</v>
      </c>
      <c r="F181" s="112" t="s">
        <v>1082</v>
      </c>
      <c r="G181" s="116" t="s">
        <v>141</v>
      </c>
      <c r="H181" s="159">
        <v>7.768</v>
      </c>
      <c r="I181" s="118">
        <f t="shared" si="17"/>
        <v>0.6735324408</v>
      </c>
      <c r="J181" s="119">
        <f t="shared" si="18"/>
        <v>2.616</v>
      </c>
      <c r="K181" s="11"/>
      <c r="L181" s="28">
        <f t="shared" si="3"/>
        <v>3.268</v>
      </c>
      <c r="M181" s="23">
        <f>L181+4.5</f>
        <v>7.768</v>
      </c>
      <c r="N181" s="23">
        <f t="shared" si="5"/>
        <v>8.27292</v>
      </c>
      <c r="O181" s="25">
        <v>0.086</v>
      </c>
      <c r="P181" s="29"/>
      <c r="Q181" s="28">
        <f t="shared" si="6"/>
        <v>62.144</v>
      </c>
    </row>
    <row r="182" ht="18.75" customHeight="1">
      <c r="A182" s="160" t="s">
        <v>473</v>
      </c>
      <c r="B182" s="161">
        <v>90.0</v>
      </c>
      <c r="C182" s="162" t="s">
        <v>32</v>
      </c>
      <c r="D182" s="161">
        <v>6.0</v>
      </c>
      <c r="E182" s="78" t="str">
        <f t="shared" si="21"/>
        <v>#N/A</v>
      </c>
      <c r="F182" s="160" t="s">
        <v>1256</v>
      </c>
      <c r="G182" s="160" t="s">
        <v>1257</v>
      </c>
      <c r="H182" s="163">
        <v>67.32929999999999</v>
      </c>
      <c r="I182" s="164">
        <f t="shared" si="17"/>
        <v>0.3367137338</v>
      </c>
      <c r="J182" s="165">
        <f t="shared" si="18"/>
        <v>11.33535</v>
      </c>
      <c r="K182" s="11"/>
      <c r="L182" s="28">
        <f t="shared" si="3"/>
        <v>16.72</v>
      </c>
      <c r="M182" s="23">
        <f t="shared" ref="M182:M184" si="28">L182+46.5</f>
        <v>63.22</v>
      </c>
      <c r="N182" s="23">
        <f t="shared" si="5"/>
        <v>67.3293</v>
      </c>
      <c r="O182" s="72">
        <v>0.44</v>
      </c>
      <c r="P182" s="29"/>
      <c r="Q182" s="28">
        <f t="shared" si="6"/>
        <v>403.9758</v>
      </c>
    </row>
    <row r="183" ht="18.75" customHeight="1">
      <c r="A183" s="160" t="s">
        <v>474</v>
      </c>
      <c r="B183" s="161">
        <v>90.0</v>
      </c>
      <c r="C183" s="162" t="s">
        <v>32</v>
      </c>
      <c r="D183" s="161">
        <v>0.0</v>
      </c>
      <c r="E183" s="78" t="str">
        <f t="shared" si="21"/>
        <v>#N/A</v>
      </c>
      <c r="F183" s="160" t="s">
        <v>1256</v>
      </c>
      <c r="G183" s="160" t="s">
        <v>1257</v>
      </c>
      <c r="H183" s="163">
        <v>67.32929999999999</v>
      </c>
      <c r="I183" s="164">
        <f t="shared" si="17"/>
        <v>0.3367137338</v>
      </c>
      <c r="J183" s="165">
        <f t="shared" si="18"/>
        <v>11.33535</v>
      </c>
      <c r="K183" s="11"/>
      <c r="L183" s="28">
        <f t="shared" si="3"/>
        <v>16.72</v>
      </c>
      <c r="M183" s="23">
        <f t="shared" si="28"/>
        <v>63.22</v>
      </c>
      <c r="N183" s="23">
        <f t="shared" si="5"/>
        <v>67.3293</v>
      </c>
      <c r="O183" s="72">
        <v>0.44</v>
      </c>
      <c r="P183" s="29"/>
      <c r="Q183" s="28">
        <f t="shared" si="6"/>
        <v>0</v>
      </c>
    </row>
    <row r="184" ht="18.75" customHeight="1">
      <c r="A184" s="160" t="s">
        <v>477</v>
      </c>
      <c r="B184" s="161">
        <v>90.0</v>
      </c>
      <c r="C184" s="162" t="s">
        <v>32</v>
      </c>
      <c r="D184" s="161">
        <v>0.0</v>
      </c>
      <c r="E184" s="78" t="str">
        <f t="shared" si="21"/>
        <v>#N/A</v>
      </c>
      <c r="F184" s="160" t="s">
        <v>1256</v>
      </c>
      <c r="G184" s="160" t="s">
        <v>1257</v>
      </c>
      <c r="H184" s="163">
        <v>67.32929999999999</v>
      </c>
      <c r="I184" s="164">
        <f t="shared" si="17"/>
        <v>0.3367137338</v>
      </c>
      <c r="J184" s="165">
        <f t="shared" si="18"/>
        <v>11.33535</v>
      </c>
      <c r="K184" s="11"/>
      <c r="L184" s="28">
        <f t="shared" si="3"/>
        <v>16.72</v>
      </c>
      <c r="M184" s="23">
        <f t="shared" si="28"/>
        <v>63.22</v>
      </c>
      <c r="N184" s="23">
        <f t="shared" si="5"/>
        <v>67.3293</v>
      </c>
      <c r="O184" s="72">
        <v>0.44</v>
      </c>
      <c r="P184" s="29"/>
      <c r="Q184" s="28">
        <f t="shared" si="6"/>
        <v>0</v>
      </c>
    </row>
    <row r="185" ht="18.75" customHeight="1">
      <c r="A185" s="160" t="s">
        <v>478</v>
      </c>
      <c r="B185" s="161">
        <v>70.0</v>
      </c>
      <c r="C185" s="162" t="s">
        <v>32</v>
      </c>
      <c r="D185" s="161">
        <v>2.0</v>
      </c>
      <c r="E185" s="78" t="str">
        <f t="shared" si="21"/>
        <v>#N/A</v>
      </c>
      <c r="F185" s="160" t="s">
        <v>1256</v>
      </c>
      <c r="G185" s="160" t="s">
        <v>1257</v>
      </c>
      <c r="H185" s="163">
        <v>42.152699999999996</v>
      </c>
      <c r="I185" s="164">
        <f t="shared" si="17"/>
        <v>0.6606290937</v>
      </c>
      <c r="J185" s="165">
        <f t="shared" si="18"/>
        <v>13.92365</v>
      </c>
      <c r="K185" s="11"/>
      <c r="L185" s="28">
        <f t="shared" si="3"/>
        <v>15.58</v>
      </c>
      <c r="M185" s="23">
        <f t="shared" ref="M185:M192" si="29">L185+24</f>
        <v>39.58</v>
      </c>
      <c r="N185" s="23">
        <f t="shared" si="5"/>
        <v>42.1527</v>
      </c>
      <c r="O185" s="72">
        <v>0.41</v>
      </c>
      <c r="P185" s="29"/>
      <c r="Q185" s="28">
        <f t="shared" si="6"/>
        <v>84.3054</v>
      </c>
    </row>
    <row r="186" ht="18.75" customHeight="1">
      <c r="A186" s="160" t="s">
        <v>480</v>
      </c>
      <c r="B186" s="161">
        <v>70.0</v>
      </c>
      <c r="C186" s="162" t="s">
        <v>32</v>
      </c>
      <c r="D186" s="161">
        <v>2.0</v>
      </c>
      <c r="E186" s="78" t="str">
        <f t="shared" si="21"/>
        <v>#N/A</v>
      </c>
      <c r="F186" s="160" t="s">
        <v>1256</v>
      </c>
      <c r="G186" s="160" t="s">
        <v>1257</v>
      </c>
      <c r="H186" s="163">
        <v>42.152699999999996</v>
      </c>
      <c r="I186" s="164">
        <f t="shared" si="17"/>
        <v>0.6606290937</v>
      </c>
      <c r="J186" s="165">
        <f t="shared" si="18"/>
        <v>13.92365</v>
      </c>
      <c r="K186" s="11"/>
      <c r="L186" s="28">
        <f t="shared" si="3"/>
        <v>15.58</v>
      </c>
      <c r="M186" s="23">
        <f t="shared" si="29"/>
        <v>39.58</v>
      </c>
      <c r="N186" s="23">
        <f t="shared" si="5"/>
        <v>42.1527</v>
      </c>
      <c r="O186" s="72">
        <v>0.41</v>
      </c>
      <c r="P186" s="29"/>
      <c r="Q186" s="28">
        <f t="shared" si="6"/>
        <v>84.3054</v>
      </c>
    </row>
    <row r="187" ht="18.75" customHeight="1">
      <c r="A187" s="160" t="s">
        <v>482</v>
      </c>
      <c r="B187" s="161">
        <v>70.0</v>
      </c>
      <c r="C187" s="162" t="s">
        <v>32</v>
      </c>
      <c r="D187" s="161">
        <v>1.0</v>
      </c>
      <c r="E187" s="78" t="str">
        <f t="shared" si="21"/>
        <v>#N/A</v>
      </c>
      <c r="F187" s="160" t="s">
        <v>1256</v>
      </c>
      <c r="G187" s="160" t="s">
        <v>1257</v>
      </c>
      <c r="H187" s="163">
        <v>42.152699999999996</v>
      </c>
      <c r="I187" s="164">
        <f t="shared" si="17"/>
        <v>0.6606290937</v>
      </c>
      <c r="J187" s="165">
        <f t="shared" si="18"/>
        <v>13.92365</v>
      </c>
      <c r="K187" s="11"/>
      <c r="L187" s="28">
        <f t="shared" si="3"/>
        <v>15.58</v>
      </c>
      <c r="M187" s="23">
        <f t="shared" si="29"/>
        <v>39.58</v>
      </c>
      <c r="N187" s="23">
        <f t="shared" si="5"/>
        <v>42.1527</v>
      </c>
      <c r="O187" s="72">
        <v>0.41</v>
      </c>
      <c r="P187" s="29"/>
      <c r="Q187" s="28">
        <f t="shared" si="6"/>
        <v>42.1527</v>
      </c>
    </row>
    <row r="188" ht="18.75" customHeight="1">
      <c r="A188" s="160" t="s">
        <v>485</v>
      </c>
      <c r="B188" s="161">
        <v>70.0</v>
      </c>
      <c r="C188" s="162" t="s">
        <v>32</v>
      </c>
      <c r="D188" s="161">
        <v>2.0</v>
      </c>
      <c r="E188" s="78" t="str">
        <f t="shared" si="21"/>
        <v>#N/A</v>
      </c>
      <c r="F188" s="160" t="s">
        <v>1256</v>
      </c>
      <c r="G188" s="160" t="s">
        <v>1257</v>
      </c>
      <c r="H188" s="163">
        <v>42.152699999999996</v>
      </c>
      <c r="I188" s="164">
        <f t="shared" si="17"/>
        <v>0.6606290937</v>
      </c>
      <c r="J188" s="165">
        <f t="shared" si="18"/>
        <v>13.92365</v>
      </c>
      <c r="K188" s="11"/>
      <c r="L188" s="28">
        <f t="shared" si="3"/>
        <v>15.58</v>
      </c>
      <c r="M188" s="23">
        <f t="shared" si="29"/>
        <v>39.58</v>
      </c>
      <c r="N188" s="23">
        <f t="shared" si="5"/>
        <v>42.1527</v>
      </c>
      <c r="O188" s="72">
        <v>0.41</v>
      </c>
      <c r="P188" s="29"/>
      <c r="Q188" s="28">
        <f t="shared" si="6"/>
        <v>84.3054</v>
      </c>
    </row>
    <row r="189" ht="18.75" customHeight="1">
      <c r="A189" s="160" t="s">
        <v>486</v>
      </c>
      <c r="B189" s="161">
        <v>70.0</v>
      </c>
      <c r="C189" s="162" t="s">
        <v>32</v>
      </c>
      <c r="D189" s="161">
        <v>0.0</v>
      </c>
      <c r="E189" s="78" t="str">
        <f t="shared" si="21"/>
        <v>#N/A</v>
      </c>
      <c r="F189" s="160" t="s">
        <v>1256</v>
      </c>
      <c r="G189" s="160" t="s">
        <v>1257</v>
      </c>
      <c r="H189" s="163">
        <v>42.152699999999996</v>
      </c>
      <c r="I189" s="164">
        <f t="shared" si="17"/>
        <v>0.6606290937</v>
      </c>
      <c r="J189" s="165">
        <f t="shared" si="18"/>
        <v>13.92365</v>
      </c>
      <c r="K189" s="11"/>
      <c r="L189" s="28">
        <f t="shared" si="3"/>
        <v>15.58</v>
      </c>
      <c r="M189" s="23">
        <f t="shared" si="29"/>
        <v>39.58</v>
      </c>
      <c r="N189" s="23">
        <f t="shared" si="5"/>
        <v>42.1527</v>
      </c>
      <c r="O189" s="72">
        <v>0.41</v>
      </c>
      <c r="P189" s="29"/>
      <c r="Q189" s="28">
        <f t="shared" si="6"/>
        <v>0</v>
      </c>
    </row>
    <row r="190" ht="18.75" customHeight="1">
      <c r="A190" s="160" t="s">
        <v>489</v>
      </c>
      <c r="B190" s="161">
        <v>70.0</v>
      </c>
      <c r="C190" s="162" t="s">
        <v>32</v>
      </c>
      <c r="D190" s="161">
        <v>1.0</v>
      </c>
      <c r="E190" s="78" t="str">
        <f t="shared" si="21"/>
        <v>#N/A</v>
      </c>
      <c r="F190" s="160" t="s">
        <v>1256</v>
      </c>
      <c r="G190" s="160" t="s">
        <v>1257</v>
      </c>
      <c r="H190" s="163">
        <v>42.152699999999996</v>
      </c>
      <c r="I190" s="164">
        <f t="shared" si="17"/>
        <v>0.6606290937</v>
      </c>
      <c r="J190" s="165">
        <f t="shared" si="18"/>
        <v>13.92365</v>
      </c>
      <c r="K190" s="11"/>
      <c r="L190" s="28">
        <f t="shared" si="3"/>
        <v>15.58</v>
      </c>
      <c r="M190" s="23">
        <f t="shared" si="29"/>
        <v>39.58</v>
      </c>
      <c r="N190" s="23">
        <f t="shared" si="5"/>
        <v>42.1527</v>
      </c>
      <c r="O190" s="72">
        <v>0.41</v>
      </c>
      <c r="P190" s="29"/>
      <c r="Q190" s="28">
        <f t="shared" si="6"/>
        <v>42.1527</v>
      </c>
    </row>
    <row r="191" ht="18.75" customHeight="1">
      <c r="A191" s="160" t="s">
        <v>491</v>
      </c>
      <c r="B191" s="161">
        <v>70.0</v>
      </c>
      <c r="C191" s="162" t="s">
        <v>32</v>
      </c>
      <c r="D191" s="161">
        <v>2.0</v>
      </c>
      <c r="E191" s="78" t="str">
        <f t="shared" si="21"/>
        <v>#N/A</v>
      </c>
      <c r="F191" s="160" t="s">
        <v>1256</v>
      </c>
      <c r="G191" s="160" t="s">
        <v>1257</v>
      </c>
      <c r="H191" s="163">
        <v>42.152699999999996</v>
      </c>
      <c r="I191" s="164">
        <f t="shared" si="17"/>
        <v>0.6606290937</v>
      </c>
      <c r="J191" s="165">
        <f t="shared" si="18"/>
        <v>13.92365</v>
      </c>
      <c r="K191" s="11"/>
      <c r="L191" s="28">
        <f t="shared" si="3"/>
        <v>15.58</v>
      </c>
      <c r="M191" s="23">
        <f t="shared" si="29"/>
        <v>39.58</v>
      </c>
      <c r="N191" s="23">
        <f t="shared" si="5"/>
        <v>42.1527</v>
      </c>
      <c r="O191" s="72">
        <v>0.41</v>
      </c>
      <c r="P191" s="29"/>
      <c r="Q191" s="28">
        <f t="shared" si="6"/>
        <v>84.3054</v>
      </c>
    </row>
    <row r="192" ht="18.75" customHeight="1">
      <c r="A192" s="160" t="s">
        <v>493</v>
      </c>
      <c r="B192" s="161">
        <v>70.0</v>
      </c>
      <c r="C192" s="162" t="s">
        <v>32</v>
      </c>
      <c r="D192" s="161">
        <v>1.0</v>
      </c>
      <c r="E192" s="78" t="str">
        <f t="shared" si="21"/>
        <v>#N/A</v>
      </c>
      <c r="F192" s="160" t="s">
        <v>1256</v>
      </c>
      <c r="G192" s="160" t="s">
        <v>1257</v>
      </c>
      <c r="H192" s="163">
        <v>42.152699999999996</v>
      </c>
      <c r="I192" s="164">
        <f t="shared" si="17"/>
        <v>0.6606290937</v>
      </c>
      <c r="J192" s="165">
        <f t="shared" si="18"/>
        <v>13.92365</v>
      </c>
      <c r="K192" s="11"/>
      <c r="L192" s="28">
        <f t="shared" si="3"/>
        <v>15.58</v>
      </c>
      <c r="M192" s="23">
        <f t="shared" si="29"/>
        <v>39.58</v>
      </c>
      <c r="N192" s="23">
        <f t="shared" si="5"/>
        <v>42.1527</v>
      </c>
      <c r="O192" s="72">
        <v>0.41</v>
      </c>
      <c r="P192" s="29"/>
      <c r="Q192" s="28">
        <f t="shared" si="6"/>
        <v>42.1527</v>
      </c>
    </row>
    <row r="193" ht="18.75" customHeight="1">
      <c r="A193" s="64" t="s">
        <v>495</v>
      </c>
      <c r="B193" s="65">
        <v>20.0</v>
      </c>
      <c r="C193" s="66" t="s">
        <v>32</v>
      </c>
      <c r="D193" s="65">
        <v>13.0</v>
      </c>
      <c r="E193" s="78" t="str">
        <f t="shared" si="21"/>
        <v>#N/A</v>
      </c>
      <c r="F193" s="64" t="s">
        <v>523</v>
      </c>
      <c r="G193" s="64" t="s">
        <v>1290</v>
      </c>
      <c r="H193" s="168">
        <v>8.29422</v>
      </c>
      <c r="I193" s="70">
        <f t="shared" si="17"/>
        <v>1.411317761</v>
      </c>
      <c r="J193" s="71">
        <f t="shared" si="18"/>
        <v>5.85289</v>
      </c>
      <c r="K193" s="11"/>
      <c r="L193" s="28">
        <f t="shared" si="3"/>
        <v>0.988</v>
      </c>
      <c r="M193" s="23">
        <f>L193+6.8</f>
        <v>7.788</v>
      </c>
      <c r="N193" s="23">
        <f t="shared" si="5"/>
        <v>8.29422</v>
      </c>
      <c r="O193" s="72">
        <v>0.026</v>
      </c>
      <c r="P193" s="29"/>
      <c r="Q193" s="28">
        <f t="shared" si="6"/>
        <v>107.82486</v>
      </c>
    </row>
    <row r="194" ht="18.75" customHeight="1">
      <c r="A194" s="64" t="s">
        <v>498</v>
      </c>
      <c r="B194" s="65">
        <v>50.0</v>
      </c>
      <c r="C194" s="66" t="s">
        <v>32</v>
      </c>
      <c r="D194" s="65">
        <v>6.0</v>
      </c>
      <c r="E194" s="78" t="str">
        <f t="shared" si="21"/>
        <v>#N/A</v>
      </c>
      <c r="F194" s="64" t="s">
        <v>523</v>
      </c>
      <c r="G194" s="64" t="s">
        <v>1290</v>
      </c>
      <c r="H194" s="168">
        <v>24.41832</v>
      </c>
      <c r="I194" s="70">
        <f t="shared" si="17"/>
        <v>1.047642917</v>
      </c>
      <c r="J194" s="71">
        <f t="shared" si="18"/>
        <v>12.79084</v>
      </c>
      <c r="K194" s="11"/>
      <c r="L194" s="28">
        <f t="shared" si="3"/>
        <v>5.928</v>
      </c>
      <c r="M194" s="23">
        <f>L194+17</f>
        <v>22.928</v>
      </c>
      <c r="N194" s="23">
        <f t="shared" si="5"/>
        <v>24.41832</v>
      </c>
      <c r="O194" s="72">
        <v>0.156</v>
      </c>
      <c r="P194" s="29"/>
      <c r="Q194" s="28">
        <f t="shared" si="6"/>
        <v>146.50992</v>
      </c>
    </row>
    <row r="195" ht="18.75" customHeight="1">
      <c r="A195" s="79" t="s">
        <v>500</v>
      </c>
      <c r="B195" s="80">
        <v>170.0</v>
      </c>
      <c r="C195" s="81" t="s">
        <v>32</v>
      </c>
      <c r="D195" s="82">
        <v>0.0</v>
      </c>
      <c r="E195" s="78" t="str">
        <f t="shared" si="21"/>
        <v>#N/A</v>
      </c>
      <c r="F195" s="79" t="s">
        <v>1194</v>
      </c>
      <c r="G195" s="79" t="s">
        <v>1290</v>
      </c>
      <c r="H195" s="169">
        <v>118.23629999999999</v>
      </c>
      <c r="I195" s="85">
        <f t="shared" si="17"/>
        <v>0.4377987133</v>
      </c>
      <c r="J195" s="86">
        <f t="shared" si="18"/>
        <v>25.88185</v>
      </c>
      <c r="K195" s="11"/>
      <c r="L195" s="28">
        <f t="shared" si="3"/>
        <v>11.02</v>
      </c>
      <c r="M195" s="23">
        <f>L195+100</f>
        <v>111.02</v>
      </c>
      <c r="N195" s="23">
        <f t="shared" si="5"/>
        <v>118.2363</v>
      </c>
      <c r="O195" s="72">
        <v>0.29</v>
      </c>
      <c r="P195" s="29"/>
      <c r="Q195" s="28">
        <f t="shared" si="6"/>
        <v>0</v>
      </c>
    </row>
    <row r="196" ht="18.75" customHeight="1">
      <c r="A196" s="141" t="s">
        <v>502</v>
      </c>
      <c r="B196" s="142">
        <v>85.0</v>
      </c>
      <c r="C196" s="143" t="s">
        <v>32</v>
      </c>
      <c r="D196" s="142">
        <v>14.0</v>
      </c>
      <c r="E196" s="78" t="str">
        <f t="shared" si="21"/>
        <v>#N/A</v>
      </c>
      <c r="F196" s="141" t="s">
        <v>1203</v>
      </c>
      <c r="G196" s="141" t="s">
        <v>1290</v>
      </c>
      <c r="H196" s="170">
        <v>52.717499999999994</v>
      </c>
      <c r="I196" s="147">
        <f t="shared" si="17"/>
        <v>0.6123678096</v>
      </c>
      <c r="J196" s="148">
        <f t="shared" si="18"/>
        <v>16.14125</v>
      </c>
      <c r="K196" s="11"/>
      <c r="L196" s="28">
        <f t="shared" si="3"/>
        <v>9.5</v>
      </c>
      <c r="M196" s="23">
        <f t="shared" ref="M196:M202" si="30">L196+40</f>
        <v>49.5</v>
      </c>
      <c r="N196" s="23">
        <f t="shared" si="5"/>
        <v>52.7175</v>
      </c>
      <c r="O196" s="72">
        <v>0.25</v>
      </c>
      <c r="P196" s="29"/>
      <c r="Q196" s="28">
        <f t="shared" si="6"/>
        <v>738.045</v>
      </c>
    </row>
    <row r="197" ht="18.75" customHeight="1">
      <c r="A197" s="141" t="s">
        <v>504</v>
      </c>
      <c r="B197" s="142">
        <v>85.0</v>
      </c>
      <c r="C197" s="143" t="s">
        <v>32</v>
      </c>
      <c r="D197" s="142">
        <v>0.0</v>
      </c>
      <c r="E197" s="78" t="str">
        <f t="shared" si="21"/>
        <v>#N/A</v>
      </c>
      <c r="F197" s="141" t="s">
        <v>1203</v>
      </c>
      <c r="G197" s="141" t="s">
        <v>1290</v>
      </c>
      <c r="H197" s="170">
        <v>52.312799999999996</v>
      </c>
      <c r="I197" s="147">
        <f t="shared" si="17"/>
        <v>0.624841339</v>
      </c>
      <c r="J197" s="148">
        <f t="shared" si="18"/>
        <v>16.3436</v>
      </c>
      <c r="K197" s="11"/>
      <c r="L197" s="28">
        <f t="shared" si="3"/>
        <v>9.12</v>
      </c>
      <c r="M197" s="23">
        <f t="shared" si="30"/>
        <v>49.12</v>
      </c>
      <c r="N197" s="23">
        <f t="shared" si="5"/>
        <v>52.3128</v>
      </c>
      <c r="O197" s="72">
        <v>0.24</v>
      </c>
      <c r="P197" s="29"/>
      <c r="Q197" s="28">
        <f t="shared" si="6"/>
        <v>0</v>
      </c>
    </row>
    <row r="198" ht="18.75" customHeight="1">
      <c r="A198" s="141" t="s">
        <v>506</v>
      </c>
      <c r="B198" s="142">
        <v>85.0</v>
      </c>
      <c r="C198" s="143" t="s">
        <v>32</v>
      </c>
      <c r="D198" s="142">
        <v>4.0</v>
      </c>
      <c r="E198" s="78" t="str">
        <f t="shared" si="21"/>
        <v>#N/A</v>
      </c>
      <c r="F198" s="141" t="s">
        <v>1203</v>
      </c>
      <c r="G198" s="141" t="s">
        <v>1290</v>
      </c>
      <c r="H198" s="170">
        <v>52.91985</v>
      </c>
      <c r="I198" s="147">
        <f t="shared" si="17"/>
        <v>0.6062025875</v>
      </c>
      <c r="J198" s="148">
        <f t="shared" si="18"/>
        <v>16.040075</v>
      </c>
      <c r="K198" s="11"/>
      <c r="L198" s="28">
        <f t="shared" si="3"/>
        <v>9.69</v>
      </c>
      <c r="M198" s="23">
        <f t="shared" si="30"/>
        <v>49.69</v>
      </c>
      <c r="N198" s="23">
        <f t="shared" si="5"/>
        <v>52.91985</v>
      </c>
      <c r="O198" s="72">
        <v>0.255</v>
      </c>
      <c r="P198" s="29"/>
      <c r="Q198" s="28">
        <f t="shared" si="6"/>
        <v>211.6794</v>
      </c>
    </row>
    <row r="199" ht="18.75" customHeight="1">
      <c r="A199" s="141" t="s">
        <v>507</v>
      </c>
      <c r="B199" s="142">
        <v>85.0</v>
      </c>
      <c r="C199" s="143" t="s">
        <v>32</v>
      </c>
      <c r="D199" s="142">
        <v>1.0</v>
      </c>
      <c r="E199" s="78" t="str">
        <f t="shared" si="21"/>
        <v>#N/A</v>
      </c>
      <c r="F199" s="141" t="s">
        <v>1203</v>
      </c>
      <c r="G199" s="141" t="s">
        <v>1290</v>
      </c>
      <c r="H199" s="170">
        <v>51.5034</v>
      </c>
      <c r="I199" s="147">
        <f t="shared" si="17"/>
        <v>0.65037648</v>
      </c>
      <c r="J199" s="148">
        <f t="shared" si="18"/>
        <v>16.7483</v>
      </c>
      <c r="K199" s="11"/>
      <c r="L199" s="28">
        <f t="shared" si="3"/>
        <v>8.36</v>
      </c>
      <c r="M199" s="23">
        <f t="shared" si="30"/>
        <v>48.36</v>
      </c>
      <c r="N199" s="23">
        <f t="shared" si="5"/>
        <v>51.5034</v>
      </c>
      <c r="O199" s="72">
        <v>0.22</v>
      </c>
      <c r="P199" s="29"/>
      <c r="Q199" s="28">
        <f t="shared" si="6"/>
        <v>51.5034</v>
      </c>
    </row>
    <row r="200" ht="18.75" customHeight="1">
      <c r="A200" s="141" t="s">
        <v>509</v>
      </c>
      <c r="B200" s="142">
        <v>85.0</v>
      </c>
      <c r="C200" s="143" t="s">
        <v>32</v>
      </c>
      <c r="D200" s="142">
        <v>2.0</v>
      </c>
      <c r="E200" s="78" t="str">
        <f t="shared" si="21"/>
        <v>#N/A</v>
      </c>
      <c r="F200" s="141" t="s">
        <v>1203</v>
      </c>
      <c r="G200" s="141" t="s">
        <v>1290</v>
      </c>
      <c r="H200" s="170">
        <v>52.312799999999996</v>
      </c>
      <c r="I200" s="147">
        <f t="shared" si="17"/>
        <v>0.624841339</v>
      </c>
      <c r="J200" s="148">
        <f t="shared" si="18"/>
        <v>16.3436</v>
      </c>
      <c r="K200" s="11"/>
      <c r="L200" s="28">
        <f t="shared" si="3"/>
        <v>9.12</v>
      </c>
      <c r="M200" s="23">
        <f t="shared" si="30"/>
        <v>49.12</v>
      </c>
      <c r="N200" s="23">
        <f t="shared" si="5"/>
        <v>52.3128</v>
      </c>
      <c r="O200" s="72">
        <v>0.24</v>
      </c>
      <c r="P200" s="29"/>
      <c r="Q200" s="28">
        <f t="shared" si="6"/>
        <v>104.6256</v>
      </c>
    </row>
    <row r="201" ht="18.75" customHeight="1">
      <c r="A201" s="141" t="s">
        <v>511</v>
      </c>
      <c r="B201" s="142">
        <v>85.0</v>
      </c>
      <c r="C201" s="143" t="s">
        <v>32</v>
      </c>
      <c r="D201" s="171">
        <v>0.0</v>
      </c>
      <c r="E201" s="78" t="str">
        <f t="shared" si="21"/>
        <v>#N/A</v>
      </c>
      <c r="F201" s="141" t="s">
        <v>1203</v>
      </c>
      <c r="G201" s="141" t="s">
        <v>1290</v>
      </c>
      <c r="H201" s="170">
        <v>51.58434</v>
      </c>
      <c r="I201" s="147">
        <f t="shared" si="17"/>
        <v>0.6477869059</v>
      </c>
      <c r="J201" s="148">
        <f t="shared" si="18"/>
        <v>16.70783</v>
      </c>
      <c r="K201" s="11"/>
      <c r="L201" s="28">
        <f t="shared" si="3"/>
        <v>8.436</v>
      </c>
      <c r="M201" s="23">
        <f t="shared" si="30"/>
        <v>48.436</v>
      </c>
      <c r="N201" s="23">
        <f t="shared" si="5"/>
        <v>51.58434</v>
      </c>
      <c r="O201" s="72">
        <v>0.222</v>
      </c>
      <c r="P201" s="29"/>
      <c r="Q201" s="28">
        <f t="shared" si="6"/>
        <v>0</v>
      </c>
    </row>
    <row r="202" ht="18.75" customHeight="1">
      <c r="A202" s="141" t="s">
        <v>512</v>
      </c>
      <c r="B202" s="142">
        <v>85.0</v>
      </c>
      <c r="C202" s="143" t="s">
        <v>32</v>
      </c>
      <c r="D202" s="142">
        <v>3.0</v>
      </c>
      <c r="E202" s="78" t="str">
        <f t="shared" si="21"/>
        <v>#N/A</v>
      </c>
      <c r="F202" s="141" t="s">
        <v>1203</v>
      </c>
      <c r="G202" s="141" t="s">
        <v>1290</v>
      </c>
      <c r="H202" s="170">
        <v>51.9081</v>
      </c>
      <c r="I202" s="147">
        <f t="shared" si="17"/>
        <v>0.6375093675</v>
      </c>
      <c r="J202" s="148">
        <f t="shared" si="18"/>
        <v>16.54595</v>
      </c>
      <c r="K202" s="11"/>
      <c r="L202" s="28">
        <f t="shared" si="3"/>
        <v>8.74</v>
      </c>
      <c r="M202" s="23">
        <f t="shared" si="30"/>
        <v>48.74</v>
      </c>
      <c r="N202" s="23">
        <f t="shared" si="5"/>
        <v>51.9081</v>
      </c>
      <c r="O202" s="72">
        <v>0.23</v>
      </c>
      <c r="P202" s="29"/>
      <c r="Q202" s="28">
        <f t="shared" si="6"/>
        <v>155.7243</v>
      </c>
    </row>
    <row r="203" ht="18.75" customHeight="1">
      <c r="A203" s="88" t="s">
        <v>516</v>
      </c>
      <c r="B203" s="89">
        <v>80.0</v>
      </c>
      <c r="C203" s="90" t="s">
        <v>32</v>
      </c>
      <c r="D203" s="89">
        <v>1.0</v>
      </c>
      <c r="E203" s="78" t="str">
        <f t="shared" si="21"/>
        <v>#N/A</v>
      </c>
      <c r="F203" s="88" t="s">
        <v>1325</v>
      </c>
      <c r="G203" s="88" t="s">
        <v>1326</v>
      </c>
      <c r="H203" s="92">
        <v>54.15525</v>
      </c>
      <c r="I203" s="93">
        <f t="shared" si="17"/>
        <v>0.4772344325</v>
      </c>
      <c r="J203" s="94">
        <f t="shared" si="18"/>
        <v>12.922375</v>
      </c>
      <c r="K203" s="11"/>
      <c r="L203" s="28">
        <f t="shared" si="3"/>
        <v>22.8</v>
      </c>
      <c r="M203" s="23">
        <f t="shared" ref="M203:M204" si="31">L203+28.05</f>
        <v>50.85</v>
      </c>
      <c r="N203" s="23">
        <f t="shared" si="5"/>
        <v>54.15525</v>
      </c>
      <c r="O203" s="72">
        <v>0.6</v>
      </c>
      <c r="P203" s="29"/>
      <c r="Q203" s="28">
        <f t="shared" si="6"/>
        <v>54.15525</v>
      </c>
    </row>
    <row r="204" ht="18.75" customHeight="1">
      <c r="A204" s="88" t="s">
        <v>518</v>
      </c>
      <c r="B204" s="89">
        <v>80.0</v>
      </c>
      <c r="C204" s="90" t="s">
        <v>32</v>
      </c>
      <c r="D204" s="89">
        <v>3.0</v>
      </c>
      <c r="E204" s="78" t="str">
        <f t="shared" si="21"/>
        <v>#N/A</v>
      </c>
      <c r="F204" s="88" t="s">
        <v>1325</v>
      </c>
      <c r="G204" s="88" t="s">
        <v>1326</v>
      </c>
      <c r="H204" s="92">
        <v>54.15525</v>
      </c>
      <c r="I204" s="93">
        <f t="shared" si="17"/>
        <v>0.4772344325</v>
      </c>
      <c r="J204" s="94">
        <f t="shared" si="18"/>
        <v>12.922375</v>
      </c>
      <c r="K204" s="11"/>
      <c r="L204" s="28">
        <f t="shared" si="3"/>
        <v>22.8</v>
      </c>
      <c r="M204" s="23">
        <f t="shared" si="31"/>
        <v>50.85</v>
      </c>
      <c r="N204" s="23">
        <f t="shared" si="5"/>
        <v>54.15525</v>
      </c>
      <c r="O204" s="72">
        <v>0.6</v>
      </c>
      <c r="P204" s="29"/>
      <c r="Q204" s="28">
        <f t="shared" si="6"/>
        <v>162.46575</v>
      </c>
    </row>
    <row r="205" ht="18.75" customHeight="1">
      <c r="A205" s="88" t="s">
        <v>522</v>
      </c>
      <c r="B205" s="89">
        <v>85.0</v>
      </c>
      <c r="C205" s="90" t="s">
        <v>32</v>
      </c>
      <c r="D205" s="89">
        <v>3.0</v>
      </c>
      <c r="E205" s="78" t="str">
        <f t="shared" si="21"/>
        <v>#N/A</v>
      </c>
      <c r="F205" s="88" t="s">
        <v>1325</v>
      </c>
      <c r="G205" s="88" t="s">
        <v>1326</v>
      </c>
      <c r="H205" s="92">
        <v>64.54965</v>
      </c>
      <c r="I205" s="93">
        <f t="shared" si="17"/>
        <v>0.3168158154</v>
      </c>
      <c r="J205" s="94">
        <f t="shared" si="18"/>
        <v>10.225175</v>
      </c>
      <c r="K205" s="11"/>
      <c r="L205" s="28">
        <f t="shared" si="3"/>
        <v>28.31</v>
      </c>
      <c r="M205" s="23">
        <f>L205+32.3</f>
        <v>60.61</v>
      </c>
      <c r="N205" s="23">
        <f t="shared" si="5"/>
        <v>64.54965</v>
      </c>
      <c r="O205" s="72">
        <v>0.745</v>
      </c>
      <c r="P205" s="29"/>
      <c r="Q205" s="28">
        <f t="shared" si="6"/>
        <v>193.64895</v>
      </c>
    </row>
    <row r="206" ht="18.75" customHeight="1">
      <c r="A206" s="88" t="s">
        <v>525</v>
      </c>
      <c r="B206" s="89">
        <v>65.0</v>
      </c>
      <c r="C206" s="90" t="s">
        <v>32</v>
      </c>
      <c r="D206" s="89">
        <v>1.0</v>
      </c>
      <c r="E206" s="78" t="str">
        <f t="shared" si="21"/>
        <v>#N/A</v>
      </c>
      <c r="F206" s="88" t="s">
        <v>1325</v>
      </c>
      <c r="G206" s="88" t="s">
        <v>1326</v>
      </c>
      <c r="H206" s="92">
        <v>36.66795</v>
      </c>
      <c r="I206" s="93">
        <f t="shared" si="17"/>
        <v>0.7726652294</v>
      </c>
      <c r="J206" s="94">
        <f t="shared" si="18"/>
        <v>14.166025</v>
      </c>
      <c r="K206" s="11"/>
      <c r="L206" s="28">
        <f t="shared" si="3"/>
        <v>16.15</v>
      </c>
      <c r="M206" s="23">
        <f t="shared" ref="M206:M209" si="32">L206+18.28</f>
        <v>34.43</v>
      </c>
      <c r="N206" s="23">
        <f t="shared" si="5"/>
        <v>36.66795</v>
      </c>
      <c r="O206" s="72">
        <v>0.425</v>
      </c>
      <c r="P206" s="29"/>
      <c r="Q206" s="28">
        <f t="shared" si="6"/>
        <v>36.66795</v>
      </c>
    </row>
    <row r="207" ht="18.75" customHeight="1">
      <c r="A207" s="88" t="s">
        <v>526</v>
      </c>
      <c r="B207" s="89">
        <v>65.0</v>
      </c>
      <c r="C207" s="90" t="s">
        <v>32</v>
      </c>
      <c r="D207" s="96">
        <v>0.0</v>
      </c>
      <c r="E207" s="78" t="str">
        <f t="shared" si="21"/>
        <v>#N/A</v>
      </c>
      <c r="F207" s="88" t="s">
        <v>1325</v>
      </c>
      <c r="G207" s="88" t="s">
        <v>1326</v>
      </c>
      <c r="H207" s="92">
        <v>36.66795</v>
      </c>
      <c r="I207" s="93">
        <f t="shared" si="17"/>
        <v>0.7726652294</v>
      </c>
      <c r="J207" s="94">
        <f t="shared" si="18"/>
        <v>14.166025</v>
      </c>
      <c r="K207" s="11"/>
      <c r="L207" s="28">
        <f t="shared" si="3"/>
        <v>16.15</v>
      </c>
      <c r="M207" s="23">
        <f t="shared" si="32"/>
        <v>34.43</v>
      </c>
      <c r="N207" s="23">
        <f t="shared" si="5"/>
        <v>36.66795</v>
      </c>
      <c r="O207" s="72">
        <v>0.425</v>
      </c>
      <c r="P207" s="29"/>
      <c r="Q207" s="28">
        <f t="shared" si="6"/>
        <v>0</v>
      </c>
    </row>
    <row r="208" ht="18.75" customHeight="1">
      <c r="A208" s="88" t="s">
        <v>528</v>
      </c>
      <c r="B208" s="89">
        <v>65.0</v>
      </c>
      <c r="C208" s="90" t="s">
        <v>32</v>
      </c>
      <c r="D208" s="89">
        <v>0.0</v>
      </c>
      <c r="E208" s="78" t="str">
        <f t="shared" si="21"/>
        <v>#N/A</v>
      </c>
      <c r="F208" s="88" t="s">
        <v>1325</v>
      </c>
      <c r="G208" s="88" t="s">
        <v>1326</v>
      </c>
      <c r="H208" s="92">
        <v>36.66795</v>
      </c>
      <c r="I208" s="93">
        <f t="shared" si="17"/>
        <v>0.7726652294</v>
      </c>
      <c r="J208" s="94">
        <f t="shared" si="18"/>
        <v>14.166025</v>
      </c>
      <c r="K208" s="11"/>
      <c r="L208" s="28">
        <f t="shared" si="3"/>
        <v>16.15</v>
      </c>
      <c r="M208" s="23">
        <f t="shared" si="32"/>
        <v>34.43</v>
      </c>
      <c r="N208" s="23">
        <f t="shared" si="5"/>
        <v>36.66795</v>
      </c>
      <c r="O208" s="72">
        <v>0.425</v>
      </c>
      <c r="P208" s="29"/>
      <c r="Q208" s="28">
        <f t="shared" si="6"/>
        <v>0</v>
      </c>
    </row>
    <row r="209" ht="18.75" customHeight="1">
      <c r="A209" s="88" t="s">
        <v>530</v>
      </c>
      <c r="B209" s="89">
        <v>65.0</v>
      </c>
      <c r="C209" s="90" t="s">
        <v>32</v>
      </c>
      <c r="D209" s="89">
        <v>1.0</v>
      </c>
      <c r="E209" s="78" t="str">
        <f t="shared" si="21"/>
        <v>#N/A</v>
      </c>
      <c r="F209" s="88" t="s">
        <v>1325</v>
      </c>
      <c r="G209" s="88" t="s">
        <v>1326</v>
      </c>
      <c r="H209" s="92">
        <v>36.66795</v>
      </c>
      <c r="I209" s="93">
        <f t="shared" si="17"/>
        <v>0.7726652294</v>
      </c>
      <c r="J209" s="94">
        <f t="shared" si="18"/>
        <v>14.166025</v>
      </c>
      <c r="K209" s="11"/>
      <c r="L209" s="28">
        <f t="shared" si="3"/>
        <v>16.15</v>
      </c>
      <c r="M209" s="23">
        <f t="shared" si="32"/>
        <v>34.43</v>
      </c>
      <c r="N209" s="23">
        <f t="shared" si="5"/>
        <v>36.66795</v>
      </c>
      <c r="O209" s="72">
        <v>0.425</v>
      </c>
      <c r="P209" s="29"/>
      <c r="Q209" s="28">
        <f t="shared" si="6"/>
        <v>36.66795</v>
      </c>
    </row>
    <row r="210" ht="18.75" customHeight="1">
      <c r="A210" s="88" t="s">
        <v>531</v>
      </c>
      <c r="B210" s="89">
        <v>65.0</v>
      </c>
      <c r="C210" s="90" t="s">
        <v>32</v>
      </c>
      <c r="D210" s="96">
        <v>0.0</v>
      </c>
      <c r="E210" s="78" t="str">
        <f t="shared" si="21"/>
        <v>#N/A</v>
      </c>
      <c r="F210" s="88" t="s">
        <v>1325</v>
      </c>
      <c r="G210" s="88" t="s">
        <v>1326</v>
      </c>
      <c r="H210" s="92">
        <v>43.824749999999995</v>
      </c>
      <c r="I210" s="93">
        <f t="shared" si="17"/>
        <v>0.4831801665</v>
      </c>
      <c r="J210" s="94">
        <f t="shared" si="18"/>
        <v>10.587625</v>
      </c>
      <c r="K210" s="11"/>
      <c r="L210" s="28">
        <f t="shared" si="3"/>
        <v>16.15</v>
      </c>
      <c r="M210" s="23">
        <f>L210+25</f>
        <v>41.15</v>
      </c>
      <c r="N210" s="23">
        <f t="shared" si="5"/>
        <v>43.82475</v>
      </c>
      <c r="O210" s="72">
        <v>0.425</v>
      </c>
      <c r="P210" s="29"/>
      <c r="Q210" s="28">
        <f t="shared" si="6"/>
        <v>0</v>
      </c>
    </row>
    <row r="211" ht="18.75" customHeight="1">
      <c r="A211" s="88" t="s">
        <v>534</v>
      </c>
      <c r="B211" s="89">
        <v>65.0</v>
      </c>
      <c r="C211" s="90" t="s">
        <v>32</v>
      </c>
      <c r="D211" s="89">
        <v>2.0</v>
      </c>
      <c r="E211" s="78" t="str">
        <f t="shared" si="21"/>
        <v>#N/A</v>
      </c>
      <c r="F211" s="88" t="s">
        <v>1325</v>
      </c>
      <c r="G211" s="88" t="s">
        <v>1326</v>
      </c>
      <c r="H211" s="92">
        <v>36.66795</v>
      </c>
      <c r="I211" s="93">
        <f t="shared" si="17"/>
        <v>0.7726652294</v>
      </c>
      <c r="J211" s="94">
        <f t="shared" si="18"/>
        <v>14.166025</v>
      </c>
      <c r="K211" s="11"/>
      <c r="L211" s="28">
        <f t="shared" si="3"/>
        <v>16.15</v>
      </c>
      <c r="M211" s="23">
        <f t="shared" ref="M211:M215" si="33">L211+18.28</f>
        <v>34.43</v>
      </c>
      <c r="N211" s="23">
        <f t="shared" si="5"/>
        <v>36.66795</v>
      </c>
      <c r="O211" s="72">
        <v>0.425</v>
      </c>
      <c r="P211" s="29"/>
      <c r="Q211" s="28">
        <f t="shared" si="6"/>
        <v>73.3359</v>
      </c>
    </row>
    <row r="212" ht="18.75" customHeight="1">
      <c r="A212" s="88" t="s">
        <v>536</v>
      </c>
      <c r="B212" s="89">
        <v>65.0</v>
      </c>
      <c r="C212" s="90" t="s">
        <v>32</v>
      </c>
      <c r="D212" s="89">
        <v>3.0</v>
      </c>
      <c r="E212" s="78" t="str">
        <f t="shared" si="21"/>
        <v>#N/A</v>
      </c>
      <c r="F212" s="88" t="s">
        <v>1325</v>
      </c>
      <c r="G212" s="88" t="s">
        <v>1326</v>
      </c>
      <c r="H212" s="92">
        <v>36.66795</v>
      </c>
      <c r="I212" s="93">
        <f t="shared" si="17"/>
        <v>0.7726652294</v>
      </c>
      <c r="J212" s="94">
        <f t="shared" si="18"/>
        <v>14.166025</v>
      </c>
      <c r="K212" s="11"/>
      <c r="L212" s="28">
        <f t="shared" si="3"/>
        <v>16.15</v>
      </c>
      <c r="M212" s="23">
        <f t="shared" si="33"/>
        <v>34.43</v>
      </c>
      <c r="N212" s="23">
        <f t="shared" si="5"/>
        <v>36.66795</v>
      </c>
      <c r="O212" s="72">
        <v>0.425</v>
      </c>
      <c r="P212" s="29"/>
      <c r="Q212" s="28">
        <f t="shared" si="6"/>
        <v>110.00385</v>
      </c>
    </row>
    <row r="213" ht="18.75" customHeight="1">
      <c r="A213" s="88" t="s">
        <v>537</v>
      </c>
      <c r="B213" s="89">
        <v>65.0</v>
      </c>
      <c r="C213" s="90"/>
      <c r="D213" s="89">
        <v>3.0</v>
      </c>
      <c r="E213" s="172" t="str">
        <f t="shared" si="21"/>
        <v>#N/A</v>
      </c>
      <c r="F213" s="88" t="s">
        <v>1325</v>
      </c>
      <c r="G213" s="88" t="s">
        <v>1326</v>
      </c>
      <c r="H213" s="92">
        <v>36.66795</v>
      </c>
      <c r="I213" s="93">
        <f t="shared" si="17"/>
        <v>0.7726652294</v>
      </c>
      <c r="J213" s="94">
        <f t="shared" si="18"/>
        <v>14.166025</v>
      </c>
      <c r="K213" s="11"/>
      <c r="L213" s="28">
        <f t="shared" si="3"/>
        <v>16.15</v>
      </c>
      <c r="M213" s="23">
        <f t="shared" si="33"/>
        <v>34.43</v>
      </c>
      <c r="N213" s="23">
        <f t="shared" si="5"/>
        <v>36.66795</v>
      </c>
      <c r="O213" s="72">
        <v>0.425</v>
      </c>
      <c r="P213" s="29"/>
      <c r="Q213" s="28">
        <f t="shared" si="6"/>
        <v>110.00385</v>
      </c>
    </row>
    <row r="214" ht="18.75" customHeight="1">
      <c r="A214" s="88" t="s">
        <v>539</v>
      </c>
      <c r="B214" s="89">
        <v>65.0</v>
      </c>
      <c r="C214" s="90"/>
      <c r="D214" s="89">
        <v>1.0</v>
      </c>
      <c r="E214" s="172" t="str">
        <f t="shared" si="21"/>
        <v>#N/A</v>
      </c>
      <c r="F214" s="88" t="s">
        <v>1325</v>
      </c>
      <c r="G214" s="88" t="s">
        <v>1326</v>
      </c>
      <c r="H214" s="92">
        <v>36.66795</v>
      </c>
      <c r="I214" s="93">
        <f t="shared" si="17"/>
        <v>0.7726652294</v>
      </c>
      <c r="J214" s="94">
        <f t="shared" si="18"/>
        <v>14.166025</v>
      </c>
      <c r="K214" s="11"/>
      <c r="L214" s="28">
        <f t="shared" si="3"/>
        <v>16.15</v>
      </c>
      <c r="M214" s="23">
        <f t="shared" si="33"/>
        <v>34.43</v>
      </c>
      <c r="N214" s="23">
        <f t="shared" si="5"/>
        <v>36.66795</v>
      </c>
      <c r="O214" s="72">
        <v>0.425</v>
      </c>
      <c r="P214" s="29"/>
      <c r="Q214" s="28">
        <f t="shared" si="6"/>
        <v>36.66795</v>
      </c>
    </row>
    <row r="215" ht="18.75" customHeight="1">
      <c r="A215" s="88" t="s">
        <v>540</v>
      </c>
      <c r="B215" s="89">
        <v>65.0</v>
      </c>
      <c r="C215" s="90"/>
      <c r="D215" s="89">
        <v>3.0</v>
      </c>
      <c r="E215" s="172" t="str">
        <f t="shared" si="21"/>
        <v>#N/A</v>
      </c>
      <c r="F215" s="88" t="s">
        <v>1325</v>
      </c>
      <c r="G215" s="88" t="s">
        <v>1326</v>
      </c>
      <c r="H215" s="92">
        <v>36.66795</v>
      </c>
      <c r="I215" s="93">
        <f t="shared" si="17"/>
        <v>0.7726652294</v>
      </c>
      <c r="J215" s="94">
        <f t="shared" si="18"/>
        <v>14.166025</v>
      </c>
      <c r="K215" s="11"/>
      <c r="L215" s="28">
        <f t="shared" si="3"/>
        <v>16.15</v>
      </c>
      <c r="M215" s="23">
        <f t="shared" si="33"/>
        <v>34.43</v>
      </c>
      <c r="N215" s="23">
        <f t="shared" si="5"/>
        <v>36.66795</v>
      </c>
      <c r="O215" s="72">
        <v>0.425</v>
      </c>
      <c r="P215" s="29"/>
      <c r="Q215" s="28">
        <f t="shared" si="6"/>
        <v>110.00385</v>
      </c>
    </row>
    <row r="216" ht="18.75" customHeight="1">
      <c r="A216" s="88" t="s">
        <v>543</v>
      </c>
      <c r="B216" s="89">
        <v>55.0</v>
      </c>
      <c r="C216" s="90"/>
      <c r="D216" s="89">
        <v>1.0</v>
      </c>
      <c r="E216" s="172" t="str">
        <f t="shared" si="21"/>
        <v>#N/A</v>
      </c>
      <c r="F216" s="88" t="s">
        <v>1325</v>
      </c>
      <c r="G216" s="88" t="s">
        <v>1326</v>
      </c>
      <c r="H216" s="92">
        <v>31.47501</v>
      </c>
      <c r="I216" s="93">
        <f t="shared" si="17"/>
        <v>0.747418031</v>
      </c>
      <c r="J216" s="94">
        <f t="shared" si="18"/>
        <v>11.762495</v>
      </c>
      <c r="K216" s="11"/>
      <c r="L216" s="28">
        <f t="shared" si="3"/>
        <v>11.704</v>
      </c>
      <c r="M216" s="23">
        <f t="shared" ref="M216:M221" si="34">L216+17.85</f>
        <v>29.554</v>
      </c>
      <c r="N216" s="23">
        <f t="shared" si="5"/>
        <v>31.47501</v>
      </c>
      <c r="O216" s="95">
        <v>0.308</v>
      </c>
      <c r="P216" s="29"/>
      <c r="Q216" s="28">
        <f t="shared" si="6"/>
        <v>31.47501</v>
      </c>
    </row>
    <row r="217" ht="18.75" customHeight="1">
      <c r="A217" s="88" t="s">
        <v>544</v>
      </c>
      <c r="B217" s="89">
        <v>55.0</v>
      </c>
      <c r="C217" s="90"/>
      <c r="D217" s="89">
        <v>1.0</v>
      </c>
      <c r="E217" s="172" t="str">
        <f t="shared" si="21"/>
        <v>#N/A</v>
      </c>
      <c r="F217" s="88" t="s">
        <v>1325</v>
      </c>
      <c r="G217" s="88" t="s">
        <v>1326</v>
      </c>
      <c r="H217" s="92">
        <v>31.47501</v>
      </c>
      <c r="I217" s="93">
        <f t="shared" si="17"/>
        <v>0.747418031</v>
      </c>
      <c r="J217" s="94">
        <f t="shared" si="18"/>
        <v>11.762495</v>
      </c>
      <c r="K217" s="11"/>
      <c r="L217" s="28">
        <f t="shared" si="3"/>
        <v>11.704</v>
      </c>
      <c r="M217" s="23">
        <f t="shared" si="34"/>
        <v>29.554</v>
      </c>
      <c r="N217" s="23">
        <f t="shared" si="5"/>
        <v>31.47501</v>
      </c>
      <c r="O217" s="95">
        <v>0.308</v>
      </c>
      <c r="P217" s="29"/>
      <c r="Q217" s="28">
        <f t="shared" si="6"/>
        <v>31.47501</v>
      </c>
    </row>
    <row r="218" ht="18.75" customHeight="1">
      <c r="A218" s="88" t="s">
        <v>546</v>
      </c>
      <c r="B218" s="89">
        <v>55.0</v>
      </c>
      <c r="C218" s="90"/>
      <c r="D218" s="89">
        <v>0.0</v>
      </c>
      <c r="E218" s="172" t="str">
        <f t="shared" si="21"/>
        <v>#N/A</v>
      </c>
      <c r="F218" s="88" t="s">
        <v>1325</v>
      </c>
      <c r="G218" s="88" t="s">
        <v>1326</v>
      </c>
      <c r="H218" s="92">
        <v>31.47501</v>
      </c>
      <c r="I218" s="93">
        <f t="shared" si="17"/>
        <v>0.747418031</v>
      </c>
      <c r="J218" s="94">
        <f t="shared" si="18"/>
        <v>11.762495</v>
      </c>
      <c r="K218" s="11"/>
      <c r="L218" s="28">
        <f t="shared" si="3"/>
        <v>11.704</v>
      </c>
      <c r="M218" s="23">
        <f t="shared" si="34"/>
        <v>29.554</v>
      </c>
      <c r="N218" s="23">
        <f t="shared" si="5"/>
        <v>31.47501</v>
      </c>
      <c r="O218" s="95">
        <v>0.308</v>
      </c>
      <c r="P218" s="29"/>
      <c r="Q218" s="28">
        <f t="shared" si="6"/>
        <v>0</v>
      </c>
    </row>
    <row r="219" ht="18.75" customHeight="1">
      <c r="A219" s="88" t="s">
        <v>547</v>
      </c>
      <c r="B219" s="89">
        <v>55.0</v>
      </c>
      <c r="C219" s="90"/>
      <c r="D219" s="89">
        <v>0.0</v>
      </c>
      <c r="E219" s="172" t="str">
        <f t="shared" si="21"/>
        <v>#N/A</v>
      </c>
      <c r="F219" s="88" t="s">
        <v>1325</v>
      </c>
      <c r="G219" s="88" t="s">
        <v>1326</v>
      </c>
      <c r="H219" s="92">
        <v>31.47501</v>
      </c>
      <c r="I219" s="93">
        <f t="shared" si="17"/>
        <v>0.747418031</v>
      </c>
      <c r="J219" s="94">
        <f t="shared" si="18"/>
        <v>11.762495</v>
      </c>
      <c r="K219" s="11"/>
      <c r="L219" s="28">
        <f t="shared" si="3"/>
        <v>11.704</v>
      </c>
      <c r="M219" s="23">
        <f t="shared" si="34"/>
        <v>29.554</v>
      </c>
      <c r="N219" s="23">
        <f t="shared" si="5"/>
        <v>31.47501</v>
      </c>
      <c r="O219" s="95">
        <v>0.308</v>
      </c>
      <c r="P219" s="29"/>
      <c r="Q219" s="28">
        <f t="shared" si="6"/>
        <v>0</v>
      </c>
    </row>
    <row r="220" ht="18.75" customHeight="1">
      <c r="A220" s="88" t="s">
        <v>549</v>
      </c>
      <c r="B220" s="89">
        <v>55.0</v>
      </c>
      <c r="C220" s="90"/>
      <c r="D220" s="89">
        <v>1.0</v>
      </c>
      <c r="E220" s="172" t="str">
        <f t="shared" si="21"/>
        <v>#N/A</v>
      </c>
      <c r="F220" s="88" t="s">
        <v>1325</v>
      </c>
      <c r="G220" s="88" t="s">
        <v>1326</v>
      </c>
      <c r="H220" s="92">
        <v>31.47501</v>
      </c>
      <c r="I220" s="93">
        <f t="shared" si="17"/>
        <v>0.747418031</v>
      </c>
      <c r="J220" s="94">
        <f t="shared" si="18"/>
        <v>11.762495</v>
      </c>
      <c r="K220" s="11"/>
      <c r="L220" s="28">
        <f t="shared" si="3"/>
        <v>11.704</v>
      </c>
      <c r="M220" s="23">
        <f t="shared" si="34"/>
        <v>29.554</v>
      </c>
      <c r="N220" s="23">
        <f t="shared" si="5"/>
        <v>31.47501</v>
      </c>
      <c r="O220" s="95">
        <v>0.308</v>
      </c>
      <c r="P220" s="29"/>
      <c r="Q220" s="28">
        <f t="shared" si="6"/>
        <v>31.47501</v>
      </c>
    </row>
    <row r="221" ht="18.75" customHeight="1">
      <c r="A221" s="88" t="s">
        <v>551</v>
      </c>
      <c r="B221" s="89">
        <v>55.0</v>
      </c>
      <c r="C221" s="90"/>
      <c r="D221" s="89">
        <v>1.0</v>
      </c>
      <c r="E221" s="172" t="str">
        <f t="shared" si="21"/>
        <v>#N/A</v>
      </c>
      <c r="F221" s="88" t="s">
        <v>1325</v>
      </c>
      <c r="G221" s="88" t="s">
        <v>1326</v>
      </c>
      <c r="H221" s="92">
        <v>31.47501</v>
      </c>
      <c r="I221" s="93">
        <f t="shared" si="17"/>
        <v>0.747418031</v>
      </c>
      <c r="J221" s="94">
        <f t="shared" si="18"/>
        <v>11.762495</v>
      </c>
      <c r="K221" s="11"/>
      <c r="L221" s="28">
        <f t="shared" si="3"/>
        <v>11.704</v>
      </c>
      <c r="M221" s="23">
        <f t="shared" si="34"/>
        <v>29.554</v>
      </c>
      <c r="N221" s="23">
        <f t="shared" si="5"/>
        <v>31.47501</v>
      </c>
      <c r="O221" s="95">
        <v>0.308</v>
      </c>
      <c r="P221" s="29"/>
      <c r="Q221" s="28">
        <f t="shared" si="6"/>
        <v>31.47501</v>
      </c>
    </row>
    <row r="222" ht="18.75" customHeight="1">
      <c r="A222" s="88" t="s">
        <v>553</v>
      </c>
      <c r="B222" s="89">
        <v>60.0</v>
      </c>
      <c r="C222" s="90"/>
      <c r="D222" s="89">
        <v>1.0</v>
      </c>
      <c r="E222" s="172" t="str">
        <f t="shared" si="21"/>
        <v>#N/A</v>
      </c>
      <c r="F222" s="88" t="s">
        <v>1325</v>
      </c>
      <c r="G222" s="88" t="s">
        <v>1326</v>
      </c>
      <c r="H222" s="92">
        <v>34.653999999999996</v>
      </c>
      <c r="I222" s="93">
        <f t="shared" si="17"/>
        <v>0.7314018584</v>
      </c>
      <c r="J222" s="94">
        <f t="shared" si="18"/>
        <v>12.673</v>
      </c>
      <c r="K222" s="11"/>
      <c r="L222" s="28">
        <f t="shared" si="3"/>
        <v>11.704</v>
      </c>
      <c r="M222" s="23">
        <f t="shared" ref="M222:M224" si="35">L222+22.95</f>
        <v>34.654</v>
      </c>
      <c r="N222" s="23">
        <f t="shared" si="5"/>
        <v>36.90651</v>
      </c>
      <c r="O222" s="95">
        <v>0.308</v>
      </c>
      <c r="P222" s="29"/>
      <c r="Q222" s="28">
        <f t="shared" si="6"/>
        <v>34.654</v>
      </c>
    </row>
    <row r="223" ht="18.75" customHeight="1">
      <c r="A223" s="88" t="s">
        <v>554</v>
      </c>
      <c r="B223" s="89">
        <v>60.0</v>
      </c>
      <c r="C223" s="90"/>
      <c r="D223" s="89">
        <v>0.0</v>
      </c>
      <c r="E223" s="172" t="str">
        <f t="shared" si="21"/>
        <v>#N/A</v>
      </c>
      <c r="F223" s="88" t="s">
        <v>1325</v>
      </c>
      <c r="G223" s="88" t="s">
        <v>1326</v>
      </c>
      <c r="H223" s="92">
        <v>34.653999999999996</v>
      </c>
      <c r="I223" s="93">
        <f t="shared" si="17"/>
        <v>0.7314018584</v>
      </c>
      <c r="J223" s="94">
        <f t="shared" si="18"/>
        <v>12.673</v>
      </c>
      <c r="K223" s="11"/>
      <c r="L223" s="28">
        <f t="shared" si="3"/>
        <v>11.704</v>
      </c>
      <c r="M223" s="23">
        <f t="shared" si="35"/>
        <v>34.654</v>
      </c>
      <c r="N223" s="23">
        <f t="shared" si="5"/>
        <v>36.90651</v>
      </c>
      <c r="O223" s="95">
        <v>0.308</v>
      </c>
      <c r="P223" s="29"/>
      <c r="Q223" s="28">
        <f t="shared" si="6"/>
        <v>0</v>
      </c>
    </row>
    <row r="224" ht="18.75" customHeight="1">
      <c r="A224" s="88" t="s">
        <v>558</v>
      </c>
      <c r="B224" s="89">
        <v>60.0</v>
      </c>
      <c r="C224" s="90"/>
      <c r="D224" s="89">
        <v>0.0</v>
      </c>
      <c r="E224" s="172" t="str">
        <f t="shared" si="21"/>
        <v>#N/A</v>
      </c>
      <c r="F224" s="88" t="s">
        <v>1325</v>
      </c>
      <c r="G224" s="88" t="s">
        <v>1326</v>
      </c>
      <c r="H224" s="92">
        <v>34.653999999999996</v>
      </c>
      <c r="I224" s="93">
        <f t="shared" si="17"/>
        <v>0.7314018584</v>
      </c>
      <c r="J224" s="94">
        <f t="shared" si="18"/>
        <v>12.673</v>
      </c>
      <c r="K224" s="11"/>
      <c r="L224" s="28">
        <f t="shared" si="3"/>
        <v>11.704</v>
      </c>
      <c r="M224" s="23">
        <f t="shared" si="35"/>
        <v>34.654</v>
      </c>
      <c r="N224" s="23">
        <f t="shared" si="5"/>
        <v>36.90651</v>
      </c>
      <c r="O224" s="95">
        <v>0.308</v>
      </c>
      <c r="P224" s="29"/>
      <c r="Q224" s="28">
        <f t="shared" si="6"/>
        <v>0</v>
      </c>
    </row>
    <row r="225" ht="18.75" customHeight="1">
      <c r="A225" s="88" t="s">
        <v>559</v>
      </c>
      <c r="B225" s="89">
        <v>75.0</v>
      </c>
      <c r="C225" s="90" t="s">
        <v>32</v>
      </c>
      <c r="D225" s="89">
        <v>4.0</v>
      </c>
      <c r="E225" s="78" t="str">
        <f t="shared" si="21"/>
        <v>#N/A</v>
      </c>
      <c r="F225" s="88" t="s">
        <v>1325</v>
      </c>
      <c r="G225" s="88" t="s">
        <v>1326</v>
      </c>
      <c r="H225" s="92">
        <v>45.57135</v>
      </c>
      <c r="I225" s="93">
        <f t="shared" si="17"/>
        <v>0.6457708626</v>
      </c>
      <c r="J225" s="94">
        <f t="shared" si="18"/>
        <v>14.714325</v>
      </c>
      <c r="K225" s="11"/>
      <c r="L225" s="28">
        <f t="shared" si="3"/>
        <v>24.51</v>
      </c>
      <c r="M225" s="23">
        <f t="shared" ref="M225:M227" si="36">L225+18.28</f>
        <v>42.79</v>
      </c>
      <c r="N225" s="23">
        <f t="shared" si="5"/>
        <v>45.57135</v>
      </c>
      <c r="O225" s="72">
        <v>0.645</v>
      </c>
      <c r="P225" s="29"/>
      <c r="Q225" s="28">
        <f t="shared" si="6"/>
        <v>182.2854</v>
      </c>
    </row>
    <row r="226" ht="18.75" customHeight="1">
      <c r="A226" s="88" t="s">
        <v>561</v>
      </c>
      <c r="B226" s="89">
        <v>75.0</v>
      </c>
      <c r="C226" s="90" t="s">
        <v>32</v>
      </c>
      <c r="D226" s="96">
        <v>0.0</v>
      </c>
      <c r="E226" s="78" t="str">
        <f t="shared" si="21"/>
        <v>#N/A</v>
      </c>
      <c r="F226" s="88" t="s">
        <v>1325</v>
      </c>
      <c r="G226" s="88" t="s">
        <v>1326</v>
      </c>
      <c r="H226" s="92">
        <v>45.57135</v>
      </c>
      <c r="I226" s="93">
        <f t="shared" si="17"/>
        <v>0.6457708626</v>
      </c>
      <c r="J226" s="94">
        <f t="shared" si="18"/>
        <v>14.714325</v>
      </c>
      <c r="K226" s="11"/>
      <c r="L226" s="28">
        <f t="shared" si="3"/>
        <v>24.51</v>
      </c>
      <c r="M226" s="23">
        <f t="shared" si="36"/>
        <v>42.79</v>
      </c>
      <c r="N226" s="23">
        <f t="shared" si="5"/>
        <v>45.57135</v>
      </c>
      <c r="O226" s="72">
        <v>0.645</v>
      </c>
      <c r="P226" s="29"/>
      <c r="Q226" s="28">
        <f t="shared" si="6"/>
        <v>0</v>
      </c>
    </row>
    <row r="227" ht="18.75" customHeight="1">
      <c r="A227" s="88" t="s">
        <v>562</v>
      </c>
      <c r="B227" s="89">
        <v>75.0</v>
      </c>
      <c r="C227" s="90" t="s">
        <v>32</v>
      </c>
      <c r="D227" s="101">
        <v>1.0</v>
      </c>
      <c r="E227" s="78" t="str">
        <f t="shared" si="21"/>
        <v>#N/A</v>
      </c>
      <c r="F227" s="88" t="s">
        <v>1325</v>
      </c>
      <c r="G227" s="88" t="s">
        <v>1326</v>
      </c>
      <c r="H227" s="92">
        <v>45.57135</v>
      </c>
      <c r="I227" s="93">
        <f t="shared" si="17"/>
        <v>0.6457708626</v>
      </c>
      <c r="J227" s="94">
        <f t="shared" si="18"/>
        <v>14.714325</v>
      </c>
      <c r="K227" s="11"/>
      <c r="L227" s="28">
        <f t="shared" si="3"/>
        <v>24.51</v>
      </c>
      <c r="M227" s="23">
        <f t="shared" si="36"/>
        <v>42.79</v>
      </c>
      <c r="N227" s="23">
        <f t="shared" si="5"/>
        <v>45.57135</v>
      </c>
      <c r="O227" s="72">
        <v>0.645</v>
      </c>
      <c r="P227" s="29"/>
      <c r="Q227" s="28">
        <f t="shared" si="6"/>
        <v>45.57135</v>
      </c>
    </row>
    <row r="228" ht="18.75" customHeight="1">
      <c r="A228" s="26" t="s">
        <v>563</v>
      </c>
      <c r="B228" s="173">
        <v>184.0</v>
      </c>
      <c r="C228" s="41" t="s">
        <v>32</v>
      </c>
      <c r="D228" s="53">
        <v>0.0</v>
      </c>
      <c r="E228" s="78" t="str">
        <f t="shared" si="21"/>
        <v>#N/A</v>
      </c>
      <c r="F228" s="26" t="s">
        <v>1363</v>
      </c>
      <c r="G228" s="26"/>
      <c r="H228" s="28">
        <v>166.92067873303168</v>
      </c>
      <c r="I228" s="35">
        <f t="shared" si="17"/>
        <v>0.1023199845</v>
      </c>
      <c r="J228" s="37">
        <f t="shared" si="18"/>
        <v>8.539660633</v>
      </c>
      <c r="K228" s="11"/>
      <c r="L228" s="28" t="str">
        <f t="shared" si="3"/>
        <v>#N/A</v>
      </c>
      <c r="M228" s="28" t="str">
        <f t="shared" ref="M228:M229" si="37">L228+46</f>
        <v>#N/A</v>
      </c>
      <c r="N228" s="28" t="str">
        <f t="shared" si="5"/>
        <v>#N/A</v>
      </c>
      <c r="O228" s="74" t="e">
        <v>#N/A</v>
      </c>
      <c r="P228" s="29"/>
      <c r="Q228" s="28">
        <f t="shared" si="6"/>
        <v>0</v>
      </c>
    </row>
    <row r="229" ht="18.75" customHeight="1">
      <c r="A229" s="26" t="s">
        <v>565</v>
      </c>
      <c r="B229" s="173">
        <v>167.0</v>
      </c>
      <c r="C229" s="41" t="s">
        <v>32</v>
      </c>
      <c r="D229" s="53">
        <v>1.0</v>
      </c>
      <c r="E229" s="78" t="str">
        <f t="shared" si="21"/>
        <v>#N/A</v>
      </c>
      <c r="F229" s="26" t="s">
        <v>1363</v>
      </c>
      <c r="G229" s="26"/>
      <c r="H229" s="28">
        <v>152.4058371040724</v>
      </c>
      <c r="I229" s="35">
        <f t="shared" si="17"/>
        <v>0.09575855606</v>
      </c>
      <c r="J229" s="37">
        <f t="shared" si="18"/>
        <v>7.297081448</v>
      </c>
      <c r="K229" s="11"/>
      <c r="L229" s="28" t="str">
        <f t="shared" si="3"/>
        <v>#N/A</v>
      </c>
      <c r="M229" s="28" t="str">
        <f t="shared" si="37"/>
        <v>#N/A</v>
      </c>
      <c r="N229" s="28" t="str">
        <f t="shared" si="5"/>
        <v>#N/A</v>
      </c>
      <c r="O229" s="74" t="e">
        <v>#N/A</v>
      </c>
      <c r="P229" s="29"/>
      <c r="Q229" s="28">
        <f t="shared" si="6"/>
        <v>152.4058371</v>
      </c>
    </row>
    <row r="230" ht="18.75" customHeight="1">
      <c r="A230" s="26" t="s">
        <v>566</v>
      </c>
      <c r="B230" s="173">
        <v>90.0</v>
      </c>
      <c r="C230" s="41" t="s">
        <v>32</v>
      </c>
      <c r="D230" s="32">
        <v>0.0</v>
      </c>
      <c r="E230" s="78" t="str">
        <f t="shared" si="21"/>
        <v>#N/A</v>
      </c>
      <c r="F230" s="26" t="s">
        <v>1363</v>
      </c>
      <c r="G230" s="26"/>
      <c r="H230" s="28">
        <v>81.64598416289593</v>
      </c>
      <c r="I230" s="35">
        <f t="shared" si="17"/>
        <v>0.1023199845</v>
      </c>
      <c r="J230" s="37">
        <f t="shared" si="18"/>
        <v>4.177007919</v>
      </c>
      <c r="K230" s="11"/>
      <c r="L230" s="28" t="str">
        <f t="shared" si="3"/>
        <v>#N/A</v>
      </c>
      <c r="M230" s="28" t="str">
        <f>L230+42</f>
        <v>#N/A</v>
      </c>
      <c r="N230" s="28" t="str">
        <f t="shared" si="5"/>
        <v>#N/A</v>
      </c>
      <c r="O230" s="74" t="e">
        <v>#N/A</v>
      </c>
      <c r="P230" s="29"/>
      <c r="Q230" s="28">
        <f t="shared" si="6"/>
        <v>0</v>
      </c>
    </row>
    <row r="231" ht="18.75" customHeight="1">
      <c r="A231" s="112" t="s">
        <v>571</v>
      </c>
      <c r="B231" s="113">
        <v>75.0</v>
      </c>
      <c r="C231" s="114" t="s">
        <v>32</v>
      </c>
      <c r="D231" s="113">
        <v>14.0</v>
      </c>
      <c r="E231" s="78" t="str">
        <f t="shared" si="21"/>
        <v>#N/A</v>
      </c>
      <c r="F231" s="112" t="s">
        <v>1082</v>
      </c>
      <c r="G231" s="112"/>
      <c r="H231" s="159"/>
      <c r="I231" s="118" t="str">
        <f t="shared" si="17"/>
        <v>#DIV/0!</v>
      </c>
      <c r="J231" s="119">
        <f t="shared" si="18"/>
        <v>37.5</v>
      </c>
      <c r="K231" s="11"/>
      <c r="L231" s="28" t="str">
        <f t="shared" si="3"/>
        <v>#N/A</v>
      </c>
      <c r="M231" s="28" t="str">
        <f>L231+33.15</f>
        <v>#N/A</v>
      </c>
      <c r="N231" s="28" t="str">
        <f t="shared" si="5"/>
        <v>#N/A</v>
      </c>
      <c r="O231" s="74" t="e">
        <v>#N/A</v>
      </c>
      <c r="P231" s="29"/>
      <c r="Q231" s="28">
        <f t="shared" si="6"/>
        <v>0</v>
      </c>
    </row>
    <row r="232" ht="18.75" customHeight="1">
      <c r="A232" s="112" t="s">
        <v>575</v>
      </c>
      <c r="B232" s="113">
        <v>75.0</v>
      </c>
      <c r="C232" s="114" t="s">
        <v>32</v>
      </c>
      <c r="D232" s="113">
        <v>0.0</v>
      </c>
      <c r="E232" s="78" t="str">
        <f t="shared" si="21"/>
        <v>#N/A</v>
      </c>
      <c r="F232" s="112" t="s">
        <v>1082</v>
      </c>
      <c r="G232" s="112"/>
      <c r="H232" s="159"/>
      <c r="I232" s="118" t="str">
        <f t="shared" si="17"/>
        <v>#DIV/0!</v>
      </c>
      <c r="J232" s="119">
        <f t="shared" si="18"/>
        <v>37.5</v>
      </c>
      <c r="K232" s="11"/>
      <c r="L232" s="28">
        <f t="shared" si="3"/>
        <v>8.93</v>
      </c>
      <c r="M232" s="23">
        <f>L232+28.9</f>
        <v>37.83</v>
      </c>
      <c r="N232" s="23">
        <f t="shared" si="5"/>
        <v>40.28895</v>
      </c>
      <c r="O232" s="72">
        <v>0.235</v>
      </c>
      <c r="P232" s="29"/>
      <c r="Q232" s="28">
        <f t="shared" si="6"/>
        <v>0</v>
      </c>
    </row>
    <row r="233" ht="18.75" customHeight="1">
      <c r="A233" s="174" t="s">
        <v>577</v>
      </c>
      <c r="B233" s="65">
        <v>40.0</v>
      </c>
      <c r="C233" s="66"/>
      <c r="D233" s="175">
        <v>6.0</v>
      </c>
      <c r="E233" s="78" t="str">
        <f t="shared" si="21"/>
        <v>#N/A</v>
      </c>
      <c r="F233" s="64" t="s">
        <v>1373</v>
      </c>
      <c r="G233" s="64"/>
      <c r="H233" s="168">
        <f t="shared" ref="H233:H248" si="38">N233</f>
        <v>24.80811</v>
      </c>
      <c r="I233" s="70">
        <f t="shared" si="17"/>
        <v>0.6123759529</v>
      </c>
      <c r="J233" s="71">
        <f t="shared" si="18"/>
        <v>7.595945</v>
      </c>
      <c r="K233" s="11"/>
      <c r="L233" s="28">
        <f t="shared" si="3"/>
        <v>7.144</v>
      </c>
      <c r="M233" s="23">
        <f>L233+16.15</f>
        <v>23.294</v>
      </c>
      <c r="N233" s="23">
        <f t="shared" si="5"/>
        <v>24.80811</v>
      </c>
      <c r="O233" s="95">
        <v>0.188</v>
      </c>
      <c r="P233" s="29"/>
      <c r="Q233" s="28">
        <f t="shared" si="6"/>
        <v>148.84866</v>
      </c>
    </row>
    <row r="234" ht="18.75" customHeight="1">
      <c r="A234" s="174" t="s">
        <v>582</v>
      </c>
      <c r="B234" s="65">
        <v>25.0</v>
      </c>
      <c r="C234" s="66"/>
      <c r="D234" s="75">
        <v>16.0</v>
      </c>
      <c r="E234" s="78" t="str">
        <f t="shared" si="21"/>
        <v>#N/A</v>
      </c>
      <c r="F234" s="64" t="s">
        <v>1373</v>
      </c>
      <c r="G234" s="64"/>
      <c r="H234" s="168">
        <f t="shared" si="38"/>
        <v>14.9313</v>
      </c>
      <c r="I234" s="70">
        <f t="shared" si="17"/>
        <v>0.6743351215</v>
      </c>
      <c r="J234" s="71">
        <f t="shared" si="18"/>
        <v>5.03435</v>
      </c>
      <c r="K234" s="11"/>
      <c r="L234" s="28">
        <f t="shared" si="3"/>
        <v>7.22</v>
      </c>
      <c r="M234" s="23">
        <f>L234+6.8</f>
        <v>14.02</v>
      </c>
      <c r="N234" s="23">
        <f t="shared" si="5"/>
        <v>14.9313</v>
      </c>
      <c r="O234" s="95">
        <v>0.19</v>
      </c>
      <c r="P234" s="29"/>
      <c r="Q234" s="28">
        <f t="shared" si="6"/>
        <v>238.9008</v>
      </c>
    </row>
    <row r="235" ht="18.75" customHeight="1">
      <c r="A235" s="176" t="s">
        <v>585</v>
      </c>
      <c r="B235" s="142">
        <v>65.0</v>
      </c>
      <c r="C235" s="143"/>
      <c r="D235" s="144">
        <v>0.0</v>
      </c>
      <c r="E235" s="78" t="str">
        <f t="shared" si="21"/>
        <v>#N/A</v>
      </c>
      <c r="F235" s="141" t="s">
        <v>1203</v>
      </c>
      <c r="G235" s="141"/>
      <c r="H235" s="170">
        <f t="shared" si="38"/>
        <v>39.53493</v>
      </c>
      <c r="I235" s="147">
        <f t="shared" si="17"/>
        <v>0.6441157225</v>
      </c>
      <c r="J235" s="148">
        <f t="shared" si="18"/>
        <v>12.732535</v>
      </c>
      <c r="K235" s="11"/>
      <c r="L235" s="28">
        <f t="shared" si="3"/>
        <v>12.122</v>
      </c>
      <c r="M235" s="23">
        <f>L235+25</f>
        <v>37.122</v>
      </c>
      <c r="N235" s="23">
        <f t="shared" si="5"/>
        <v>39.53493</v>
      </c>
      <c r="O235" s="95">
        <v>0.319</v>
      </c>
      <c r="P235" s="29"/>
      <c r="Q235" s="28">
        <f t="shared" si="6"/>
        <v>0</v>
      </c>
    </row>
    <row r="236" ht="18.75" customHeight="1">
      <c r="A236" s="176" t="s">
        <v>588</v>
      </c>
      <c r="B236" s="142">
        <v>130.0</v>
      </c>
      <c r="C236" s="143"/>
      <c r="D236" s="144">
        <v>0.0</v>
      </c>
      <c r="E236" s="78" t="str">
        <f t="shared" si="21"/>
        <v>#N/A</v>
      </c>
      <c r="F236" s="141" t="s">
        <v>1203</v>
      </c>
      <c r="G236" s="141"/>
      <c r="H236" s="170">
        <f t="shared" si="38"/>
        <v>88.26294</v>
      </c>
      <c r="I236" s="147">
        <f t="shared" si="17"/>
        <v>0.4728718531</v>
      </c>
      <c r="J236" s="148">
        <f t="shared" si="18"/>
        <v>20.86853</v>
      </c>
      <c r="K236" s="11"/>
      <c r="L236" s="28">
        <f t="shared" si="3"/>
        <v>22.876</v>
      </c>
      <c r="M236" s="23">
        <f>L236+60</f>
        <v>82.876</v>
      </c>
      <c r="N236" s="23">
        <f t="shared" si="5"/>
        <v>88.26294</v>
      </c>
      <c r="O236" s="95">
        <v>0.602</v>
      </c>
      <c r="P236" s="29"/>
      <c r="Q236" s="28">
        <f t="shared" si="6"/>
        <v>0</v>
      </c>
    </row>
    <row r="237" ht="18.75" customHeight="1">
      <c r="A237" s="176" t="s">
        <v>593</v>
      </c>
      <c r="B237" s="142">
        <v>65.0</v>
      </c>
      <c r="C237" s="143"/>
      <c r="D237" s="150">
        <v>0.0</v>
      </c>
      <c r="E237" s="78" t="str">
        <f t="shared" si="21"/>
        <v>#N/A</v>
      </c>
      <c r="F237" s="141" t="s">
        <v>1203</v>
      </c>
      <c r="G237" s="141"/>
      <c r="H237" s="170">
        <f t="shared" si="38"/>
        <v>39.33258</v>
      </c>
      <c r="I237" s="147">
        <f t="shared" si="17"/>
        <v>0.6525740239</v>
      </c>
      <c r="J237" s="148">
        <f t="shared" si="18"/>
        <v>12.83371</v>
      </c>
      <c r="K237" s="11"/>
      <c r="L237" s="28">
        <f t="shared" si="3"/>
        <v>11.932</v>
      </c>
      <c r="M237" s="23">
        <f>L237+25</f>
        <v>36.932</v>
      </c>
      <c r="N237" s="23">
        <f t="shared" si="5"/>
        <v>39.33258</v>
      </c>
      <c r="O237" s="95">
        <v>0.314</v>
      </c>
      <c r="P237" s="29"/>
      <c r="Q237" s="28">
        <f t="shared" si="6"/>
        <v>0</v>
      </c>
    </row>
    <row r="238" ht="18.75" customHeight="1">
      <c r="A238" s="176" t="s">
        <v>594</v>
      </c>
      <c r="B238" s="142">
        <v>115.0</v>
      </c>
      <c r="C238" s="143"/>
      <c r="D238" s="150">
        <v>0.0</v>
      </c>
      <c r="E238" s="78" t="str">
        <f t="shared" si="21"/>
        <v>#N/A</v>
      </c>
      <c r="F238" s="141" t="s">
        <v>1203</v>
      </c>
      <c r="G238" s="141"/>
      <c r="H238" s="170">
        <f t="shared" si="38"/>
        <v>83.00184</v>
      </c>
      <c r="I238" s="147">
        <f t="shared" si="17"/>
        <v>0.3855114537</v>
      </c>
      <c r="J238" s="148">
        <f t="shared" si="18"/>
        <v>15.99908</v>
      </c>
      <c r="K238" s="11"/>
      <c r="L238" s="28">
        <f t="shared" si="3"/>
        <v>17.936</v>
      </c>
      <c r="M238" s="23">
        <f>L238+60</f>
        <v>77.936</v>
      </c>
      <c r="N238" s="23">
        <f t="shared" si="5"/>
        <v>83.00184</v>
      </c>
      <c r="O238" s="95">
        <v>0.472</v>
      </c>
      <c r="P238" s="29"/>
      <c r="Q238" s="28">
        <f t="shared" si="6"/>
        <v>0</v>
      </c>
    </row>
    <row r="239" ht="18.75" customHeight="1">
      <c r="A239" s="176" t="s">
        <v>596</v>
      </c>
      <c r="B239" s="142">
        <v>65.0</v>
      </c>
      <c r="C239" s="143"/>
      <c r="D239" s="150">
        <v>0.0</v>
      </c>
      <c r="E239" s="78" t="str">
        <f t="shared" si="21"/>
        <v>#N/A</v>
      </c>
      <c r="F239" s="141" t="s">
        <v>1203</v>
      </c>
      <c r="G239" s="141"/>
      <c r="H239" s="170">
        <f t="shared" si="38"/>
        <v>40.46574</v>
      </c>
      <c r="I239" s="147">
        <f t="shared" si="17"/>
        <v>0.6062970799</v>
      </c>
      <c r="J239" s="148">
        <f t="shared" si="18"/>
        <v>12.26713</v>
      </c>
      <c r="K239" s="11"/>
      <c r="L239" s="28">
        <f t="shared" si="3"/>
        <v>12.996</v>
      </c>
      <c r="M239" s="23">
        <f>L239+25</f>
        <v>37.996</v>
      </c>
      <c r="N239" s="23">
        <f t="shared" si="5"/>
        <v>40.46574</v>
      </c>
      <c r="O239" s="95">
        <v>0.342</v>
      </c>
      <c r="P239" s="29"/>
      <c r="Q239" s="28">
        <f t="shared" si="6"/>
        <v>0</v>
      </c>
    </row>
    <row r="240" ht="18.75" customHeight="1">
      <c r="A240" s="176" t="s">
        <v>599</v>
      </c>
      <c r="B240" s="142">
        <v>130.0</v>
      </c>
      <c r="C240" s="143"/>
      <c r="D240" s="150">
        <v>0.0</v>
      </c>
      <c r="E240" s="78" t="str">
        <f t="shared" si="21"/>
        <v>#N/A</v>
      </c>
      <c r="F240" s="141" t="s">
        <v>1203</v>
      </c>
      <c r="G240" s="141"/>
      <c r="H240" s="170">
        <f t="shared" si="38"/>
        <v>112.82823</v>
      </c>
      <c r="I240" s="147">
        <f t="shared" si="17"/>
        <v>0.1521939146</v>
      </c>
      <c r="J240" s="148">
        <f t="shared" si="18"/>
        <v>8.585885</v>
      </c>
      <c r="K240" s="11"/>
      <c r="L240" s="28">
        <f t="shared" si="3"/>
        <v>45.942</v>
      </c>
      <c r="M240" s="23">
        <f t="shared" ref="M240:M241" si="39">L240+60</f>
        <v>105.942</v>
      </c>
      <c r="N240" s="23">
        <f t="shared" si="5"/>
        <v>112.82823</v>
      </c>
      <c r="O240" s="95">
        <v>1.209</v>
      </c>
      <c r="P240" s="29"/>
      <c r="Q240" s="28">
        <f t="shared" si="6"/>
        <v>0</v>
      </c>
    </row>
    <row r="241" ht="18.75" customHeight="1">
      <c r="A241" s="176" t="s">
        <v>602</v>
      </c>
      <c r="B241" s="142">
        <v>120.0</v>
      </c>
      <c r="C241" s="143"/>
      <c r="D241" s="144">
        <v>2.0</v>
      </c>
      <c r="E241" s="78" t="str">
        <f t="shared" si="21"/>
        <v>#N/A</v>
      </c>
      <c r="F241" s="141" t="s">
        <v>1203</v>
      </c>
      <c r="G241" s="141"/>
      <c r="H241" s="170">
        <f t="shared" si="38"/>
        <v>89.51751</v>
      </c>
      <c r="I241" s="147">
        <f t="shared" si="17"/>
        <v>0.3405198603</v>
      </c>
      <c r="J241" s="148">
        <f t="shared" si="18"/>
        <v>15.241245</v>
      </c>
      <c r="K241" s="11"/>
      <c r="L241" s="28">
        <f t="shared" si="3"/>
        <v>24.054</v>
      </c>
      <c r="M241" s="23">
        <f t="shared" si="39"/>
        <v>84.054</v>
      </c>
      <c r="N241" s="23">
        <f t="shared" si="5"/>
        <v>89.51751</v>
      </c>
      <c r="O241" s="95">
        <v>0.633</v>
      </c>
      <c r="P241" s="29"/>
      <c r="Q241" s="28">
        <f t="shared" si="6"/>
        <v>179.03502</v>
      </c>
    </row>
    <row r="242" ht="18.75" customHeight="1">
      <c r="A242" s="177" t="s">
        <v>608</v>
      </c>
      <c r="B242" s="178">
        <v>90.0</v>
      </c>
      <c r="C242" s="179"/>
      <c r="D242" s="180">
        <v>4.0</v>
      </c>
      <c r="E242" s="78" t="str">
        <f t="shared" si="21"/>
        <v>#N/A</v>
      </c>
      <c r="F242" s="181" t="s">
        <v>1386</v>
      </c>
      <c r="G242" s="181"/>
      <c r="H242" s="182">
        <f t="shared" si="38"/>
        <v>67.308</v>
      </c>
      <c r="I242" s="183">
        <f t="shared" si="17"/>
        <v>0.3371367445</v>
      </c>
      <c r="J242" s="184">
        <f t="shared" si="18"/>
        <v>11.346</v>
      </c>
      <c r="K242" s="11"/>
      <c r="L242" s="28">
        <f t="shared" si="3"/>
        <v>15.2</v>
      </c>
      <c r="M242" s="23">
        <f t="shared" ref="M242:M245" si="40">L242+48</f>
        <v>63.2</v>
      </c>
      <c r="N242" s="23">
        <f t="shared" si="5"/>
        <v>67.308</v>
      </c>
      <c r="O242" s="95">
        <v>0.4</v>
      </c>
      <c r="P242" s="29"/>
      <c r="Q242" s="28">
        <f t="shared" si="6"/>
        <v>269.232</v>
      </c>
    </row>
    <row r="243" ht="18.75" customHeight="1">
      <c r="A243" s="177" t="s">
        <v>612</v>
      </c>
      <c r="B243" s="178">
        <v>90.0</v>
      </c>
      <c r="C243" s="179"/>
      <c r="D243" s="180">
        <v>2.0</v>
      </c>
      <c r="E243" s="78" t="str">
        <f t="shared" si="21"/>
        <v>#N/A</v>
      </c>
      <c r="F243" s="181" t="s">
        <v>1386</v>
      </c>
      <c r="G243" s="181"/>
      <c r="H243" s="182">
        <f t="shared" si="38"/>
        <v>67.308</v>
      </c>
      <c r="I243" s="183">
        <f t="shared" si="17"/>
        <v>0.3371367445</v>
      </c>
      <c r="J243" s="184">
        <f t="shared" si="18"/>
        <v>11.346</v>
      </c>
      <c r="K243" s="11"/>
      <c r="L243" s="28">
        <f t="shared" si="3"/>
        <v>15.2</v>
      </c>
      <c r="M243" s="23">
        <f t="shared" si="40"/>
        <v>63.2</v>
      </c>
      <c r="N243" s="23">
        <f t="shared" si="5"/>
        <v>67.308</v>
      </c>
      <c r="O243" s="95">
        <v>0.4</v>
      </c>
      <c r="P243" s="29"/>
      <c r="Q243" s="28">
        <f t="shared" si="6"/>
        <v>134.616</v>
      </c>
    </row>
    <row r="244" ht="18.75" customHeight="1">
      <c r="A244" s="177" t="s">
        <v>613</v>
      </c>
      <c r="B244" s="178">
        <v>90.0</v>
      </c>
      <c r="C244" s="179"/>
      <c r="D244" s="180">
        <v>4.0</v>
      </c>
      <c r="E244" s="78" t="str">
        <f t="shared" si="21"/>
        <v>#N/A</v>
      </c>
      <c r="F244" s="181" t="s">
        <v>1386</v>
      </c>
      <c r="G244" s="181"/>
      <c r="H244" s="182">
        <f t="shared" si="38"/>
        <v>67.308</v>
      </c>
      <c r="I244" s="183">
        <f t="shared" si="17"/>
        <v>0.3371367445</v>
      </c>
      <c r="J244" s="184">
        <f t="shared" si="18"/>
        <v>11.346</v>
      </c>
      <c r="K244" s="11"/>
      <c r="L244" s="28">
        <f t="shared" si="3"/>
        <v>15.2</v>
      </c>
      <c r="M244" s="23">
        <f t="shared" si="40"/>
        <v>63.2</v>
      </c>
      <c r="N244" s="23">
        <f t="shared" si="5"/>
        <v>67.308</v>
      </c>
      <c r="O244" s="95">
        <v>0.4</v>
      </c>
      <c r="P244" s="29"/>
      <c r="Q244" s="28">
        <f t="shared" si="6"/>
        <v>269.232</v>
      </c>
    </row>
    <row r="245" ht="18.75" customHeight="1">
      <c r="A245" s="177" t="s">
        <v>615</v>
      </c>
      <c r="B245" s="178">
        <v>90.0</v>
      </c>
      <c r="C245" s="179"/>
      <c r="D245" s="180">
        <v>2.0</v>
      </c>
      <c r="E245" s="78" t="str">
        <f t="shared" si="21"/>
        <v>#N/A</v>
      </c>
      <c r="F245" s="181" t="s">
        <v>1386</v>
      </c>
      <c r="G245" s="181"/>
      <c r="H245" s="182">
        <f t="shared" si="38"/>
        <v>67.308</v>
      </c>
      <c r="I245" s="183">
        <f t="shared" si="17"/>
        <v>0.3371367445</v>
      </c>
      <c r="J245" s="184">
        <f t="shared" si="18"/>
        <v>11.346</v>
      </c>
      <c r="K245" s="11"/>
      <c r="L245" s="28">
        <f t="shared" si="3"/>
        <v>15.2</v>
      </c>
      <c r="M245" s="23">
        <f t="shared" si="40"/>
        <v>63.2</v>
      </c>
      <c r="N245" s="23">
        <f t="shared" si="5"/>
        <v>67.308</v>
      </c>
      <c r="O245" s="95">
        <v>0.4</v>
      </c>
      <c r="P245" s="29"/>
      <c r="Q245" s="28">
        <f t="shared" si="6"/>
        <v>134.616</v>
      </c>
    </row>
    <row r="246" ht="18.75" customHeight="1">
      <c r="A246" s="177" t="s">
        <v>616</v>
      </c>
      <c r="B246" s="178">
        <v>90.0</v>
      </c>
      <c r="C246" s="179"/>
      <c r="D246" s="185">
        <v>2.0</v>
      </c>
      <c r="E246" s="78" t="str">
        <f t="shared" si="21"/>
        <v>#N/A</v>
      </c>
      <c r="F246" s="181" t="s">
        <v>1386</v>
      </c>
      <c r="G246" s="181"/>
      <c r="H246" s="182">
        <f t="shared" si="38"/>
        <v>57.723</v>
      </c>
      <c r="I246" s="183">
        <f t="shared" si="17"/>
        <v>0.5591705213</v>
      </c>
      <c r="J246" s="184">
        <f t="shared" si="18"/>
        <v>16.1385</v>
      </c>
      <c r="K246" s="11"/>
      <c r="L246" s="28">
        <f t="shared" si="3"/>
        <v>15.2</v>
      </c>
      <c r="M246" s="23">
        <f>L246+39</f>
        <v>54.2</v>
      </c>
      <c r="N246" s="23">
        <f t="shared" si="5"/>
        <v>57.723</v>
      </c>
      <c r="O246" s="95">
        <v>0.4</v>
      </c>
      <c r="P246" s="29"/>
      <c r="Q246" s="28">
        <f t="shared" si="6"/>
        <v>115.446</v>
      </c>
    </row>
    <row r="247" ht="18.75" customHeight="1">
      <c r="A247" s="177" t="s">
        <v>618</v>
      </c>
      <c r="B247" s="178">
        <v>90.0</v>
      </c>
      <c r="C247" s="179"/>
      <c r="D247" s="180">
        <v>4.0</v>
      </c>
      <c r="E247" s="78" t="str">
        <f t="shared" si="21"/>
        <v>#N/A</v>
      </c>
      <c r="F247" s="181" t="s">
        <v>1386</v>
      </c>
      <c r="G247" s="181"/>
      <c r="H247" s="182">
        <f t="shared" si="38"/>
        <v>67.308</v>
      </c>
      <c r="I247" s="183">
        <f t="shared" si="17"/>
        <v>0.3371367445</v>
      </c>
      <c r="J247" s="184">
        <f t="shared" si="18"/>
        <v>11.346</v>
      </c>
      <c r="K247" s="11"/>
      <c r="L247" s="28">
        <f t="shared" si="3"/>
        <v>15.2</v>
      </c>
      <c r="M247" s="23">
        <f t="shared" ref="M247:M248" si="41">L247+48</f>
        <v>63.2</v>
      </c>
      <c r="N247" s="23">
        <f t="shared" si="5"/>
        <v>67.308</v>
      </c>
      <c r="O247" s="95">
        <v>0.4</v>
      </c>
      <c r="P247" s="29"/>
      <c r="Q247" s="28">
        <f t="shared" si="6"/>
        <v>269.232</v>
      </c>
    </row>
    <row r="248" ht="18.75" customHeight="1">
      <c r="A248" s="177" t="s">
        <v>619</v>
      </c>
      <c r="B248" s="178">
        <v>90.0</v>
      </c>
      <c r="C248" s="179"/>
      <c r="D248" s="180">
        <v>3.0</v>
      </c>
      <c r="E248" s="78" t="str">
        <f t="shared" si="21"/>
        <v>#N/A</v>
      </c>
      <c r="F248" s="181" t="s">
        <v>1386</v>
      </c>
      <c r="G248" s="181"/>
      <c r="H248" s="182">
        <f t="shared" si="38"/>
        <v>67.308</v>
      </c>
      <c r="I248" s="183">
        <f t="shared" si="17"/>
        <v>0.3371367445</v>
      </c>
      <c r="J248" s="184">
        <f t="shared" si="18"/>
        <v>11.346</v>
      </c>
      <c r="K248" s="11"/>
      <c r="L248" s="28">
        <f t="shared" si="3"/>
        <v>15.2</v>
      </c>
      <c r="M248" s="23">
        <f t="shared" si="41"/>
        <v>63.2</v>
      </c>
      <c r="N248" s="23">
        <f t="shared" si="5"/>
        <v>67.308</v>
      </c>
      <c r="O248" s="95">
        <v>0.4</v>
      </c>
      <c r="P248" s="29"/>
      <c r="Q248" s="28">
        <f t="shared" si="6"/>
        <v>201.924</v>
      </c>
    </row>
    <row r="249" ht="18.75" customHeight="1">
      <c r="A249" s="4" t="s">
        <v>621</v>
      </c>
      <c r="B249" s="113">
        <v>40.0</v>
      </c>
      <c r="C249" s="114"/>
      <c r="D249" s="14">
        <v>5.0</v>
      </c>
      <c r="E249" s="78" t="str">
        <f t="shared" si="21"/>
        <v>#N/A</v>
      </c>
      <c r="F249" s="112"/>
      <c r="G249" s="112"/>
      <c r="H249" s="159">
        <v>21.355999999999998</v>
      </c>
      <c r="I249" s="5">
        <f t="shared" si="17"/>
        <v>0.873009927</v>
      </c>
      <c r="J249" s="17">
        <f t="shared" si="18"/>
        <v>9.322</v>
      </c>
      <c r="K249" s="11"/>
      <c r="L249" s="28">
        <f t="shared" si="3"/>
        <v>5.206</v>
      </c>
      <c r="M249" s="23">
        <f t="shared" ref="M249:M251" si="42">L249+16.15</f>
        <v>21.356</v>
      </c>
      <c r="N249" s="23">
        <f t="shared" si="5"/>
        <v>22.74414</v>
      </c>
      <c r="O249" s="95">
        <v>0.137</v>
      </c>
      <c r="P249" s="29"/>
      <c r="Q249" s="28">
        <f t="shared" si="6"/>
        <v>106.78</v>
      </c>
    </row>
    <row r="250" ht="18.75" customHeight="1">
      <c r="A250" s="4" t="s">
        <v>623</v>
      </c>
      <c r="B250" s="113">
        <v>40.0</v>
      </c>
      <c r="C250" s="114"/>
      <c r="D250" s="14">
        <v>3.0</v>
      </c>
      <c r="E250" s="78" t="str">
        <f t="shared" si="21"/>
        <v>#N/A</v>
      </c>
      <c r="F250" s="112"/>
      <c r="G250" s="112"/>
      <c r="H250" s="159">
        <v>21.355999999999998</v>
      </c>
      <c r="I250" s="5">
        <f t="shared" si="17"/>
        <v>0.873009927</v>
      </c>
      <c r="J250" s="17">
        <f t="shared" si="18"/>
        <v>9.322</v>
      </c>
      <c r="K250" s="11"/>
      <c r="L250" s="28">
        <f t="shared" si="3"/>
        <v>5.206</v>
      </c>
      <c r="M250" s="23">
        <f t="shared" si="42"/>
        <v>21.356</v>
      </c>
      <c r="N250" s="23">
        <f t="shared" si="5"/>
        <v>22.74414</v>
      </c>
      <c r="O250" s="95">
        <v>0.137</v>
      </c>
      <c r="P250" s="29"/>
      <c r="Q250" s="28">
        <f t="shared" si="6"/>
        <v>64.068</v>
      </c>
    </row>
    <row r="251" ht="18.75" customHeight="1">
      <c r="A251" s="4" t="s">
        <v>625</v>
      </c>
      <c r="B251" s="113">
        <v>40.0</v>
      </c>
      <c r="C251" s="114"/>
      <c r="D251" s="14">
        <v>4.0</v>
      </c>
      <c r="E251" s="78" t="str">
        <f t="shared" si="21"/>
        <v>#N/A</v>
      </c>
      <c r="F251" s="112"/>
      <c r="G251" s="112"/>
      <c r="H251" s="159">
        <v>21.355999999999998</v>
      </c>
      <c r="I251" s="5">
        <f t="shared" si="17"/>
        <v>0.873009927</v>
      </c>
      <c r="J251" s="17">
        <f t="shared" si="18"/>
        <v>9.322</v>
      </c>
      <c r="K251" s="11"/>
      <c r="L251" s="28">
        <f t="shared" si="3"/>
        <v>5.206</v>
      </c>
      <c r="M251" s="23">
        <f t="shared" si="42"/>
        <v>21.356</v>
      </c>
      <c r="N251" s="23">
        <f t="shared" si="5"/>
        <v>22.74414</v>
      </c>
      <c r="O251" s="95">
        <v>0.137</v>
      </c>
      <c r="P251" s="29"/>
      <c r="Q251" s="28">
        <f t="shared" si="6"/>
        <v>85.424</v>
      </c>
    </row>
    <row r="252" ht="18.75" customHeight="1">
      <c r="A252" s="4" t="s">
        <v>627</v>
      </c>
      <c r="B252" s="113">
        <v>20.0</v>
      </c>
      <c r="C252" s="114"/>
      <c r="D252" s="14">
        <v>5.0</v>
      </c>
      <c r="E252" s="78" t="str">
        <f t="shared" si="21"/>
        <v>#N/A</v>
      </c>
      <c r="F252" s="112"/>
      <c r="G252" s="112"/>
      <c r="H252" s="159">
        <v>8.32</v>
      </c>
      <c r="I252" s="5">
        <f t="shared" si="17"/>
        <v>1.403846154</v>
      </c>
      <c r="J252" s="17">
        <f t="shared" si="18"/>
        <v>5.84</v>
      </c>
      <c r="K252" s="11"/>
      <c r="L252" s="28">
        <f t="shared" si="3"/>
        <v>1.52</v>
      </c>
      <c r="M252" s="23">
        <f t="shared" ref="M252:M254" si="43">L252+6.8</f>
        <v>8.32</v>
      </c>
      <c r="N252" s="23">
        <f t="shared" si="5"/>
        <v>8.8608</v>
      </c>
      <c r="O252" s="95">
        <v>0.04</v>
      </c>
      <c r="P252" s="29"/>
      <c r="Q252" s="28">
        <f t="shared" si="6"/>
        <v>41.6</v>
      </c>
    </row>
    <row r="253" ht="18.75" customHeight="1">
      <c r="A253" s="4" t="s">
        <v>629</v>
      </c>
      <c r="B253" s="113">
        <v>20.0</v>
      </c>
      <c r="C253" s="114"/>
      <c r="D253" s="14">
        <v>5.0</v>
      </c>
      <c r="E253" s="78" t="str">
        <f t="shared" si="21"/>
        <v>#N/A</v>
      </c>
      <c r="F253" s="112"/>
      <c r="G253" s="112"/>
      <c r="H253" s="159">
        <v>8.32</v>
      </c>
      <c r="I253" s="5">
        <f t="shared" si="17"/>
        <v>1.403846154</v>
      </c>
      <c r="J253" s="17">
        <f t="shared" si="18"/>
        <v>5.84</v>
      </c>
      <c r="K253" s="11"/>
      <c r="L253" s="28">
        <f t="shared" si="3"/>
        <v>1.52</v>
      </c>
      <c r="M253" s="23">
        <f t="shared" si="43"/>
        <v>8.32</v>
      </c>
      <c r="N253" s="23">
        <f t="shared" si="5"/>
        <v>8.8608</v>
      </c>
      <c r="O253" s="95">
        <v>0.04</v>
      </c>
      <c r="P253" s="29"/>
      <c r="Q253" s="28">
        <f t="shared" si="6"/>
        <v>41.6</v>
      </c>
    </row>
    <row r="254" ht="18.75" customHeight="1">
      <c r="A254" s="4" t="s">
        <v>631</v>
      </c>
      <c r="B254" s="113">
        <v>20.0</v>
      </c>
      <c r="C254" s="114"/>
      <c r="D254" s="14">
        <v>4.0</v>
      </c>
      <c r="E254" s="78" t="str">
        <f t="shared" si="21"/>
        <v>#N/A</v>
      </c>
      <c r="F254" s="112"/>
      <c r="G254" s="112"/>
      <c r="H254" s="159">
        <v>8.32</v>
      </c>
      <c r="I254" s="5">
        <f t="shared" si="17"/>
        <v>1.403846154</v>
      </c>
      <c r="J254" s="17">
        <f t="shared" si="18"/>
        <v>5.84</v>
      </c>
      <c r="K254" s="11"/>
      <c r="L254" s="28">
        <f t="shared" si="3"/>
        <v>1.52</v>
      </c>
      <c r="M254" s="23">
        <f t="shared" si="43"/>
        <v>8.32</v>
      </c>
      <c r="N254" s="23">
        <f t="shared" si="5"/>
        <v>8.8608</v>
      </c>
      <c r="O254" s="95">
        <v>0.04</v>
      </c>
      <c r="P254" s="29"/>
      <c r="Q254" s="28">
        <f t="shared" si="6"/>
        <v>33.28</v>
      </c>
    </row>
    <row r="255" ht="18.75" customHeight="1">
      <c r="A255" s="4" t="s">
        <v>634</v>
      </c>
      <c r="B255" s="113">
        <v>90.0</v>
      </c>
      <c r="C255" s="114"/>
      <c r="D255" s="14">
        <v>3.0</v>
      </c>
      <c r="E255" s="78" t="str">
        <f t="shared" si="21"/>
        <v>#N/A</v>
      </c>
      <c r="F255" s="112"/>
      <c r="G255" s="112"/>
      <c r="H255" s="159">
        <v>63.6</v>
      </c>
      <c r="I255" s="5">
        <f t="shared" si="17"/>
        <v>0.4150943396</v>
      </c>
      <c r="J255" s="17">
        <f t="shared" si="18"/>
        <v>13.2</v>
      </c>
      <c r="K255" s="11"/>
      <c r="L255" s="28">
        <f t="shared" si="3"/>
        <v>17.1</v>
      </c>
      <c r="M255" s="23">
        <f t="shared" ref="M255:M259" si="44">L255+46.5</f>
        <v>63.6</v>
      </c>
      <c r="N255" s="23">
        <f t="shared" si="5"/>
        <v>67.734</v>
      </c>
      <c r="O255" s="95">
        <v>0.45</v>
      </c>
      <c r="P255" s="29"/>
      <c r="Q255" s="28">
        <f t="shared" si="6"/>
        <v>190.8</v>
      </c>
    </row>
    <row r="256" ht="18.75" customHeight="1">
      <c r="A256" s="4" t="s">
        <v>635</v>
      </c>
      <c r="B256" s="113">
        <v>90.0</v>
      </c>
      <c r="C256" s="114"/>
      <c r="D256" s="14">
        <v>2.0</v>
      </c>
      <c r="E256" s="78" t="str">
        <f t="shared" si="21"/>
        <v>#N/A</v>
      </c>
      <c r="F256" s="112"/>
      <c r="G256" s="112"/>
      <c r="H256" s="159">
        <v>63.6</v>
      </c>
      <c r="I256" s="5">
        <f t="shared" si="17"/>
        <v>0.4150943396</v>
      </c>
      <c r="J256" s="17">
        <f t="shared" si="18"/>
        <v>13.2</v>
      </c>
      <c r="K256" s="11"/>
      <c r="L256" s="28">
        <f t="shared" si="3"/>
        <v>17.1</v>
      </c>
      <c r="M256" s="23">
        <f t="shared" si="44"/>
        <v>63.6</v>
      </c>
      <c r="N256" s="23">
        <f t="shared" si="5"/>
        <v>67.734</v>
      </c>
      <c r="O256" s="95">
        <v>0.45</v>
      </c>
      <c r="P256" s="29"/>
      <c r="Q256" s="28">
        <f t="shared" si="6"/>
        <v>127.2</v>
      </c>
    </row>
    <row r="257" ht="18.75" customHeight="1">
      <c r="A257" s="4" t="s">
        <v>638</v>
      </c>
      <c r="B257" s="113">
        <v>90.0</v>
      </c>
      <c r="C257" s="114"/>
      <c r="D257" s="14">
        <v>3.0</v>
      </c>
      <c r="E257" s="78" t="str">
        <f t="shared" si="21"/>
        <v>#N/A</v>
      </c>
      <c r="F257" s="112"/>
      <c r="G257" s="112"/>
      <c r="H257" s="159">
        <v>63.6</v>
      </c>
      <c r="I257" s="5">
        <f t="shared" si="17"/>
        <v>0.4150943396</v>
      </c>
      <c r="J257" s="17">
        <f t="shared" si="18"/>
        <v>13.2</v>
      </c>
      <c r="K257" s="11"/>
      <c r="L257" s="28">
        <f t="shared" si="3"/>
        <v>17.1</v>
      </c>
      <c r="M257" s="23">
        <f t="shared" si="44"/>
        <v>63.6</v>
      </c>
      <c r="N257" s="23">
        <f t="shared" si="5"/>
        <v>67.734</v>
      </c>
      <c r="O257" s="95">
        <v>0.45</v>
      </c>
      <c r="P257" s="29"/>
      <c r="Q257" s="28">
        <f t="shared" si="6"/>
        <v>190.8</v>
      </c>
    </row>
    <row r="258" ht="18.75" customHeight="1">
      <c r="A258" s="4" t="s">
        <v>642</v>
      </c>
      <c r="B258" s="113">
        <v>90.0</v>
      </c>
      <c r="C258" s="114"/>
      <c r="D258" s="14">
        <v>3.0</v>
      </c>
      <c r="E258" s="78" t="str">
        <f t="shared" si="21"/>
        <v>#N/A</v>
      </c>
      <c r="F258" s="112"/>
      <c r="G258" s="112"/>
      <c r="H258" s="159">
        <v>63.6</v>
      </c>
      <c r="I258" s="5">
        <f t="shared" si="17"/>
        <v>0.4150943396</v>
      </c>
      <c r="J258" s="17">
        <f t="shared" si="18"/>
        <v>13.2</v>
      </c>
      <c r="K258" s="11"/>
      <c r="L258" s="28">
        <f t="shared" si="3"/>
        <v>17.1</v>
      </c>
      <c r="M258" s="23">
        <f t="shared" si="44"/>
        <v>63.6</v>
      </c>
      <c r="N258" s="23">
        <f t="shared" si="5"/>
        <v>67.734</v>
      </c>
      <c r="O258" s="95">
        <v>0.45</v>
      </c>
      <c r="P258" s="29"/>
      <c r="Q258" s="28">
        <f t="shared" si="6"/>
        <v>190.8</v>
      </c>
    </row>
    <row r="259" ht="18.75" customHeight="1">
      <c r="A259" s="4" t="s">
        <v>643</v>
      </c>
      <c r="B259" s="113">
        <v>90.0</v>
      </c>
      <c r="C259" s="114"/>
      <c r="D259" s="14">
        <v>2.0</v>
      </c>
      <c r="E259" s="78" t="str">
        <f t="shared" si="21"/>
        <v>#N/A</v>
      </c>
      <c r="F259" s="112"/>
      <c r="G259" s="112"/>
      <c r="H259" s="159">
        <v>63.6</v>
      </c>
      <c r="I259" s="5">
        <f t="shared" si="17"/>
        <v>0.4150943396</v>
      </c>
      <c r="J259" s="17">
        <f t="shared" si="18"/>
        <v>13.2</v>
      </c>
      <c r="K259" s="11"/>
      <c r="L259" s="28">
        <f t="shared" si="3"/>
        <v>17.1</v>
      </c>
      <c r="M259" s="23">
        <f t="shared" si="44"/>
        <v>63.6</v>
      </c>
      <c r="N259" s="23">
        <f t="shared" si="5"/>
        <v>67.734</v>
      </c>
      <c r="O259" s="95">
        <v>0.45</v>
      </c>
      <c r="P259" s="29"/>
      <c r="Q259" s="28">
        <f t="shared" si="6"/>
        <v>127.2</v>
      </c>
    </row>
    <row r="260" ht="18.75" customHeight="1">
      <c r="A260" s="4" t="s">
        <v>645</v>
      </c>
      <c r="B260" s="14">
        <v>16.0</v>
      </c>
      <c r="C260" s="6"/>
      <c r="D260" s="14">
        <v>0.0</v>
      </c>
      <c r="E260" s="78" t="str">
        <f t="shared" si="21"/>
        <v>#N/A</v>
      </c>
      <c r="F260" s="4" t="s">
        <v>1325</v>
      </c>
      <c r="G260" s="4"/>
      <c r="H260" s="12">
        <v>11.0547</v>
      </c>
      <c r="I260" s="5">
        <f t="shared" si="17"/>
        <v>0.4473481867</v>
      </c>
      <c r="J260" s="17">
        <f t="shared" si="18"/>
        <v>2.47265</v>
      </c>
      <c r="K260" s="11"/>
      <c r="L260" s="28">
        <f t="shared" si="3"/>
        <v>0.38</v>
      </c>
      <c r="M260" s="23">
        <f t="shared" ref="M260:M267" si="45">L260+10</f>
        <v>10.38</v>
      </c>
      <c r="N260" s="23">
        <f t="shared" si="5"/>
        <v>11.0547</v>
      </c>
      <c r="O260" s="95">
        <v>0.01</v>
      </c>
      <c r="P260" s="29"/>
      <c r="Q260" s="28">
        <f t="shared" si="6"/>
        <v>0</v>
      </c>
    </row>
    <row r="261" ht="18.75" customHeight="1">
      <c r="A261" s="4" t="s">
        <v>647</v>
      </c>
      <c r="B261" s="14">
        <v>16.0</v>
      </c>
      <c r="C261" s="6"/>
      <c r="D261" s="14">
        <v>1.0</v>
      </c>
      <c r="E261" s="78" t="str">
        <f t="shared" si="21"/>
        <v>#N/A</v>
      </c>
      <c r="F261" s="4" t="s">
        <v>1325</v>
      </c>
      <c r="G261" s="4"/>
      <c r="H261" s="12">
        <v>11.0547</v>
      </c>
      <c r="I261" s="5">
        <f t="shared" si="17"/>
        <v>0.4473481867</v>
      </c>
      <c r="J261" s="17">
        <f t="shared" si="18"/>
        <v>2.47265</v>
      </c>
      <c r="K261" s="11"/>
      <c r="L261" s="28">
        <f t="shared" si="3"/>
        <v>0.38</v>
      </c>
      <c r="M261" s="23">
        <f t="shared" si="45"/>
        <v>10.38</v>
      </c>
      <c r="N261" s="23">
        <f t="shared" si="5"/>
        <v>11.0547</v>
      </c>
      <c r="O261" s="95">
        <v>0.01</v>
      </c>
      <c r="P261" s="29"/>
      <c r="Q261" s="28">
        <f t="shared" si="6"/>
        <v>11.0547</v>
      </c>
    </row>
    <row r="262" ht="18.75" customHeight="1">
      <c r="A262" s="4" t="s">
        <v>650</v>
      </c>
      <c r="B262" s="14">
        <v>16.0</v>
      </c>
      <c r="C262" s="6"/>
      <c r="D262" s="14">
        <v>1.0</v>
      </c>
      <c r="E262" s="78" t="str">
        <f t="shared" si="21"/>
        <v>#N/A</v>
      </c>
      <c r="F262" s="4" t="s">
        <v>1325</v>
      </c>
      <c r="G262" s="4"/>
      <c r="H262" s="12">
        <v>11.0547</v>
      </c>
      <c r="I262" s="5">
        <f t="shared" si="17"/>
        <v>0.4473481867</v>
      </c>
      <c r="J262" s="17">
        <f t="shared" si="18"/>
        <v>2.47265</v>
      </c>
      <c r="K262" s="11"/>
      <c r="L262" s="28">
        <f t="shared" si="3"/>
        <v>0.38</v>
      </c>
      <c r="M262" s="23">
        <f t="shared" si="45"/>
        <v>10.38</v>
      </c>
      <c r="N262" s="23">
        <f t="shared" si="5"/>
        <v>11.0547</v>
      </c>
      <c r="O262" s="95">
        <v>0.01</v>
      </c>
      <c r="P262" s="29"/>
      <c r="Q262" s="28">
        <f t="shared" si="6"/>
        <v>11.0547</v>
      </c>
    </row>
    <row r="263" ht="18.75" customHeight="1">
      <c r="A263" s="4" t="s">
        <v>651</v>
      </c>
      <c r="B263" s="14">
        <v>16.0</v>
      </c>
      <c r="C263" s="6"/>
      <c r="D263" s="14">
        <v>3.0</v>
      </c>
      <c r="E263" s="78" t="str">
        <f t="shared" si="21"/>
        <v>#N/A</v>
      </c>
      <c r="F263" s="4" t="s">
        <v>1325</v>
      </c>
      <c r="G263" s="4"/>
      <c r="H263" s="12">
        <v>11.0547</v>
      </c>
      <c r="I263" s="5">
        <f t="shared" si="17"/>
        <v>0.4473481867</v>
      </c>
      <c r="J263" s="17">
        <f t="shared" si="18"/>
        <v>2.47265</v>
      </c>
      <c r="K263" s="11"/>
      <c r="L263" s="28">
        <f t="shared" si="3"/>
        <v>0.38</v>
      </c>
      <c r="M263" s="23">
        <f t="shared" si="45"/>
        <v>10.38</v>
      </c>
      <c r="N263" s="23">
        <f t="shared" si="5"/>
        <v>11.0547</v>
      </c>
      <c r="O263" s="95">
        <v>0.01</v>
      </c>
      <c r="P263" s="29"/>
      <c r="Q263" s="28">
        <f t="shared" si="6"/>
        <v>33.1641</v>
      </c>
    </row>
    <row r="264" ht="18.75" customHeight="1">
      <c r="A264" s="4" t="s">
        <v>654</v>
      </c>
      <c r="B264" s="14">
        <v>16.0</v>
      </c>
      <c r="C264" s="6"/>
      <c r="D264" s="14">
        <v>3.0</v>
      </c>
      <c r="E264" s="78" t="str">
        <f t="shared" si="21"/>
        <v>#N/A</v>
      </c>
      <c r="F264" s="4" t="s">
        <v>1325</v>
      </c>
      <c r="G264" s="4"/>
      <c r="H264" s="12">
        <v>11.0547</v>
      </c>
      <c r="I264" s="5">
        <f t="shared" si="17"/>
        <v>0.4473481867</v>
      </c>
      <c r="J264" s="17">
        <f t="shared" si="18"/>
        <v>2.47265</v>
      </c>
      <c r="K264" s="11"/>
      <c r="L264" s="28">
        <f t="shared" si="3"/>
        <v>0.38</v>
      </c>
      <c r="M264" s="23">
        <f t="shared" si="45"/>
        <v>10.38</v>
      </c>
      <c r="N264" s="23">
        <f t="shared" si="5"/>
        <v>11.0547</v>
      </c>
      <c r="O264" s="95">
        <v>0.01</v>
      </c>
      <c r="P264" s="29"/>
      <c r="Q264" s="28">
        <f t="shared" si="6"/>
        <v>33.1641</v>
      </c>
    </row>
    <row r="265" ht="18.75" customHeight="1">
      <c r="A265" s="4" t="s">
        <v>656</v>
      </c>
      <c r="B265" s="14">
        <v>16.0</v>
      </c>
      <c r="C265" s="6"/>
      <c r="D265" s="14">
        <v>4.0</v>
      </c>
      <c r="E265" s="78" t="str">
        <f t="shared" si="21"/>
        <v>#N/A</v>
      </c>
      <c r="F265" s="4" t="s">
        <v>1325</v>
      </c>
      <c r="G265" s="4"/>
      <c r="H265" s="12">
        <v>11.0547</v>
      </c>
      <c r="I265" s="5">
        <f t="shared" si="17"/>
        <v>0.4473481867</v>
      </c>
      <c r="J265" s="17">
        <f t="shared" si="18"/>
        <v>2.47265</v>
      </c>
      <c r="K265" s="11"/>
      <c r="L265" s="28">
        <f t="shared" si="3"/>
        <v>0.38</v>
      </c>
      <c r="M265" s="23">
        <f t="shared" si="45"/>
        <v>10.38</v>
      </c>
      <c r="N265" s="23">
        <f t="shared" si="5"/>
        <v>11.0547</v>
      </c>
      <c r="O265" s="95">
        <v>0.01</v>
      </c>
      <c r="P265" s="29"/>
      <c r="Q265" s="28">
        <f t="shared" si="6"/>
        <v>44.2188</v>
      </c>
    </row>
    <row r="266" ht="18.75" customHeight="1">
      <c r="A266" s="4" t="s">
        <v>658</v>
      </c>
      <c r="B266" s="14">
        <v>16.0</v>
      </c>
      <c r="C266" s="6"/>
      <c r="D266" s="14">
        <v>1.0</v>
      </c>
      <c r="E266" s="78" t="str">
        <f t="shared" si="21"/>
        <v>#N/A</v>
      </c>
      <c r="F266" s="4" t="s">
        <v>1325</v>
      </c>
      <c r="G266" s="4"/>
      <c r="H266" s="12">
        <v>11.0547</v>
      </c>
      <c r="I266" s="5">
        <f t="shared" si="17"/>
        <v>0.4473481867</v>
      </c>
      <c r="J266" s="17">
        <f t="shared" si="18"/>
        <v>2.47265</v>
      </c>
      <c r="K266" s="11"/>
      <c r="L266" s="28">
        <f t="shared" si="3"/>
        <v>0.38</v>
      </c>
      <c r="M266" s="23">
        <f t="shared" si="45"/>
        <v>10.38</v>
      </c>
      <c r="N266" s="23">
        <f t="shared" si="5"/>
        <v>11.0547</v>
      </c>
      <c r="O266" s="95">
        <v>0.01</v>
      </c>
      <c r="P266" s="29"/>
      <c r="Q266" s="28">
        <f t="shared" si="6"/>
        <v>11.0547</v>
      </c>
    </row>
    <row r="267" ht="18.75" customHeight="1">
      <c r="A267" s="4" t="s">
        <v>661</v>
      </c>
      <c r="B267" s="14">
        <v>16.0</v>
      </c>
      <c r="C267" s="6"/>
      <c r="D267" s="14">
        <v>5.0</v>
      </c>
      <c r="E267" s="78" t="str">
        <f t="shared" si="21"/>
        <v>#N/A</v>
      </c>
      <c r="F267" s="4" t="s">
        <v>1325</v>
      </c>
      <c r="G267" s="4"/>
      <c r="H267" s="12">
        <v>11.0547</v>
      </c>
      <c r="I267" s="5">
        <f t="shared" si="17"/>
        <v>0.4473481867</v>
      </c>
      <c r="J267" s="17">
        <f t="shared" si="18"/>
        <v>2.47265</v>
      </c>
      <c r="K267" s="11"/>
      <c r="L267" s="28">
        <f t="shared" si="3"/>
        <v>0.38</v>
      </c>
      <c r="M267" s="23">
        <f t="shared" si="45"/>
        <v>10.38</v>
      </c>
      <c r="N267" s="23">
        <f t="shared" si="5"/>
        <v>11.0547</v>
      </c>
      <c r="O267" s="95">
        <v>0.01</v>
      </c>
      <c r="P267" s="29"/>
      <c r="Q267" s="28">
        <f t="shared" si="6"/>
        <v>55.2735</v>
      </c>
    </row>
    <row r="268" ht="18.75" customHeight="1">
      <c r="A268" s="26" t="s">
        <v>663</v>
      </c>
      <c r="B268" s="32">
        <v>60.0</v>
      </c>
      <c r="C268" s="41"/>
      <c r="D268" s="32">
        <v>0.0</v>
      </c>
      <c r="E268" s="198" t="str">
        <f t="shared" si="21"/>
        <v>#N/A</v>
      </c>
      <c r="F268" s="26"/>
      <c r="G268" s="26"/>
      <c r="H268" s="28">
        <v>38.3</v>
      </c>
      <c r="I268" s="5">
        <f t="shared" si="17"/>
        <v>0.5665796345</v>
      </c>
      <c r="J268" s="17">
        <f t="shared" si="18"/>
        <v>10.85</v>
      </c>
      <c r="K268" s="11"/>
      <c r="L268" s="28">
        <f t="shared" si="3"/>
        <v>13.3</v>
      </c>
      <c r="M268" s="23">
        <f t="shared" ref="M268:M270" si="46">L268+25</f>
        <v>38.3</v>
      </c>
      <c r="N268" s="23">
        <f t="shared" si="5"/>
        <v>40.7895</v>
      </c>
      <c r="O268" s="95">
        <v>0.35</v>
      </c>
      <c r="P268" s="29"/>
      <c r="Q268" s="28">
        <f t="shared" si="6"/>
        <v>0</v>
      </c>
    </row>
    <row r="269" ht="18.75" customHeight="1">
      <c r="A269" s="26" t="s">
        <v>665</v>
      </c>
      <c r="B269" s="32">
        <v>60.0</v>
      </c>
      <c r="C269" s="41"/>
      <c r="D269" s="32">
        <v>0.0</v>
      </c>
      <c r="E269" s="198" t="str">
        <f t="shared" si="21"/>
        <v>#N/A</v>
      </c>
      <c r="F269" s="26"/>
      <c r="G269" s="26"/>
      <c r="H269" s="28">
        <v>36.856</v>
      </c>
      <c r="I269" s="5">
        <f t="shared" si="17"/>
        <v>0.627957456</v>
      </c>
      <c r="J269" s="17">
        <f t="shared" si="18"/>
        <v>11.572</v>
      </c>
      <c r="K269" s="11"/>
      <c r="L269" s="28">
        <f t="shared" si="3"/>
        <v>11.856</v>
      </c>
      <c r="M269" s="23">
        <f t="shared" si="46"/>
        <v>36.856</v>
      </c>
      <c r="N269" s="23">
        <f t="shared" si="5"/>
        <v>39.25164</v>
      </c>
      <c r="O269" s="95">
        <v>0.312</v>
      </c>
      <c r="P269" s="29"/>
      <c r="Q269" s="28">
        <f t="shared" si="6"/>
        <v>0</v>
      </c>
    </row>
    <row r="270" ht="18.75" customHeight="1">
      <c r="A270" s="26" t="s">
        <v>668</v>
      </c>
      <c r="B270" s="32">
        <v>60.0</v>
      </c>
      <c r="C270" s="41"/>
      <c r="D270" s="32">
        <v>0.0</v>
      </c>
      <c r="E270" s="198" t="str">
        <f t="shared" si="21"/>
        <v>#N/A</v>
      </c>
      <c r="F270" s="26"/>
      <c r="G270" s="26"/>
      <c r="H270" s="28">
        <v>36.742</v>
      </c>
      <c r="I270" s="5">
        <f t="shared" si="17"/>
        <v>0.6330085461</v>
      </c>
      <c r="J270" s="17">
        <f t="shared" si="18"/>
        <v>11.629</v>
      </c>
      <c r="K270" s="11"/>
      <c r="L270" s="28">
        <f t="shared" si="3"/>
        <v>11.742</v>
      </c>
      <c r="M270" s="23">
        <f t="shared" si="46"/>
        <v>36.742</v>
      </c>
      <c r="N270" s="23">
        <f t="shared" si="5"/>
        <v>39.13023</v>
      </c>
      <c r="O270" s="95">
        <v>0.309</v>
      </c>
      <c r="P270" s="29"/>
      <c r="Q270" s="28">
        <f t="shared" si="6"/>
        <v>0</v>
      </c>
    </row>
    <row r="271" ht="18.75" customHeight="1">
      <c r="A271" s="26" t="s">
        <v>671</v>
      </c>
      <c r="B271" s="32">
        <v>25.0</v>
      </c>
      <c r="C271" s="41"/>
      <c r="D271" s="32">
        <v>2.0</v>
      </c>
      <c r="E271" s="198" t="str">
        <f t="shared" si="21"/>
        <v>#N/A</v>
      </c>
      <c r="F271" s="26"/>
      <c r="G271" s="26"/>
      <c r="H271" s="28">
        <v>11.11</v>
      </c>
      <c r="I271" s="5">
        <f t="shared" si="17"/>
        <v>1.250225023</v>
      </c>
      <c r="J271" s="17">
        <f t="shared" si="18"/>
        <v>6.945</v>
      </c>
      <c r="K271" s="11"/>
      <c r="L271" s="28">
        <f t="shared" si="3"/>
        <v>3.04</v>
      </c>
      <c r="M271" s="23">
        <f t="shared" ref="M271:M272" si="47">L271+8.07</f>
        <v>11.11</v>
      </c>
      <c r="N271" s="23">
        <f t="shared" si="5"/>
        <v>11.83215</v>
      </c>
      <c r="O271" s="95">
        <v>0.08</v>
      </c>
      <c r="P271" s="29"/>
      <c r="Q271" s="28">
        <f t="shared" si="6"/>
        <v>22.22</v>
      </c>
    </row>
    <row r="272" ht="18.75" customHeight="1">
      <c r="A272" s="26" t="s">
        <v>674</v>
      </c>
      <c r="B272" s="32">
        <v>25.0</v>
      </c>
      <c r="C272" s="41"/>
      <c r="D272" s="32">
        <v>1.0</v>
      </c>
      <c r="E272" s="198" t="str">
        <f t="shared" si="21"/>
        <v>#N/A</v>
      </c>
      <c r="F272" s="26"/>
      <c r="G272" s="26"/>
      <c r="H272" s="28">
        <v>11.11</v>
      </c>
      <c r="I272" s="5">
        <f t="shared" si="17"/>
        <v>1.250225023</v>
      </c>
      <c r="J272" s="17">
        <f t="shared" si="18"/>
        <v>6.945</v>
      </c>
      <c r="K272" s="11"/>
      <c r="L272" s="28">
        <f t="shared" si="3"/>
        <v>3.04</v>
      </c>
      <c r="M272" s="23">
        <f t="shared" si="47"/>
        <v>11.11</v>
      </c>
      <c r="N272" s="23">
        <f t="shared" si="5"/>
        <v>11.83215</v>
      </c>
      <c r="O272" s="95">
        <v>0.08</v>
      </c>
      <c r="P272" s="29"/>
      <c r="Q272" s="28">
        <f t="shared" si="6"/>
        <v>11.11</v>
      </c>
    </row>
    <row r="273" ht="18.75" customHeight="1">
      <c r="A273" s="26" t="s">
        <v>677</v>
      </c>
      <c r="B273" s="32">
        <v>25.0</v>
      </c>
      <c r="C273" s="41"/>
      <c r="D273" s="32">
        <v>0.0</v>
      </c>
      <c r="E273" s="198" t="str">
        <f t="shared" si="21"/>
        <v>#N/A</v>
      </c>
      <c r="F273" s="26"/>
      <c r="G273" s="26"/>
      <c r="H273" s="28">
        <v>12.18</v>
      </c>
      <c r="I273" s="5">
        <f t="shared" si="17"/>
        <v>1.052545156</v>
      </c>
      <c r="J273" s="17">
        <f t="shared" si="18"/>
        <v>6.41</v>
      </c>
      <c r="K273" s="11"/>
      <c r="L273" s="28">
        <f t="shared" si="3"/>
        <v>3.04</v>
      </c>
      <c r="M273" s="23">
        <f t="shared" ref="M273:M274" si="48">L273+9.14</f>
        <v>12.18</v>
      </c>
      <c r="N273" s="23">
        <f t="shared" si="5"/>
        <v>12.9717</v>
      </c>
      <c r="O273" s="95">
        <v>0.08</v>
      </c>
      <c r="P273" s="29"/>
      <c r="Q273" s="28">
        <f t="shared" si="6"/>
        <v>0</v>
      </c>
    </row>
    <row r="274" ht="18.75" customHeight="1">
      <c r="A274" s="26" t="s">
        <v>679</v>
      </c>
      <c r="B274" s="32">
        <v>25.0</v>
      </c>
      <c r="C274" s="41"/>
      <c r="D274" s="32">
        <v>0.0</v>
      </c>
      <c r="E274" s="198" t="str">
        <f t="shared" si="21"/>
        <v>#N/A</v>
      </c>
      <c r="F274" s="26"/>
      <c r="G274" s="26"/>
      <c r="H274" s="28">
        <v>12.18</v>
      </c>
      <c r="I274" s="5">
        <f t="shared" si="17"/>
        <v>1.052545156</v>
      </c>
      <c r="J274" s="17">
        <f t="shared" si="18"/>
        <v>6.41</v>
      </c>
      <c r="K274" s="11"/>
      <c r="L274" s="28">
        <f t="shared" si="3"/>
        <v>3.04</v>
      </c>
      <c r="M274" s="23">
        <f t="shared" si="48"/>
        <v>12.18</v>
      </c>
      <c r="N274" s="23">
        <f t="shared" si="5"/>
        <v>12.9717</v>
      </c>
      <c r="O274" s="95">
        <v>0.08</v>
      </c>
      <c r="P274" s="29"/>
      <c r="Q274" s="28">
        <f t="shared" si="6"/>
        <v>0</v>
      </c>
    </row>
    <row r="275" ht="18.75" customHeight="1">
      <c r="A275" s="26" t="s">
        <v>681</v>
      </c>
      <c r="B275" s="32">
        <v>60.0</v>
      </c>
      <c r="C275" s="41"/>
      <c r="D275" s="32">
        <v>1.0</v>
      </c>
      <c r="E275" s="198" t="str">
        <f t="shared" si="21"/>
        <v>#N/A</v>
      </c>
      <c r="F275" s="26"/>
      <c r="G275" s="26"/>
      <c r="H275" s="28">
        <v>38.91</v>
      </c>
      <c r="I275" s="5">
        <f t="shared" si="17"/>
        <v>0.5420200463</v>
      </c>
      <c r="J275" s="17">
        <f t="shared" si="18"/>
        <v>10.545</v>
      </c>
      <c r="K275" s="11"/>
      <c r="L275" s="28">
        <f t="shared" si="3"/>
        <v>15.96</v>
      </c>
      <c r="M275" s="23">
        <f t="shared" ref="M275:M276" si="49">L275+22.95</f>
        <v>38.91</v>
      </c>
      <c r="N275" s="23">
        <f t="shared" si="5"/>
        <v>41.43915</v>
      </c>
      <c r="O275" s="95">
        <v>0.42</v>
      </c>
      <c r="P275" s="29"/>
      <c r="Q275" s="28">
        <f t="shared" si="6"/>
        <v>38.91</v>
      </c>
    </row>
    <row r="276" ht="18.75" customHeight="1">
      <c r="A276" s="26" t="s">
        <v>683</v>
      </c>
      <c r="B276" s="32">
        <v>60.0</v>
      </c>
      <c r="C276" s="41"/>
      <c r="D276" s="32">
        <v>0.0</v>
      </c>
      <c r="E276" s="198" t="str">
        <f t="shared" si="21"/>
        <v>#N/A</v>
      </c>
      <c r="F276" s="26"/>
      <c r="G276" s="26"/>
      <c r="H276" s="28">
        <v>38.91</v>
      </c>
      <c r="I276" s="5">
        <f t="shared" si="17"/>
        <v>0.5420200463</v>
      </c>
      <c r="J276" s="17">
        <f t="shared" si="18"/>
        <v>10.545</v>
      </c>
      <c r="K276" s="11"/>
      <c r="L276" s="28">
        <f t="shared" si="3"/>
        <v>15.96</v>
      </c>
      <c r="M276" s="23">
        <f t="shared" si="49"/>
        <v>38.91</v>
      </c>
      <c r="N276" s="23">
        <f t="shared" si="5"/>
        <v>41.43915</v>
      </c>
      <c r="O276" s="95">
        <v>0.42</v>
      </c>
      <c r="P276" s="29"/>
      <c r="Q276" s="28">
        <f t="shared" si="6"/>
        <v>0</v>
      </c>
    </row>
    <row r="277" ht="18.75" customHeight="1">
      <c r="A277" s="26" t="s">
        <v>685</v>
      </c>
      <c r="B277" s="32">
        <v>125.0</v>
      </c>
      <c r="C277" s="41"/>
      <c r="D277" s="32">
        <v>0.0</v>
      </c>
      <c r="E277" s="198" t="str">
        <f t="shared" si="21"/>
        <v>#N/A</v>
      </c>
      <c r="F277" s="26"/>
      <c r="G277" s="26"/>
      <c r="H277" s="28">
        <v>91.5</v>
      </c>
      <c r="I277" s="5">
        <f t="shared" si="17"/>
        <v>0.3661202186</v>
      </c>
      <c r="J277" s="17">
        <f t="shared" si="18"/>
        <v>16.75</v>
      </c>
      <c r="K277" s="11"/>
      <c r="L277" s="28">
        <f t="shared" si="3"/>
        <v>38</v>
      </c>
      <c r="M277" s="23">
        <f>L277+53.5</f>
        <v>91.5</v>
      </c>
      <c r="N277" s="23">
        <f t="shared" si="5"/>
        <v>97.4475</v>
      </c>
      <c r="O277" s="95">
        <v>1.0</v>
      </c>
      <c r="P277" s="29"/>
      <c r="Q277" s="28">
        <f t="shared" si="6"/>
        <v>0</v>
      </c>
    </row>
    <row r="278" ht="18.75" customHeight="1">
      <c r="A278" s="26" t="s">
        <v>687</v>
      </c>
      <c r="B278" s="32">
        <v>8.0</v>
      </c>
      <c r="C278" s="41"/>
      <c r="D278" s="32">
        <v>8.0</v>
      </c>
      <c r="E278" s="198" t="str">
        <f t="shared" si="21"/>
        <v>#N/A</v>
      </c>
      <c r="F278" s="26"/>
      <c r="G278" s="26"/>
      <c r="H278" s="28">
        <v>4.23</v>
      </c>
      <c r="I278" s="5">
        <f t="shared" si="17"/>
        <v>0.8912529551</v>
      </c>
      <c r="J278" s="17">
        <f t="shared" si="18"/>
        <v>1.885</v>
      </c>
      <c r="K278" s="11"/>
      <c r="L278" s="28">
        <f t="shared" si="3"/>
        <v>0.38</v>
      </c>
      <c r="M278" s="23">
        <f t="shared" ref="M278:M284" si="50">L278+3.85</f>
        <v>4.23</v>
      </c>
      <c r="N278" s="23">
        <f t="shared" si="5"/>
        <v>4.50495</v>
      </c>
      <c r="O278" s="95">
        <v>0.01</v>
      </c>
      <c r="P278" s="29"/>
      <c r="Q278" s="28">
        <f t="shared" si="6"/>
        <v>33.84</v>
      </c>
    </row>
    <row r="279" ht="18.75" customHeight="1">
      <c r="A279" s="26" t="s">
        <v>689</v>
      </c>
      <c r="B279" s="32">
        <v>8.0</v>
      </c>
      <c r="C279" s="41"/>
      <c r="D279" s="32">
        <v>8.0</v>
      </c>
      <c r="E279" s="198" t="str">
        <f t="shared" si="21"/>
        <v>#N/A</v>
      </c>
      <c r="F279" s="26"/>
      <c r="G279" s="26"/>
      <c r="H279" s="28">
        <v>4.23</v>
      </c>
      <c r="I279" s="5">
        <f t="shared" si="17"/>
        <v>0.8912529551</v>
      </c>
      <c r="J279" s="17">
        <f t="shared" si="18"/>
        <v>1.885</v>
      </c>
      <c r="K279" s="11"/>
      <c r="L279" s="28">
        <f t="shared" si="3"/>
        <v>0.38</v>
      </c>
      <c r="M279" s="23">
        <f t="shared" si="50"/>
        <v>4.23</v>
      </c>
      <c r="N279" s="23">
        <f t="shared" si="5"/>
        <v>4.50495</v>
      </c>
      <c r="O279" s="95">
        <v>0.01</v>
      </c>
      <c r="P279" s="29"/>
      <c r="Q279" s="28">
        <f t="shared" si="6"/>
        <v>33.84</v>
      </c>
    </row>
    <row r="280" ht="18.75" customHeight="1">
      <c r="A280" s="26" t="s">
        <v>692</v>
      </c>
      <c r="B280" s="32">
        <v>8.0</v>
      </c>
      <c r="C280" s="41"/>
      <c r="D280" s="32">
        <v>8.0</v>
      </c>
      <c r="E280" s="198" t="str">
        <f t="shared" si="21"/>
        <v>#N/A</v>
      </c>
      <c r="F280" s="26"/>
      <c r="G280" s="26"/>
      <c r="H280" s="28">
        <v>4.23</v>
      </c>
      <c r="I280" s="5">
        <f t="shared" si="17"/>
        <v>0.8912529551</v>
      </c>
      <c r="J280" s="17">
        <f t="shared" si="18"/>
        <v>1.885</v>
      </c>
      <c r="K280" s="11"/>
      <c r="L280" s="28">
        <f t="shared" si="3"/>
        <v>0.38</v>
      </c>
      <c r="M280" s="23">
        <f t="shared" si="50"/>
        <v>4.23</v>
      </c>
      <c r="N280" s="23">
        <f t="shared" si="5"/>
        <v>4.50495</v>
      </c>
      <c r="O280" s="95">
        <v>0.01</v>
      </c>
      <c r="P280" s="29"/>
      <c r="Q280" s="28">
        <f t="shared" si="6"/>
        <v>33.84</v>
      </c>
    </row>
    <row r="281" ht="18.75" customHeight="1">
      <c r="A281" s="26" t="s">
        <v>693</v>
      </c>
      <c r="B281" s="32">
        <v>8.0</v>
      </c>
      <c r="C281" s="41"/>
      <c r="D281" s="32">
        <v>7.0</v>
      </c>
      <c r="E281" s="198" t="str">
        <f t="shared" si="21"/>
        <v>#N/A</v>
      </c>
      <c r="F281" s="26"/>
      <c r="G281" s="26"/>
      <c r="H281" s="28">
        <v>4.23</v>
      </c>
      <c r="I281" s="5">
        <f t="shared" si="17"/>
        <v>0.8912529551</v>
      </c>
      <c r="J281" s="17">
        <f t="shared" si="18"/>
        <v>1.885</v>
      </c>
      <c r="K281" s="11"/>
      <c r="L281" s="28">
        <f t="shared" si="3"/>
        <v>0.38</v>
      </c>
      <c r="M281" s="23">
        <f t="shared" si="50"/>
        <v>4.23</v>
      </c>
      <c r="N281" s="23">
        <f t="shared" si="5"/>
        <v>4.50495</v>
      </c>
      <c r="O281" s="95">
        <v>0.01</v>
      </c>
      <c r="P281" s="29"/>
      <c r="Q281" s="28">
        <f t="shared" si="6"/>
        <v>29.61</v>
      </c>
    </row>
    <row r="282" ht="18.75" customHeight="1">
      <c r="A282" s="26" t="s">
        <v>696</v>
      </c>
      <c r="B282" s="32">
        <v>8.0</v>
      </c>
      <c r="C282" s="41"/>
      <c r="D282" s="32">
        <v>8.0</v>
      </c>
      <c r="E282" s="198" t="str">
        <f t="shared" si="21"/>
        <v>#N/A</v>
      </c>
      <c r="F282" s="26"/>
      <c r="G282" s="26"/>
      <c r="H282" s="28">
        <v>4.23</v>
      </c>
      <c r="I282" s="5">
        <f t="shared" si="17"/>
        <v>0.8912529551</v>
      </c>
      <c r="J282" s="17">
        <f t="shared" si="18"/>
        <v>1.885</v>
      </c>
      <c r="K282" s="11"/>
      <c r="L282" s="28">
        <f t="shared" si="3"/>
        <v>0.38</v>
      </c>
      <c r="M282" s="23">
        <f t="shared" si="50"/>
        <v>4.23</v>
      </c>
      <c r="N282" s="23">
        <f t="shared" si="5"/>
        <v>4.50495</v>
      </c>
      <c r="O282" s="95">
        <v>0.01</v>
      </c>
      <c r="P282" s="29"/>
      <c r="Q282" s="28">
        <f t="shared" si="6"/>
        <v>33.84</v>
      </c>
    </row>
    <row r="283" ht="18.75" customHeight="1">
      <c r="A283" s="26" t="s">
        <v>698</v>
      </c>
      <c r="B283" s="32">
        <v>8.0</v>
      </c>
      <c r="C283" s="41"/>
      <c r="D283" s="32">
        <v>6.0</v>
      </c>
      <c r="E283" s="198" t="str">
        <f t="shared" si="21"/>
        <v>#N/A</v>
      </c>
      <c r="F283" s="26"/>
      <c r="G283" s="26"/>
      <c r="H283" s="28">
        <v>4.23</v>
      </c>
      <c r="I283" s="5">
        <f t="shared" si="17"/>
        <v>0.8912529551</v>
      </c>
      <c r="J283" s="17">
        <f t="shared" si="18"/>
        <v>1.885</v>
      </c>
      <c r="K283" s="11"/>
      <c r="L283" s="28">
        <f t="shared" si="3"/>
        <v>0.38</v>
      </c>
      <c r="M283" s="23">
        <f t="shared" si="50"/>
        <v>4.23</v>
      </c>
      <c r="N283" s="23">
        <f t="shared" si="5"/>
        <v>4.50495</v>
      </c>
      <c r="O283" s="95">
        <v>0.01</v>
      </c>
      <c r="P283" s="29"/>
      <c r="Q283" s="28">
        <f t="shared" si="6"/>
        <v>25.38</v>
      </c>
    </row>
    <row r="284" ht="18.75" customHeight="1">
      <c r="A284" s="26" t="s">
        <v>700</v>
      </c>
      <c r="B284" s="32">
        <v>8.0</v>
      </c>
      <c r="C284" s="41"/>
      <c r="D284" s="32">
        <v>6.0</v>
      </c>
      <c r="E284" s="198" t="str">
        <f t="shared" si="21"/>
        <v>#N/A</v>
      </c>
      <c r="F284" s="26"/>
      <c r="G284" s="26"/>
      <c r="H284" s="28">
        <v>4.23</v>
      </c>
      <c r="I284" s="5">
        <f t="shared" si="17"/>
        <v>0.8912529551</v>
      </c>
      <c r="J284" s="17">
        <f t="shared" si="18"/>
        <v>1.885</v>
      </c>
      <c r="K284" s="11"/>
      <c r="L284" s="28">
        <f t="shared" si="3"/>
        <v>0.38</v>
      </c>
      <c r="M284" s="23">
        <f t="shared" si="50"/>
        <v>4.23</v>
      </c>
      <c r="N284" s="23">
        <f t="shared" si="5"/>
        <v>4.50495</v>
      </c>
      <c r="O284" s="95">
        <v>0.01</v>
      </c>
      <c r="P284" s="29"/>
      <c r="Q284" s="28">
        <f t="shared" si="6"/>
        <v>25.38</v>
      </c>
    </row>
    <row r="285" ht="18.75" customHeight="1">
      <c r="A285" s="26" t="s">
        <v>703</v>
      </c>
      <c r="B285" s="32">
        <v>20.0</v>
      </c>
      <c r="C285" s="41"/>
      <c r="D285" s="32">
        <v>5.0</v>
      </c>
      <c r="E285" s="198" t="str">
        <f t="shared" si="21"/>
        <v>#N/A</v>
      </c>
      <c r="F285" s="26" t="s">
        <v>1082</v>
      </c>
      <c r="G285" s="26"/>
      <c r="H285" s="28">
        <v>9.5</v>
      </c>
      <c r="I285" s="5">
        <f t="shared" si="17"/>
        <v>1.105263158</v>
      </c>
      <c r="J285" s="17">
        <f t="shared" si="18"/>
        <v>5.25</v>
      </c>
      <c r="K285" s="11"/>
      <c r="L285" s="28">
        <f t="shared" si="3"/>
        <v>2.28</v>
      </c>
      <c r="M285" s="23">
        <f t="shared" ref="M285:M286" si="51">L285+7.22</f>
        <v>9.5</v>
      </c>
      <c r="N285" s="23">
        <f t="shared" si="5"/>
        <v>10.1175</v>
      </c>
      <c r="O285" s="95">
        <v>0.06</v>
      </c>
      <c r="P285" s="29"/>
      <c r="Q285" s="28">
        <f t="shared" si="6"/>
        <v>47.5</v>
      </c>
    </row>
    <row r="286" ht="18.75" customHeight="1">
      <c r="A286" s="26" t="s">
        <v>706</v>
      </c>
      <c r="B286" s="32">
        <v>20.0</v>
      </c>
      <c r="C286" s="41"/>
      <c r="D286" s="32">
        <v>5.0</v>
      </c>
      <c r="E286" s="198" t="str">
        <f t="shared" si="21"/>
        <v>#N/A</v>
      </c>
      <c r="F286" s="26" t="s">
        <v>1082</v>
      </c>
      <c r="G286" s="26"/>
      <c r="H286" s="28">
        <v>9.5</v>
      </c>
      <c r="I286" s="5">
        <f t="shared" si="17"/>
        <v>1.105263158</v>
      </c>
      <c r="J286" s="17">
        <f t="shared" si="18"/>
        <v>5.25</v>
      </c>
      <c r="K286" s="11"/>
      <c r="L286" s="28">
        <f t="shared" si="3"/>
        <v>2.28</v>
      </c>
      <c r="M286" s="23">
        <f t="shared" si="51"/>
        <v>9.5</v>
      </c>
      <c r="N286" s="23">
        <f t="shared" si="5"/>
        <v>10.1175</v>
      </c>
      <c r="O286" s="95">
        <v>0.06</v>
      </c>
      <c r="P286" s="29"/>
      <c r="Q286" s="28">
        <f t="shared" si="6"/>
        <v>47.5</v>
      </c>
    </row>
    <row r="287" ht="18.75" customHeight="1">
      <c r="A287" s="26" t="s">
        <v>707</v>
      </c>
      <c r="B287" s="32">
        <v>80.0</v>
      </c>
      <c r="C287" s="41"/>
      <c r="D287" s="32">
        <v>7.0</v>
      </c>
      <c r="E287" s="198" t="str">
        <f t="shared" si="21"/>
        <v>#N/A</v>
      </c>
      <c r="F287" s="26" t="s">
        <v>1082</v>
      </c>
      <c r="G287" s="26"/>
      <c r="H287" s="28">
        <v>44.05</v>
      </c>
      <c r="I287" s="5">
        <f t="shared" si="17"/>
        <v>0.8161180477</v>
      </c>
      <c r="J287" s="17">
        <f t="shared" si="18"/>
        <v>17.975</v>
      </c>
      <c r="K287" s="11"/>
      <c r="L287" s="28">
        <f t="shared" si="3"/>
        <v>22.8</v>
      </c>
      <c r="M287" s="23">
        <f>L287+21.25</f>
        <v>44.05</v>
      </c>
      <c r="N287" s="23">
        <f t="shared" si="5"/>
        <v>46.91325</v>
      </c>
      <c r="O287" s="95">
        <v>0.6</v>
      </c>
      <c r="P287" s="29"/>
      <c r="Q287" s="28">
        <f t="shared" si="6"/>
        <v>308.35</v>
      </c>
    </row>
    <row r="288" ht="18.75" customHeight="1">
      <c r="A288" s="26" t="s">
        <v>710</v>
      </c>
      <c r="B288" s="32">
        <v>16.0</v>
      </c>
      <c r="C288" s="41"/>
      <c r="D288" s="32">
        <v>4.0</v>
      </c>
      <c r="E288" s="198" t="str">
        <f t="shared" si="21"/>
        <v>#N/A</v>
      </c>
      <c r="F288" s="26" t="s">
        <v>1363</v>
      </c>
      <c r="G288" s="26"/>
      <c r="H288" s="28">
        <v>12.059999999999999</v>
      </c>
      <c r="I288" s="5">
        <f t="shared" si="17"/>
        <v>0.3266998342</v>
      </c>
      <c r="J288" s="17">
        <f t="shared" si="18"/>
        <v>1.97</v>
      </c>
      <c r="K288" s="11"/>
      <c r="L288" s="28">
        <f t="shared" si="3"/>
        <v>4.56</v>
      </c>
      <c r="M288" s="23">
        <f t="shared" ref="M288:M292" si="52">L288+7.5</f>
        <v>12.06</v>
      </c>
      <c r="N288" s="23">
        <f t="shared" si="5"/>
        <v>12.8439</v>
      </c>
      <c r="O288" s="95">
        <v>0.12</v>
      </c>
      <c r="P288" s="29"/>
      <c r="Q288" s="28">
        <f t="shared" si="6"/>
        <v>48.24</v>
      </c>
    </row>
    <row r="289" ht="18.75" customHeight="1">
      <c r="A289" s="26" t="s">
        <v>712</v>
      </c>
      <c r="B289" s="32">
        <v>16.0</v>
      </c>
      <c r="C289" s="41"/>
      <c r="D289" s="32">
        <v>0.0</v>
      </c>
      <c r="E289" s="198" t="str">
        <f t="shared" si="21"/>
        <v>#N/A</v>
      </c>
      <c r="F289" s="26" t="s">
        <v>1363</v>
      </c>
      <c r="G289" s="26"/>
      <c r="H289" s="28">
        <v>12.059999999999999</v>
      </c>
      <c r="I289" s="5">
        <f t="shared" si="17"/>
        <v>0.3266998342</v>
      </c>
      <c r="J289" s="17">
        <f t="shared" si="18"/>
        <v>1.97</v>
      </c>
      <c r="K289" s="11"/>
      <c r="L289" s="28">
        <f t="shared" si="3"/>
        <v>4.56</v>
      </c>
      <c r="M289" s="23">
        <f t="shared" si="52"/>
        <v>12.06</v>
      </c>
      <c r="N289" s="23">
        <f t="shared" si="5"/>
        <v>12.8439</v>
      </c>
      <c r="O289" s="95">
        <v>0.12</v>
      </c>
      <c r="P289" s="29"/>
      <c r="Q289" s="28">
        <f t="shared" si="6"/>
        <v>0</v>
      </c>
    </row>
    <row r="290" ht="18.75" customHeight="1">
      <c r="A290" s="26" t="s">
        <v>714</v>
      </c>
      <c r="B290" s="32">
        <v>16.0</v>
      </c>
      <c r="C290" s="41"/>
      <c r="D290" s="32">
        <v>0.0</v>
      </c>
      <c r="E290" s="198" t="str">
        <f t="shared" si="21"/>
        <v>#N/A</v>
      </c>
      <c r="F290" s="26" t="s">
        <v>1363</v>
      </c>
      <c r="G290" s="26"/>
      <c r="H290" s="28">
        <v>12.059999999999999</v>
      </c>
      <c r="I290" s="5">
        <f t="shared" si="17"/>
        <v>0.3266998342</v>
      </c>
      <c r="J290" s="17">
        <f t="shared" si="18"/>
        <v>1.97</v>
      </c>
      <c r="K290" s="11"/>
      <c r="L290" s="28">
        <f t="shared" si="3"/>
        <v>4.56</v>
      </c>
      <c r="M290" s="23">
        <f t="shared" si="52"/>
        <v>12.06</v>
      </c>
      <c r="N290" s="23">
        <f t="shared" si="5"/>
        <v>12.8439</v>
      </c>
      <c r="O290" s="95">
        <v>0.12</v>
      </c>
      <c r="P290" s="29"/>
      <c r="Q290" s="28">
        <f t="shared" si="6"/>
        <v>0</v>
      </c>
    </row>
    <row r="291" ht="18.75" customHeight="1">
      <c r="A291" s="26" t="s">
        <v>716</v>
      </c>
      <c r="B291" s="32">
        <v>16.0</v>
      </c>
      <c r="C291" s="41"/>
      <c r="D291" s="32">
        <v>0.0</v>
      </c>
      <c r="E291" s="198" t="str">
        <f t="shared" si="21"/>
        <v>#N/A</v>
      </c>
      <c r="F291" s="26" t="s">
        <v>1363</v>
      </c>
      <c r="G291" s="26"/>
      <c r="H291" s="28">
        <v>12.059999999999999</v>
      </c>
      <c r="I291" s="5">
        <f t="shared" si="17"/>
        <v>0.3266998342</v>
      </c>
      <c r="J291" s="17">
        <f t="shared" si="18"/>
        <v>1.97</v>
      </c>
      <c r="K291" s="11"/>
      <c r="L291" s="28">
        <f t="shared" si="3"/>
        <v>4.56</v>
      </c>
      <c r="M291" s="23">
        <f t="shared" si="52"/>
        <v>12.06</v>
      </c>
      <c r="N291" s="23">
        <f t="shared" si="5"/>
        <v>12.8439</v>
      </c>
      <c r="O291" s="95">
        <v>0.12</v>
      </c>
      <c r="P291" s="29"/>
      <c r="Q291" s="28">
        <f t="shared" si="6"/>
        <v>0</v>
      </c>
    </row>
    <row r="292" ht="18.75" customHeight="1">
      <c r="A292" s="26" t="s">
        <v>719</v>
      </c>
      <c r="B292" s="32">
        <v>16.0</v>
      </c>
      <c r="C292" s="41"/>
      <c r="D292" s="32">
        <v>0.0</v>
      </c>
      <c r="E292" s="198" t="str">
        <f t="shared" si="21"/>
        <v>#N/A</v>
      </c>
      <c r="F292" s="26" t="s">
        <v>1363</v>
      </c>
      <c r="G292" s="26"/>
      <c r="H292" s="28">
        <v>12.059999999999999</v>
      </c>
      <c r="I292" s="5">
        <f t="shared" si="17"/>
        <v>0.3266998342</v>
      </c>
      <c r="J292" s="17">
        <f t="shared" si="18"/>
        <v>1.97</v>
      </c>
      <c r="K292" s="11"/>
      <c r="L292" s="28">
        <f t="shared" si="3"/>
        <v>4.56</v>
      </c>
      <c r="M292" s="23">
        <f t="shared" si="52"/>
        <v>12.06</v>
      </c>
      <c r="N292" s="23">
        <f t="shared" si="5"/>
        <v>12.8439</v>
      </c>
      <c r="O292" s="95">
        <v>0.12</v>
      </c>
      <c r="P292" s="29"/>
      <c r="Q292" s="28">
        <f t="shared" si="6"/>
        <v>0</v>
      </c>
    </row>
    <row r="293" ht="18.75" customHeight="1">
      <c r="A293" s="26" t="s">
        <v>720</v>
      </c>
      <c r="B293" s="32">
        <v>11.0</v>
      </c>
      <c r="C293" s="41"/>
      <c r="D293" s="32">
        <v>8.0</v>
      </c>
      <c r="E293" s="198" t="str">
        <f t="shared" si="21"/>
        <v>#N/A</v>
      </c>
      <c r="F293" s="26" t="s">
        <v>1363</v>
      </c>
      <c r="G293" s="26"/>
      <c r="H293" s="28">
        <v>8.16</v>
      </c>
      <c r="I293" s="5">
        <f t="shared" si="17"/>
        <v>0.3480392157</v>
      </c>
      <c r="J293" s="17">
        <f t="shared" si="18"/>
        <v>1.42</v>
      </c>
      <c r="K293" s="11"/>
      <c r="L293" s="28">
        <f t="shared" si="3"/>
        <v>2.66</v>
      </c>
      <c r="M293" s="23">
        <f t="shared" ref="M293:M294" si="53">L293+5.5</f>
        <v>8.16</v>
      </c>
      <c r="N293" s="23">
        <f t="shared" si="5"/>
        <v>8.6904</v>
      </c>
      <c r="O293" s="95">
        <v>0.07</v>
      </c>
      <c r="P293" s="29"/>
      <c r="Q293" s="28">
        <f t="shared" si="6"/>
        <v>65.28</v>
      </c>
    </row>
    <row r="294" ht="18.75" customHeight="1">
      <c r="A294" s="26" t="s">
        <v>723</v>
      </c>
      <c r="B294" s="32">
        <v>11.0</v>
      </c>
      <c r="C294" s="41"/>
      <c r="D294" s="32">
        <v>8.0</v>
      </c>
      <c r="E294" s="198" t="str">
        <f t="shared" si="21"/>
        <v>#N/A</v>
      </c>
      <c r="F294" s="26" t="s">
        <v>1363</v>
      </c>
      <c r="G294" s="26"/>
      <c r="H294" s="28">
        <v>8.16</v>
      </c>
      <c r="I294" s="5">
        <f t="shared" si="17"/>
        <v>0.3480392157</v>
      </c>
      <c r="J294" s="17">
        <f t="shared" si="18"/>
        <v>1.42</v>
      </c>
      <c r="K294" s="11"/>
      <c r="L294" s="28">
        <f t="shared" si="3"/>
        <v>2.66</v>
      </c>
      <c r="M294" s="23">
        <f t="shared" si="53"/>
        <v>8.16</v>
      </c>
      <c r="N294" s="23">
        <f t="shared" si="5"/>
        <v>8.6904</v>
      </c>
      <c r="O294" s="95">
        <v>0.07</v>
      </c>
      <c r="P294" s="29"/>
      <c r="Q294" s="28">
        <f t="shared" si="6"/>
        <v>65.28</v>
      </c>
    </row>
    <row r="295" ht="18.75" customHeight="1">
      <c r="A295" s="26" t="s">
        <v>724</v>
      </c>
      <c r="B295" s="32">
        <v>125.0</v>
      </c>
      <c r="C295" s="41"/>
      <c r="D295" s="32">
        <v>0.0</v>
      </c>
      <c r="E295" s="198" t="str">
        <f t="shared" si="21"/>
        <v>#N/A</v>
      </c>
      <c r="F295" s="26" t="s">
        <v>1363</v>
      </c>
      <c r="G295" s="26"/>
      <c r="H295" s="28">
        <v>98.0</v>
      </c>
      <c r="I295" s="5">
        <f t="shared" si="17"/>
        <v>0.2755102041</v>
      </c>
      <c r="J295" s="17">
        <f t="shared" si="18"/>
        <v>13.5</v>
      </c>
      <c r="K295" s="11"/>
      <c r="L295" s="28">
        <f t="shared" si="3"/>
        <v>38</v>
      </c>
      <c r="M295" s="23">
        <f>L295+60</f>
        <v>98</v>
      </c>
      <c r="N295" s="23">
        <f t="shared" si="5"/>
        <v>104.37</v>
      </c>
      <c r="O295" s="95">
        <v>1.0</v>
      </c>
      <c r="P295" s="29"/>
      <c r="Q295" s="28">
        <f t="shared" si="6"/>
        <v>0</v>
      </c>
    </row>
    <row r="296" ht="18.75" customHeight="1">
      <c r="A296" s="26" t="s">
        <v>727</v>
      </c>
      <c r="B296" s="32">
        <v>100.0</v>
      </c>
      <c r="C296" s="41"/>
      <c r="D296" s="32">
        <v>5.0</v>
      </c>
      <c r="E296" s="198" t="str">
        <f t="shared" si="21"/>
        <v>#N/A</v>
      </c>
      <c r="F296" s="26" t="s">
        <v>1363</v>
      </c>
      <c r="G296" s="26"/>
      <c r="H296" s="28">
        <v>79.332</v>
      </c>
      <c r="I296" s="5">
        <f t="shared" si="17"/>
        <v>0.260525387</v>
      </c>
      <c r="J296" s="17">
        <f t="shared" si="18"/>
        <v>10.334</v>
      </c>
      <c r="K296" s="11"/>
      <c r="L296" s="28">
        <f t="shared" si="3"/>
        <v>42.332</v>
      </c>
      <c r="M296" s="23">
        <f>L296+37</f>
        <v>79.332</v>
      </c>
      <c r="N296" s="23">
        <f t="shared" si="5"/>
        <v>84.48858</v>
      </c>
      <c r="O296" s="95">
        <v>1.114</v>
      </c>
      <c r="P296" s="29"/>
      <c r="Q296" s="28">
        <f t="shared" si="6"/>
        <v>396.66</v>
      </c>
    </row>
    <row r="297" ht="18.75" customHeight="1">
      <c r="A297" s="199" t="s">
        <v>728</v>
      </c>
      <c r="B297" s="32">
        <v>20.0</v>
      </c>
      <c r="C297" s="41"/>
      <c r="D297" s="200">
        <v>1.0</v>
      </c>
      <c r="E297" s="198" t="str">
        <f t="shared" si="21"/>
        <v>#N/A</v>
      </c>
      <c r="F297" s="26" t="s">
        <v>1082</v>
      </c>
      <c r="G297" s="26"/>
      <c r="H297" s="28">
        <f t="shared" ref="H297:H298" si="54">N297</f>
        <v>10.08768</v>
      </c>
      <c r="I297" s="35">
        <f t="shared" si="17"/>
        <v>0.9826164192</v>
      </c>
      <c r="J297" s="37">
        <f t="shared" si="18"/>
        <v>4.95616</v>
      </c>
      <c r="K297" s="11"/>
      <c r="L297" s="28">
        <f t="shared" si="3"/>
        <v>2.242</v>
      </c>
      <c r="M297" s="23">
        <f t="shared" ref="M297:M298" si="55">L297+7.23</f>
        <v>9.472</v>
      </c>
      <c r="N297" s="23">
        <f t="shared" si="5"/>
        <v>10.08768</v>
      </c>
      <c r="O297" s="95">
        <v>0.059</v>
      </c>
      <c r="P297" s="29"/>
      <c r="Q297" s="28">
        <f t="shared" si="6"/>
        <v>10.08768</v>
      </c>
    </row>
    <row r="298" ht="18.75" customHeight="1">
      <c r="A298" s="199" t="s">
        <v>731</v>
      </c>
      <c r="B298" s="32">
        <v>20.0</v>
      </c>
      <c r="C298" s="41"/>
      <c r="D298" s="200">
        <v>4.0</v>
      </c>
      <c r="E298" s="198" t="str">
        <f t="shared" si="21"/>
        <v>#N/A</v>
      </c>
      <c r="F298" s="26" t="s">
        <v>1082</v>
      </c>
      <c r="G298" s="26"/>
      <c r="H298" s="28">
        <f t="shared" si="54"/>
        <v>10.00674</v>
      </c>
      <c r="I298" s="35">
        <f t="shared" si="17"/>
        <v>0.9986529079</v>
      </c>
      <c r="J298" s="37">
        <f t="shared" si="18"/>
        <v>4.99663</v>
      </c>
      <c r="K298" s="11"/>
      <c r="L298" s="28">
        <f t="shared" si="3"/>
        <v>2.166</v>
      </c>
      <c r="M298" s="23">
        <f t="shared" si="55"/>
        <v>9.396</v>
      </c>
      <c r="N298" s="23">
        <f t="shared" si="5"/>
        <v>10.00674</v>
      </c>
      <c r="O298" s="95">
        <v>0.057</v>
      </c>
      <c r="P298" s="29"/>
      <c r="Q298" s="28">
        <f t="shared" si="6"/>
        <v>40.02696</v>
      </c>
    </row>
    <row r="299" ht="18.75" customHeight="1">
      <c r="A299" s="201"/>
      <c r="B299" s="202"/>
      <c r="C299" s="204"/>
      <c r="D299" s="206"/>
      <c r="E299" s="207"/>
      <c r="F299" s="201"/>
      <c r="G299" s="201"/>
      <c r="H299" s="208"/>
      <c r="I299" s="209"/>
      <c r="J299" s="210"/>
      <c r="K299" s="206"/>
      <c r="L299" s="208"/>
      <c r="M299" s="208"/>
      <c r="N299" s="208"/>
      <c r="O299" s="211"/>
      <c r="P299" s="212"/>
      <c r="Q299" s="212"/>
    </row>
    <row r="300">
      <c r="A300" s="213" t="s">
        <v>735</v>
      </c>
      <c r="B300" s="214">
        <v>9.0</v>
      </c>
      <c r="C300" s="215"/>
      <c r="D300" s="216">
        <v>228.0</v>
      </c>
      <c r="E300" s="78" t="str">
        <f t="shared" ref="E300:E302" si="56">D300 + SUMIF('Hoja 33'!A:A, A300, 'Hoja 33'!B:B)</f>
        <v>#N/A</v>
      </c>
      <c r="F300" s="213" t="s">
        <v>1404</v>
      </c>
      <c r="G300" s="213" t="s">
        <v>1405</v>
      </c>
      <c r="H300" s="217">
        <v>6.09</v>
      </c>
      <c r="I300" s="218">
        <f t="shared" ref="I300:I303" si="57">(B300/H300)-1</f>
        <v>0.4778325123</v>
      </c>
      <c r="J300" s="219">
        <f t="shared" ref="J300:J303" si="58">(B300-H300)/2</f>
        <v>1.455</v>
      </c>
      <c r="K300" s="11"/>
      <c r="L300" s="28" t="str">
        <f t="shared" ref="L300:L303" si="59">(O300*38)</f>
        <v>#N/A</v>
      </c>
      <c r="M300" s="28" t="str">
        <f t="shared" ref="M300:M302" si="60">L300+250</f>
        <v>#N/A</v>
      </c>
      <c r="N300" s="28" t="str">
        <f t="shared" ref="N300:N303" si="61">M300*1.065</f>
        <v>#N/A</v>
      </c>
      <c r="O300" s="74" t="e">
        <v>#N/A</v>
      </c>
      <c r="P300" s="29"/>
      <c r="Q300" s="28">
        <f t="shared" ref="Q300:Q302" si="62">H300*D300</f>
        <v>1388.52</v>
      </c>
    </row>
    <row r="301" ht="18.75" customHeight="1">
      <c r="A301" s="213" t="s">
        <v>736</v>
      </c>
      <c r="B301" s="214">
        <v>12.0</v>
      </c>
      <c r="C301" s="215"/>
      <c r="D301" s="216">
        <v>188.0</v>
      </c>
      <c r="E301" s="78" t="str">
        <f t="shared" si="56"/>
        <v>#N/A</v>
      </c>
      <c r="F301" s="213" t="s">
        <v>1404</v>
      </c>
      <c r="G301" s="213" t="s">
        <v>1405</v>
      </c>
      <c r="H301" s="217">
        <v>7.890000000000001</v>
      </c>
      <c r="I301" s="218">
        <f t="shared" si="57"/>
        <v>0.5209125475</v>
      </c>
      <c r="J301" s="219">
        <f t="shared" si="58"/>
        <v>2.055</v>
      </c>
      <c r="K301" s="11"/>
      <c r="L301" s="28" t="str">
        <f t="shared" si="59"/>
        <v>#N/A</v>
      </c>
      <c r="M301" s="28" t="str">
        <f t="shared" si="60"/>
        <v>#N/A</v>
      </c>
      <c r="N301" s="28" t="str">
        <f t="shared" si="61"/>
        <v>#N/A</v>
      </c>
      <c r="O301" s="74" t="e">
        <v>#N/A</v>
      </c>
      <c r="P301" s="29"/>
      <c r="Q301" s="28">
        <f t="shared" si="62"/>
        <v>1483.32</v>
      </c>
    </row>
    <row r="302" ht="18.75" customHeight="1">
      <c r="A302" s="213" t="s">
        <v>737</v>
      </c>
      <c r="B302" s="214">
        <v>9.0</v>
      </c>
      <c r="C302" s="215"/>
      <c r="D302" s="216">
        <v>228.0</v>
      </c>
      <c r="E302" s="78" t="str">
        <f t="shared" si="56"/>
        <v>#N/A</v>
      </c>
      <c r="F302" s="213" t="s">
        <v>1404</v>
      </c>
      <c r="G302" s="213" t="s">
        <v>1405</v>
      </c>
      <c r="H302" s="217">
        <v>6.09</v>
      </c>
      <c r="I302" s="218">
        <f t="shared" si="57"/>
        <v>0.4778325123</v>
      </c>
      <c r="J302" s="219">
        <f t="shared" si="58"/>
        <v>1.455</v>
      </c>
      <c r="K302" s="11"/>
      <c r="L302" s="28" t="str">
        <f t="shared" si="59"/>
        <v>#N/A</v>
      </c>
      <c r="M302" s="28" t="str">
        <f t="shared" si="60"/>
        <v>#N/A</v>
      </c>
      <c r="N302" s="28" t="str">
        <f t="shared" si="61"/>
        <v>#N/A</v>
      </c>
      <c r="O302" s="74" t="e">
        <v>#N/A</v>
      </c>
      <c r="P302" s="29"/>
      <c r="Q302" s="28">
        <f t="shared" si="62"/>
        <v>1388.52</v>
      </c>
    </row>
    <row r="303">
      <c r="A303" s="220" t="s">
        <v>740</v>
      </c>
      <c r="B303" s="181">
        <v>299.0</v>
      </c>
      <c r="C303" s="221"/>
      <c r="D303" s="178">
        <v>21.0</v>
      </c>
      <c r="E303" s="221"/>
      <c r="F303" s="181" t="s">
        <v>1406</v>
      </c>
      <c r="G303" s="221"/>
      <c r="H303" s="222">
        <f>N303</f>
        <v>236.004</v>
      </c>
      <c r="I303" s="183">
        <f t="shared" si="57"/>
        <v>0.2669276792</v>
      </c>
      <c r="J303" s="184">
        <f t="shared" si="58"/>
        <v>31.498</v>
      </c>
      <c r="L303" s="28">
        <f t="shared" si="59"/>
        <v>26.6</v>
      </c>
      <c r="M303" s="23">
        <f>L303+195</f>
        <v>221.6</v>
      </c>
      <c r="N303" s="23">
        <f t="shared" si="61"/>
        <v>236.004</v>
      </c>
      <c r="O303" s="223">
        <v>0.7</v>
      </c>
    </row>
    <row r="304" ht="18.75" customHeight="1">
      <c r="A304" s="4"/>
      <c r="B304" s="14"/>
      <c r="C304" s="6"/>
      <c r="D304" s="59"/>
      <c r="E304" s="78"/>
      <c r="F304" s="4"/>
      <c r="G304" s="4"/>
      <c r="H304" s="12"/>
      <c r="I304" s="5"/>
      <c r="J304" s="17"/>
      <c r="K304" s="11"/>
      <c r="L304" s="28"/>
      <c r="M304" s="28"/>
      <c r="N304" s="28"/>
      <c r="O304" s="74"/>
      <c r="P304" s="29"/>
      <c r="Q304" s="29"/>
    </row>
    <row r="305" ht="18.75" customHeight="1">
      <c r="A305" s="4"/>
      <c r="B305" s="14"/>
      <c r="C305" s="6"/>
      <c r="D305" s="59"/>
      <c r="E305" s="78"/>
      <c r="F305" s="4"/>
      <c r="G305" s="4"/>
      <c r="H305" s="12"/>
      <c r="I305" s="5"/>
      <c r="J305" s="17"/>
      <c r="K305" s="11"/>
      <c r="L305" s="28"/>
      <c r="M305" s="28"/>
      <c r="N305" s="28"/>
      <c r="O305" s="74"/>
      <c r="P305" s="29"/>
      <c r="Q305" s="29"/>
    </row>
    <row r="306" ht="18.75" customHeight="1">
      <c r="A306" s="4"/>
      <c r="B306" s="14"/>
      <c r="C306" s="6"/>
      <c r="D306" s="59"/>
      <c r="E306" s="78"/>
      <c r="F306" s="4"/>
      <c r="G306" s="4"/>
      <c r="H306" s="12"/>
      <c r="I306" s="5"/>
      <c r="J306" s="17"/>
      <c r="K306" s="11"/>
      <c r="L306" s="28"/>
      <c r="M306" s="28"/>
      <c r="N306" s="28"/>
      <c r="O306" s="74"/>
      <c r="P306" s="29"/>
      <c r="Q306" s="29"/>
    </row>
    <row r="307" ht="18.75" customHeight="1">
      <c r="A307" s="4"/>
      <c r="B307" s="14"/>
      <c r="C307" s="6"/>
      <c r="D307" s="59"/>
      <c r="E307" s="78"/>
      <c r="F307" s="4"/>
      <c r="G307" s="4"/>
      <c r="H307" s="12"/>
      <c r="I307" s="5"/>
      <c r="J307" s="17"/>
      <c r="K307" s="11"/>
      <c r="L307" s="28"/>
      <c r="M307" s="28"/>
      <c r="N307" s="28"/>
      <c r="O307" s="74"/>
      <c r="P307" s="29"/>
      <c r="Q307" s="29"/>
    </row>
    <row r="308" ht="18.75" customHeight="1">
      <c r="A308" s="4"/>
      <c r="B308" s="14"/>
      <c r="C308" s="6"/>
      <c r="D308" s="59"/>
      <c r="E308" s="78"/>
      <c r="F308" s="4"/>
      <c r="G308" s="4"/>
      <c r="H308" s="12"/>
      <c r="I308" s="5"/>
      <c r="J308" s="17"/>
      <c r="K308" s="11"/>
      <c r="L308" s="28"/>
      <c r="M308" s="28"/>
      <c r="N308" s="28"/>
      <c r="O308" s="74"/>
      <c r="P308" s="29"/>
      <c r="Q308" s="29"/>
    </row>
    <row r="309" ht="18.75" customHeight="1">
      <c r="A309" s="4" t="s">
        <v>743</v>
      </c>
      <c r="B309" s="14">
        <v>15.0</v>
      </c>
      <c r="C309" s="6" t="s">
        <v>32</v>
      </c>
      <c r="D309" s="59">
        <v>0.0</v>
      </c>
      <c r="E309" s="78" t="str">
        <f t="shared" ref="E309:E363" si="63">D309 + SUMIF('Hoja 33'!A:A, A309, 'Hoja 33'!B:B)</f>
        <v>#N/A</v>
      </c>
      <c r="F309" s="4" t="s">
        <v>1407</v>
      </c>
      <c r="G309" s="4" t="s">
        <v>1408</v>
      </c>
      <c r="H309" s="12"/>
      <c r="I309" s="5" t="str">
        <f t="shared" ref="I309:I363" si="64">(B309/H309)-1</f>
        <v>#DIV/0!</v>
      </c>
      <c r="J309" s="17">
        <f t="shared" ref="J309:J363" si="65">(B309-H309)/2</f>
        <v>7.5</v>
      </c>
      <c r="K309" s="11"/>
      <c r="L309" s="28" t="str">
        <f t="shared" ref="L309:L363" si="66">(O309*38)</f>
        <v>#N/A</v>
      </c>
      <c r="M309" s="28" t="str">
        <f t="shared" ref="M309:M363" si="67">L309+250</f>
        <v>#N/A</v>
      </c>
      <c r="N309" s="28" t="str">
        <f t="shared" ref="N309:N363" si="68">M309*1.065</f>
        <v>#N/A</v>
      </c>
      <c r="O309" s="74" t="e">
        <v>#N/A</v>
      </c>
      <c r="P309" s="29"/>
      <c r="Q309" s="28">
        <f t="shared" ref="Q309:Q363" si="69">H309*D309</f>
        <v>0</v>
      </c>
    </row>
    <row r="310" ht="18.75" customHeight="1">
      <c r="A310" s="4" t="s">
        <v>746</v>
      </c>
      <c r="B310" s="14">
        <v>12.0</v>
      </c>
      <c r="C310" s="6" t="s">
        <v>32</v>
      </c>
      <c r="D310" s="59">
        <v>0.0</v>
      </c>
      <c r="E310" s="78" t="str">
        <f t="shared" si="63"/>
        <v>#N/A</v>
      </c>
      <c r="F310" s="4" t="s">
        <v>1407</v>
      </c>
      <c r="G310" s="4" t="s">
        <v>1408</v>
      </c>
      <c r="H310" s="12"/>
      <c r="I310" s="5" t="str">
        <f t="shared" si="64"/>
        <v>#DIV/0!</v>
      </c>
      <c r="J310" s="17">
        <f t="shared" si="65"/>
        <v>6</v>
      </c>
      <c r="K310" s="11"/>
      <c r="L310" s="28" t="str">
        <f t="shared" si="66"/>
        <v>#N/A</v>
      </c>
      <c r="M310" s="28" t="str">
        <f t="shared" si="67"/>
        <v>#N/A</v>
      </c>
      <c r="N310" s="28" t="str">
        <f t="shared" si="68"/>
        <v>#N/A</v>
      </c>
      <c r="O310" s="74" t="e">
        <v>#N/A</v>
      </c>
      <c r="P310" s="29"/>
      <c r="Q310" s="28">
        <f t="shared" si="69"/>
        <v>0</v>
      </c>
    </row>
    <row r="311" ht="18.75" customHeight="1">
      <c r="A311" s="4" t="s">
        <v>747</v>
      </c>
      <c r="B311" s="14">
        <v>12.0</v>
      </c>
      <c r="C311" s="6" t="s">
        <v>32</v>
      </c>
      <c r="D311" s="59">
        <v>0.0</v>
      </c>
      <c r="E311" s="78" t="str">
        <f t="shared" si="63"/>
        <v>#N/A</v>
      </c>
      <c r="F311" s="4" t="s">
        <v>1407</v>
      </c>
      <c r="G311" s="4" t="s">
        <v>1408</v>
      </c>
      <c r="H311" s="12"/>
      <c r="I311" s="5" t="str">
        <f t="shared" si="64"/>
        <v>#DIV/0!</v>
      </c>
      <c r="J311" s="17">
        <f t="shared" si="65"/>
        <v>6</v>
      </c>
      <c r="K311" s="11"/>
      <c r="L311" s="28" t="str">
        <f t="shared" si="66"/>
        <v>#N/A</v>
      </c>
      <c r="M311" s="28" t="str">
        <f t="shared" si="67"/>
        <v>#N/A</v>
      </c>
      <c r="N311" s="28" t="str">
        <f t="shared" si="68"/>
        <v>#N/A</v>
      </c>
      <c r="O311" s="74" t="e">
        <v>#N/A</v>
      </c>
      <c r="P311" s="29"/>
      <c r="Q311" s="28">
        <f t="shared" si="69"/>
        <v>0</v>
      </c>
    </row>
    <row r="312" ht="18.75" customHeight="1">
      <c r="A312" s="4" t="s">
        <v>749</v>
      </c>
      <c r="B312" s="14">
        <v>330.0</v>
      </c>
      <c r="C312" s="6" t="s">
        <v>32</v>
      </c>
      <c r="D312" s="59">
        <v>0.0</v>
      </c>
      <c r="E312" s="78" t="str">
        <f t="shared" si="63"/>
        <v>#N/A</v>
      </c>
      <c r="F312" s="4" t="s">
        <v>1410</v>
      </c>
      <c r="H312" s="12"/>
      <c r="I312" s="5" t="str">
        <f t="shared" si="64"/>
        <v>#DIV/0!</v>
      </c>
      <c r="J312" s="17">
        <f t="shared" si="65"/>
        <v>165</v>
      </c>
      <c r="K312" s="11"/>
      <c r="L312" s="28" t="str">
        <f t="shared" si="66"/>
        <v>#N/A</v>
      </c>
      <c r="M312" s="28" t="str">
        <f t="shared" si="67"/>
        <v>#N/A</v>
      </c>
      <c r="N312" s="28" t="str">
        <f t="shared" si="68"/>
        <v>#N/A</v>
      </c>
      <c r="O312" s="74" t="e">
        <v>#N/A</v>
      </c>
      <c r="P312" s="29"/>
      <c r="Q312" s="28">
        <f t="shared" si="69"/>
        <v>0</v>
      </c>
    </row>
    <row r="313" ht="18.75" customHeight="1">
      <c r="A313" s="4" t="s">
        <v>752</v>
      </c>
      <c r="B313" s="14">
        <v>310.0</v>
      </c>
      <c r="C313" s="6" t="s">
        <v>32</v>
      </c>
      <c r="D313" s="59">
        <v>0.0</v>
      </c>
      <c r="E313" s="78" t="str">
        <f t="shared" si="63"/>
        <v>#N/A</v>
      </c>
      <c r="F313" s="4" t="s">
        <v>1410</v>
      </c>
      <c r="H313" s="12"/>
      <c r="I313" s="5" t="str">
        <f t="shared" si="64"/>
        <v>#DIV/0!</v>
      </c>
      <c r="J313" s="17">
        <f t="shared" si="65"/>
        <v>155</v>
      </c>
      <c r="K313" s="11"/>
      <c r="L313" s="28" t="str">
        <f t="shared" si="66"/>
        <v>#N/A</v>
      </c>
      <c r="M313" s="28" t="str">
        <f t="shared" si="67"/>
        <v>#N/A</v>
      </c>
      <c r="N313" s="28" t="str">
        <f t="shared" si="68"/>
        <v>#N/A</v>
      </c>
      <c r="O313" s="74" t="e">
        <v>#N/A</v>
      </c>
      <c r="P313" s="29"/>
      <c r="Q313" s="28">
        <f t="shared" si="69"/>
        <v>0</v>
      </c>
    </row>
    <row r="314" ht="18.75" customHeight="1">
      <c r="A314" s="4" t="s">
        <v>753</v>
      </c>
      <c r="B314" s="14">
        <v>110.0</v>
      </c>
      <c r="C314" s="6" t="s">
        <v>32</v>
      </c>
      <c r="D314" s="59">
        <v>0.0</v>
      </c>
      <c r="E314" s="78" t="str">
        <f t="shared" si="63"/>
        <v>#N/A</v>
      </c>
      <c r="F314" s="4" t="s">
        <v>1410</v>
      </c>
      <c r="H314" s="12"/>
      <c r="I314" s="5" t="str">
        <f t="shared" si="64"/>
        <v>#DIV/0!</v>
      </c>
      <c r="J314" s="17">
        <f t="shared" si="65"/>
        <v>55</v>
      </c>
      <c r="K314" s="11"/>
      <c r="L314" s="28" t="str">
        <f t="shared" si="66"/>
        <v>#N/A</v>
      </c>
      <c r="M314" s="28" t="str">
        <f t="shared" si="67"/>
        <v>#N/A</v>
      </c>
      <c r="N314" s="28" t="str">
        <f t="shared" si="68"/>
        <v>#N/A</v>
      </c>
      <c r="O314" s="74" t="e">
        <v>#N/A</v>
      </c>
      <c r="P314" s="29"/>
      <c r="Q314" s="28">
        <f t="shared" si="69"/>
        <v>0</v>
      </c>
    </row>
    <row r="315" ht="18.75" customHeight="1">
      <c r="A315" s="4" t="s">
        <v>756</v>
      </c>
      <c r="B315" s="14">
        <v>25.0</v>
      </c>
      <c r="C315" s="6" t="s">
        <v>32</v>
      </c>
      <c r="D315" s="59">
        <v>0.0</v>
      </c>
      <c r="E315" s="78" t="str">
        <f t="shared" si="63"/>
        <v>#N/A</v>
      </c>
      <c r="F315" s="4" t="s">
        <v>1410</v>
      </c>
      <c r="H315" s="12"/>
      <c r="I315" s="5" t="str">
        <f t="shared" si="64"/>
        <v>#DIV/0!</v>
      </c>
      <c r="J315" s="17">
        <f t="shared" si="65"/>
        <v>12.5</v>
      </c>
      <c r="K315" s="11"/>
      <c r="L315" s="28" t="str">
        <f t="shared" si="66"/>
        <v>#N/A</v>
      </c>
      <c r="M315" s="28" t="str">
        <f t="shared" si="67"/>
        <v>#N/A</v>
      </c>
      <c r="N315" s="28" t="str">
        <f t="shared" si="68"/>
        <v>#N/A</v>
      </c>
      <c r="O315" s="74" t="e">
        <v>#N/A</v>
      </c>
      <c r="P315" s="29"/>
      <c r="Q315" s="28">
        <f t="shared" si="69"/>
        <v>0</v>
      </c>
    </row>
    <row r="316" ht="18.75" customHeight="1">
      <c r="A316" s="4" t="s">
        <v>757</v>
      </c>
      <c r="B316" s="14">
        <v>30.0</v>
      </c>
      <c r="C316" s="6" t="s">
        <v>32</v>
      </c>
      <c r="D316" s="59">
        <v>0.0</v>
      </c>
      <c r="E316" s="78" t="str">
        <f t="shared" si="63"/>
        <v>#N/A</v>
      </c>
      <c r="F316" s="4" t="s">
        <v>1410</v>
      </c>
      <c r="G316" s="4" t="s">
        <v>1412</v>
      </c>
      <c r="H316" s="7">
        <v>17.35</v>
      </c>
      <c r="I316" s="5">
        <f t="shared" si="64"/>
        <v>0.7291066282</v>
      </c>
      <c r="J316" s="17">
        <f t="shared" si="65"/>
        <v>6.325</v>
      </c>
      <c r="K316" s="11"/>
      <c r="L316" s="28" t="str">
        <f t="shared" si="66"/>
        <v>#N/A</v>
      </c>
      <c r="M316" s="28" t="str">
        <f t="shared" si="67"/>
        <v>#N/A</v>
      </c>
      <c r="N316" s="28" t="str">
        <f t="shared" si="68"/>
        <v>#N/A</v>
      </c>
      <c r="O316" s="74" t="e">
        <v>#N/A</v>
      </c>
      <c r="P316" s="29"/>
      <c r="Q316" s="28">
        <f t="shared" si="69"/>
        <v>0</v>
      </c>
    </row>
    <row r="317" ht="18.75" customHeight="1">
      <c r="A317" s="4" t="s">
        <v>759</v>
      </c>
      <c r="B317" s="14">
        <v>85.0</v>
      </c>
      <c r="C317" s="6" t="s">
        <v>32</v>
      </c>
      <c r="D317" s="59">
        <v>0.0</v>
      </c>
      <c r="E317" s="78" t="str">
        <f t="shared" si="63"/>
        <v>#N/A</v>
      </c>
      <c r="F317" s="4" t="s">
        <v>1410</v>
      </c>
      <c r="H317" s="12"/>
      <c r="I317" s="5" t="str">
        <f t="shared" si="64"/>
        <v>#DIV/0!</v>
      </c>
      <c r="J317" s="17">
        <f t="shared" si="65"/>
        <v>42.5</v>
      </c>
      <c r="K317" s="11"/>
      <c r="L317" s="28" t="str">
        <f t="shared" si="66"/>
        <v>#N/A</v>
      </c>
      <c r="M317" s="28" t="str">
        <f t="shared" si="67"/>
        <v>#N/A</v>
      </c>
      <c r="N317" s="28" t="str">
        <f t="shared" si="68"/>
        <v>#N/A</v>
      </c>
      <c r="O317" s="74" t="e">
        <v>#N/A</v>
      </c>
      <c r="P317" s="29"/>
      <c r="Q317" s="28">
        <f t="shared" si="69"/>
        <v>0</v>
      </c>
    </row>
    <row r="318" ht="18.75" customHeight="1">
      <c r="A318" s="4" t="s">
        <v>761</v>
      </c>
      <c r="B318" s="14">
        <v>25.0</v>
      </c>
      <c r="C318" s="6" t="s">
        <v>32</v>
      </c>
      <c r="D318" s="59">
        <v>0.0</v>
      </c>
      <c r="E318" s="78" t="str">
        <f t="shared" si="63"/>
        <v>#N/A</v>
      </c>
      <c r="F318" s="4" t="s">
        <v>1410</v>
      </c>
      <c r="H318" s="12"/>
      <c r="I318" s="5" t="str">
        <f t="shared" si="64"/>
        <v>#DIV/0!</v>
      </c>
      <c r="J318" s="17">
        <f t="shared" si="65"/>
        <v>12.5</v>
      </c>
      <c r="K318" s="11"/>
      <c r="L318" s="28" t="str">
        <f t="shared" si="66"/>
        <v>#N/A</v>
      </c>
      <c r="M318" s="28" t="str">
        <f t="shared" si="67"/>
        <v>#N/A</v>
      </c>
      <c r="N318" s="28" t="str">
        <f t="shared" si="68"/>
        <v>#N/A</v>
      </c>
      <c r="O318" s="74" t="e">
        <v>#N/A</v>
      </c>
      <c r="P318" s="29"/>
      <c r="Q318" s="28">
        <f t="shared" si="69"/>
        <v>0</v>
      </c>
    </row>
    <row r="319" ht="18.75" customHeight="1">
      <c r="A319" s="4" t="s">
        <v>762</v>
      </c>
      <c r="B319" s="14">
        <v>25.0</v>
      </c>
      <c r="C319" s="6" t="s">
        <v>32</v>
      </c>
      <c r="D319" s="59">
        <v>0.0</v>
      </c>
      <c r="E319" s="78" t="str">
        <f t="shared" si="63"/>
        <v>#N/A</v>
      </c>
      <c r="F319" s="4" t="s">
        <v>1410</v>
      </c>
      <c r="H319" s="12"/>
      <c r="I319" s="5" t="str">
        <f t="shared" si="64"/>
        <v>#DIV/0!</v>
      </c>
      <c r="J319" s="17">
        <f t="shared" si="65"/>
        <v>12.5</v>
      </c>
      <c r="K319" s="11"/>
      <c r="L319" s="28" t="str">
        <f t="shared" si="66"/>
        <v>#N/A</v>
      </c>
      <c r="M319" s="28" t="str">
        <f t="shared" si="67"/>
        <v>#N/A</v>
      </c>
      <c r="N319" s="28" t="str">
        <f t="shared" si="68"/>
        <v>#N/A</v>
      </c>
      <c r="O319" s="74" t="e">
        <v>#N/A</v>
      </c>
      <c r="P319" s="29"/>
      <c r="Q319" s="28">
        <f t="shared" si="69"/>
        <v>0</v>
      </c>
    </row>
    <row r="320" ht="18.75" customHeight="1">
      <c r="A320" s="4" t="s">
        <v>764</v>
      </c>
      <c r="B320" s="14">
        <v>40.0</v>
      </c>
      <c r="C320" s="6" t="s">
        <v>32</v>
      </c>
      <c r="D320" s="59">
        <v>0.0</v>
      </c>
      <c r="E320" s="78" t="str">
        <f t="shared" si="63"/>
        <v>#N/A</v>
      </c>
      <c r="F320" s="4" t="s">
        <v>1410</v>
      </c>
      <c r="H320" s="12"/>
      <c r="I320" s="5" t="str">
        <f t="shared" si="64"/>
        <v>#DIV/0!</v>
      </c>
      <c r="J320" s="17">
        <f t="shared" si="65"/>
        <v>20</v>
      </c>
      <c r="K320" s="11"/>
      <c r="L320" s="28" t="str">
        <f t="shared" si="66"/>
        <v>#N/A</v>
      </c>
      <c r="M320" s="28" t="str">
        <f t="shared" si="67"/>
        <v>#N/A</v>
      </c>
      <c r="N320" s="28" t="str">
        <f t="shared" si="68"/>
        <v>#N/A</v>
      </c>
      <c r="O320" s="74" t="e">
        <v>#N/A</v>
      </c>
      <c r="P320" s="29"/>
      <c r="Q320" s="28">
        <f t="shared" si="69"/>
        <v>0</v>
      </c>
    </row>
    <row r="321" ht="18.75" customHeight="1">
      <c r="A321" s="4" t="s">
        <v>766</v>
      </c>
      <c r="B321" s="14">
        <v>45.0</v>
      </c>
      <c r="C321" s="6" t="s">
        <v>32</v>
      </c>
      <c r="D321" s="59">
        <v>0.0</v>
      </c>
      <c r="E321" s="78" t="str">
        <f t="shared" si="63"/>
        <v>#N/A</v>
      </c>
      <c r="F321" s="4" t="s">
        <v>1410</v>
      </c>
      <c r="H321" s="12"/>
      <c r="I321" s="5" t="str">
        <f t="shared" si="64"/>
        <v>#DIV/0!</v>
      </c>
      <c r="J321" s="17">
        <f t="shared" si="65"/>
        <v>22.5</v>
      </c>
      <c r="K321" s="11"/>
      <c r="L321" s="28" t="str">
        <f t="shared" si="66"/>
        <v>#N/A</v>
      </c>
      <c r="M321" s="28" t="str">
        <f t="shared" si="67"/>
        <v>#N/A</v>
      </c>
      <c r="N321" s="28" t="str">
        <f t="shared" si="68"/>
        <v>#N/A</v>
      </c>
      <c r="O321" s="74" t="e">
        <v>#N/A</v>
      </c>
      <c r="P321" s="29"/>
      <c r="Q321" s="28">
        <f t="shared" si="69"/>
        <v>0</v>
      </c>
    </row>
    <row r="322" ht="18.75" customHeight="1">
      <c r="A322" s="4" t="s">
        <v>767</v>
      </c>
      <c r="B322" s="14">
        <v>60.0</v>
      </c>
      <c r="C322" s="6" t="s">
        <v>32</v>
      </c>
      <c r="D322" s="59">
        <v>0.0</v>
      </c>
      <c r="E322" s="78" t="str">
        <f t="shared" si="63"/>
        <v>#N/A</v>
      </c>
      <c r="F322" s="4" t="s">
        <v>1410</v>
      </c>
      <c r="H322" s="12"/>
      <c r="I322" s="5" t="str">
        <f t="shared" si="64"/>
        <v>#DIV/0!</v>
      </c>
      <c r="J322" s="17">
        <f t="shared" si="65"/>
        <v>30</v>
      </c>
      <c r="K322" s="11"/>
      <c r="L322" s="28" t="str">
        <f t="shared" si="66"/>
        <v>#N/A</v>
      </c>
      <c r="M322" s="28" t="str">
        <f t="shared" si="67"/>
        <v>#N/A</v>
      </c>
      <c r="N322" s="28" t="str">
        <f t="shared" si="68"/>
        <v>#N/A</v>
      </c>
      <c r="O322" s="74" t="e">
        <v>#N/A</v>
      </c>
      <c r="P322" s="29"/>
      <c r="Q322" s="28">
        <f t="shared" si="69"/>
        <v>0</v>
      </c>
    </row>
    <row r="323" ht="18.75" customHeight="1">
      <c r="A323" s="4" t="s">
        <v>768</v>
      </c>
      <c r="B323" s="14">
        <v>55.0</v>
      </c>
      <c r="C323" s="6" t="s">
        <v>32</v>
      </c>
      <c r="D323" s="59">
        <v>0.0</v>
      </c>
      <c r="E323" s="78" t="str">
        <f t="shared" si="63"/>
        <v>#N/A</v>
      </c>
      <c r="F323" s="4" t="s">
        <v>1410</v>
      </c>
      <c r="H323" s="12"/>
      <c r="I323" s="5" t="str">
        <f t="shared" si="64"/>
        <v>#DIV/0!</v>
      </c>
      <c r="J323" s="17">
        <f t="shared" si="65"/>
        <v>27.5</v>
      </c>
      <c r="K323" s="11"/>
      <c r="L323" s="28" t="str">
        <f t="shared" si="66"/>
        <v>#N/A</v>
      </c>
      <c r="M323" s="28" t="str">
        <f t="shared" si="67"/>
        <v>#N/A</v>
      </c>
      <c r="N323" s="28" t="str">
        <f t="shared" si="68"/>
        <v>#N/A</v>
      </c>
      <c r="O323" s="74" t="e">
        <v>#N/A</v>
      </c>
      <c r="P323" s="29"/>
      <c r="Q323" s="28">
        <f t="shared" si="69"/>
        <v>0</v>
      </c>
    </row>
    <row r="324" ht="18.75" customHeight="1">
      <c r="A324" s="4" t="s">
        <v>769</v>
      </c>
      <c r="B324" s="14">
        <v>40.0</v>
      </c>
      <c r="C324" s="6" t="s">
        <v>32</v>
      </c>
      <c r="D324" s="59">
        <v>0.0</v>
      </c>
      <c r="E324" s="78" t="str">
        <f t="shared" si="63"/>
        <v>#N/A</v>
      </c>
      <c r="F324" s="4" t="s">
        <v>1410</v>
      </c>
      <c r="H324" s="12"/>
      <c r="I324" s="5" t="str">
        <f t="shared" si="64"/>
        <v>#DIV/0!</v>
      </c>
      <c r="J324" s="17">
        <f t="shared" si="65"/>
        <v>20</v>
      </c>
      <c r="K324" s="11"/>
      <c r="L324" s="28" t="str">
        <f t="shared" si="66"/>
        <v>#N/A</v>
      </c>
      <c r="M324" s="28" t="str">
        <f t="shared" si="67"/>
        <v>#N/A</v>
      </c>
      <c r="N324" s="28" t="str">
        <f t="shared" si="68"/>
        <v>#N/A</v>
      </c>
      <c r="O324" s="74" t="e">
        <v>#N/A</v>
      </c>
      <c r="P324" s="29"/>
      <c r="Q324" s="28">
        <f t="shared" si="69"/>
        <v>0</v>
      </c>
    </row>
    <row r="325" ht="18.75" customHeight="1">
      <c r="A325" s="4" t="s">
        <v>771</v>
      </c>
      <c r="B325" s="14">
        <v>30.0</v>
      </c>
      <c r="C325" s="6" t="s">
        <v>32</v>
      </c>
      <c r="D325" s="59">
        <v>0.0</v>
      </c>
      <c r="E325" s="78" t="str">
        <f t="shared" si="63"/>
        <v>#N/A</v>
      </c>
      <c r="F325" s="4" t="s">
        <v>1410</v>
      </c>
      <c r="H325" s="12"/>
      <c r="I325" s="5" t="str">
        <f t="shared" si="64"/>
        <v>#DIV/0!</v>
      </c>
      <c r="J325" s="17">
        <f t="shared" si="65"/>
        <v>15</v>
      </c>
      <c r="K325" s="11"/>
      <c r="L325" s="28" t="str">
        <f t="shared" si="66"/>
        <v>#N/A</v>
      </c>
      <c r="M325" s="28" t="str">
        <f t="shared" si="67"/>
        <v>#N/A</v>
      </c>
      <c r="N325" s="28" t="str">
        <f t="shared" si="68"/>
        <v>#N/A</v>
      </c>
      <c r="O325" s="74" t="e">
        <v>#N/A</v>
      </c>
      <c r="P325" s="29"/>
      <c r="Q325" s="28">
        <f t="shared" si="69"/>
        <v>0</v>
      </c>
    </row>
    <row r="326" ht="18.75" customHeight="1">
      <c r="A326" s="4" t="s">
        <v>772</v>
      </c>
      <c r="B326" s="14">
        <v>28.0</v>
      </c>
      <c r="C326" s="6" t="s">
        <v>32</v>
      </c>
      <c r="D326" s="59">
        <v>0.0</v>
      </c>
      <c r="E326" s="78" t="str">
        <f t="shared" si="63"/>
        <v>#N/A</v>
      </c>
      <c r="F326" s="4" t="s">
        <v>1410</v>
      </c>
      <c r="H326" s="12"/>
      <c r="I326" s="5" t="str">
        <f t="shared" si="64"/>
        <v>#DIV/0!</v>
      </c>
      <c r="J326" s="17">
        <f t="shared" si="65"/>
        <v>14</v>
      </c>
      <c r="K326" s="11"/>
      <c r="L326" s="28" t="str">
        <f t="shared" si="66"/>
        <v>#N/A</v>
      </c>
      <c r="M326" s="28" t="str">
        <f t="shared" si="67"/>
        <v>#N/A</v>
      </c>
      <c r="N326" s="28" t="str">
        <f t="shared" si="68"/>
        <v>#N/A</v>
      </c>
      <c r="O326" s="74" t="e">
        <v>#N/A</v>
      </c>
      <c r="P326" s="29"/>
      <c r="Q326" s="28">
        <f t="shared" si="69"/>
        <v>0</v>
      </c>
    </row>
    <row r="327" ht="18.75" customHeight="1">
      <c r="A327" s="4" t="s">
        <v>773</v>
      </c>
      <c r="B327" s="14">
        <v>27.0</v>
      </c>
      <c r="C327" s="6" t="s">
        <v>32</v>
      </c>
      <c r="D327" s="59">
        <v>0.0</v>
      </c>
      <c r="E327" s="78" t="str">
        <f t="shared" si="63"/>
        <v>#N/A</v>
      </c>
      <c r="F327" s="4" t="s">
        <v>1410</v>
      </c>
      <c r="H327" s="12"/>
      <c r="I327" s="5" t="str">
        <f t="shared" si="64"/>
        <v>#DIV/0!</v>
      </c>
      <c r="J327" s="17">
        <f t="shared" si="65"/>
        <v>13.5</v>
      </c>
      <c r="K327" s="11"/>
      <c r="L327" s="28" t="str">
        <f t="shared" si="66"/>
        <v>#N/A</v>
      </c>
      <c r="M327" s="28" t="str">
        <f t="shared" si="67"/>
        <v>#N/A</v>
      </c>
      <c r="N327" s="28" t="str">
        <f t="shared" si="68"/>
        <v>#N/A</v>
      </c>
      <c r="O327" s="74" t="e">
        <v>#N/A</v>
      </c>
      <c r="P327" s="29"/>
      <c r="Q327" s="28">
        <f t="shared" si="69"/>
        <v>0</v>
      </c>
    </row>
    <row r="328" ht="18.75" customHeight="1">
      <c r="A328" s="4" t="s">
        <v>775</v>
      </c>
      <c r="B328" s="14">
        <v>15.0</v>
      </c>
      <c r="C328" s="6" t="s">
        <v>32</v>
      </c>
      <c r="D328" s="59">
        <v>0.0</v>
      </c>
      <c r="E328" s="78" t="str">
        <f t="shared" si="63"/>
        <v>#N/A</v>
      </c>
      <c r="F328" s="4" t="s">
        <v>1410</v>
      </c>
      <c r="H328" s="12"/>
      <c r="I328" s="5" t="str">
        <f t="shared" si="64"/>
        <v>#DIV/0!</v>
      </c>
      <c r="J328" s="17">
        <f t="shared" si="65"/>
        <v>7.5</v>
      </c>
      <c r="K328" s="11"/>
      <c r="L328" s="28" t="str">
        <f t="shared" si="66"/>
        <v>#N/A</v>
      </c>
      <c r="M328" s="28" t="str">
        <f t="shared" si="67"/>
        <v>#N/A</v>
      </c>
      <c r="N328" s="28" t="str">
        <f t="shared" si="68"/>
        <v>#N/A</v>
      </c>
      <c r="O328" s="74" t="e">
        <v>#N/A</v>
      </c>
      <c r="P328" s="29"/>
      <c r="Q328" s="28">
        <f t="shared" si="69"/>
        <v>0</v>
      </c>
    </row>
    <row r="329" ht="18.75" customHeight="1">
      <c r="A329" s="4" t="s">
        <v>777</v>
      </c>
      <c r="B329" s="14">
        <v>25.0</v>
      </c>
      <c r="C329" s="6" t="s">
        <v>32</v>
      </c>
      <c r="D329" s="59">
        <v>0.0</v>
      </c>
      <c r="E329" s="78" t="str">
        <f t="shared" si="63"/>
        <v>#N/A</v>
      </c>
      <c r="F329" s="4" t="s">
        <v>1410</v>
      </c>
      <c r="H329" s="12"/>
      <c r="I329" s="5" t="str">
        <f t="shared" si="64"/>
        <v>#DIV/0!</v>
      </c>
      <c r="J329" s="17">
        <f t="shared" si="65"/>
        <v>12.5</v>
      </c>
      <c r="K329" s="11"/>
      <c r="L329" s="28" t="str">
        <f t="shared" si="66"/>
        <v>#N/A</v>
      </c>
      <c r="M329" s="28" t="str">
        <f t="shared" si="67"/>
        <v>#N/A</v>
      </c>
      <c r="N329" s="28" t="str">
        <f t="shared" si="68"/>
        <v>#N/A</v>
      </c>
      <c r="O329" s="74" t="e">
        <v>#N/A</v>
      </c>
      <c r="P329" s="29"/>
      <c r="Q329" s="28">
        <f t="shared" si="69"/>
        <v>0</v>
      </c>
    </row>
    <row r="330" ht="18.75" customHeight="1">
      <c r="A330" s="4" t="s">
        <v>778</v>
      </c>
      <c r="B330" s="14">
        <v>150.0</v>
      </c>
      <c r="C330" s="6" t="s">
        <v>32</v>
      </c>
      <c r="D330" s="59">
        <v>0.0</v>
      </c>
      <c r="E330" s="78" t="str">
        <f t="shared" si="63"/>
        <v>#N/A</v>
      </c>
      <c r="F330" s="4" t="s">
        <v>1410</v>
      </c>
      <c r="H330" s="12"/>
      <c r="I330" s="5" t="str">
        <f t="shared" si="64"/>
        <v>#DIV/0!</v>
      </c>
      <c r="J330" s="17">
        <f t="shared" si="65"/>
        <v>75</v>
      </c>
      <c r="K330" s="11"/>
      <c r="L330" s="28" t="str">
        <f t="shared" si="66"/>
        <v>#N/A</v>
      </c>
      <c r="M330" s="28" t="str">
        <f t="shared" si="67"/>
        <v>#N/A</v>
      </c>
      <c r="N330" s="28" t="str">
        <f t="shared" si="68"/>
        <v>#N/A</v>
      </c>
      <c r="O330" s="74" t="e">
        <v>#N/A</v>
      </c>
      <c r="P330" s="29"/>
      <c r="Q330" s="28">
        <f t="shared" si="69"/>
        <v>0</v>
      </c>
    </row>
    <row r="331" ht="18.75" customHeight="1">
      <c r="A331" s="4" t="s">
        <v>779</v>
      </c>
      <c r="B331" s="14">
        <v>30.0</v>
      </c>
      <c r="C331" s="6" t="s">
        <v>32</v>
      </c>
      <c r="D331" s="59">
        <v>0.0</v>
      </c>
      <c r="E331" s="78" t="str">
        <f t="shared" si="63"/>
        <v>#N/A</v>
      </c>
      <c r="F331" s="4" t="s">
        <v>1410</v>
      </c>
      <c r="H331" s="12"/>
      <c r="I331" s="5" t="str">
        <f t="shared" si="64"/>
        <v>#DIV/0!</v>
      </c>
      <c r="J331" s="17">
        <f t="shared" si="65"/>
        <v>15</v>
      </c>
      <c r="K331" s="11"/>
      <c r="L331" s="28" t="str">
        <f t="shared" si="66"/>
        <v>#N/A</v>
      </c>
      <c r="M331" s="28" t="str">
        <f t="shared" si="67"/>
        <v>#N/A</v>
      </c>
      <c r="N331" s="28" t="str">
        <f t="shared" si="68"/>
        <v>#N/A</v>
      </c>
      <c r="O331" s="74" t="e">
        <v>#N/A</v>
      </c>
      <c r="P331" s="29"/>
      <c r="Q331" s="28">
        <f t="shared" si="69"/>
        <v>0</v>
      </c>
    </row>
    <row r="332" ht="18.75" customHeight="1">
      <c r="A332" s="4" t="s">
        <v>780</v>
      </c>
      <c r="B332" s="14">
        <v>30.0</v>
      </c>
      <c r="C332" s="6" t="s">
        <v>32</v>
      </c>
      <c r="D332" s="59">
        <v>0.0</v>
      </c>
      <c r="E332" s="78" t="str">
        <f t="shared" si="63"/>
        <v>#N/A</v>
      </c>
      <c r="F332" s="4" t="s">
        <v>1410</v>
      </c>
      <c r="H332" s="12"/>
      <c r="I332" s="5" t="str">
        <f t="shared" si="64"/>
        <v>#DIV/0!</v>
      </c>
      <c r="J332" s="17">
        <f t="shared" si="65"/>
        <v>15</v>
      </c>
      <c r="K332" s="11"/>
      <c r="L332" s="28" t="str">
        <f t="shared" si="66"/>
        <v>#N/A</v>
      </c>
      <c r="M332" s="28" t="str">
        <f t="shared" si="67"/>
        <v>#N/A</v>
      </c>
      <c r="N332" s="28" t="str">
        <f t="shared" si="68"/>
        <v>#N/A</v>
      </c>
      <c r="O332" s="74" t="e">
        <v>#N/A</v>
      </c>
      <c r="P332" s="29"/>
      <c r="Q332" s="28">
        <f t="shared" si="69"/>
        <v>0</v>
      </c>
    </row>
    <row r="333" ht="18.75" customHeight="1">
      <c r="A333" s="4" t="s">
        <v>781</v>
      </c>
      <c r="B333" s="14">
        <v>30.0</v>
      </c>
      <c r="C333" s="6" t="s">
        <v>32</v>
      </c>
      <c r="D333" s="59">
        <v>0.0</v>
      </c>
      <c r="E333" s="78" t="str">
        <f t="shared" si="63"/>
        <v>#N/A</v>
      </c>
      <c r="F333" s="4" t="s">
        <v>1410</v>
      </c>
      <c r="H333" s="12"/>
      <c r="I333" s="5" t="str">
        <f t="shared" si="64"/>
        <v>#DIV/0!</v>
      </c>
      <c r="J333" s="17">
        <f t="shared" si="65"/>
        <v>15</v>
      </c>
      <c r="K333" s="11"/>
      <c r="L333" s="28" t="str">
        <f t="shared" si="66"/>
        <v>#N/A</v>
      </c>
      <c r="M333" s="28" t="str">
        <f t="shared" si="67"/>
        <v>#N/A</v>
      </c>
      <c r="N333" s="28" t="str">
        <f t="shared" si="68"/>
        <v>#N/A</v>
      </c>
      <c r="O333" s="74" t="e">
        <v>#N/A</v>
      </c>
      <c r="P333" s="29"/>
      <c r="Q333" s="28">
        <f t="shared" si="69"/>
        <v>0</v>
      </c>
    </row>
    <row r="334" ht="18.75" customHeight="1">
      <c r="A334" s="4" t="s">
        <v>782</v>
      </c>
      <c r="B334" s="14">
        <v>35.0</v>
      </c>
      <c r="C334" s="6" t="s">
        <v>32</v>
      </c>
      <c r="D334" s="59">
        <v>0.0</v>
      </c>
      <c r="E334" s="78" t="str">
        <f t="shared" si="63"/>
        <v>#N/A</v>
      </c>
      <c r="F334" s="4" t="s">
        <v>1410</v>
      </c>
      <c r="H334" s="12"/>
      <c r="I334" s="5" t="str">
        <f t="shared" si="64"/>
        <v>#DIV/0!</v>
      </c>
      <c r="J334" s="17">
        <f t="shared" si="65"/>
        <v>17.5</v>
      </c>
      <c r="K334" s="11"/>
      <c r="L334" s="28" t="str">
        <f t="shared" si="66"/>
        <v>#N/A</v>
      </c>
      <c r="M334" s="28" t="str">
        <f t="shared" si="67"/>
        <v>#N/A</v>
      </c>
      <c r="N334" s="28" t="str">
        <f t="shared" si="68"/>
        <v>#N/A</v>
      </c>
      <c r="O334" s="74" t="e">
        <v>#N/A</v>
      </c>
      <c r="P334" s="29"/>
      <c r="Q334" s="28">
        <f t="shared" si="69"/>
        <v>0</v>
      </c>
    </row>
    <row r="335">
      <c r="A335" s="224" t="s">
        <v>783</v>
      </c>
      <c r="B335" s="14">
        <v>330.0</v>
      </c>
      <c r="C335" s="6" t="s">
        <v>32</v>
      </c>
      <c r="D335" s="59">
        <v>0.0</v>
      </c>
      <c r="E335" s="78" t="str">
        <f t="shared" si="63"/>
        <v>#N/A</v>
      </c>
      <c r="F335" s="4" t="s">
        <v>1410</v>
      </c>
      <c r="H335" s="12">
        <v>246.4692808764513</v>
      </c>
      <c r="I335" s="5">
        <f t="shared" si="64"/>
        <v>0.33890925</v>
      </c>
      <c r="J335" s="17">
        <f t="shared" si="65"/>
        <v>41.76535956</v>
      </c>
      <c r="K335" s="11"/>
      <c r="L335" s="28" t="str">
        <f t="shared" si="66"/>
        <v>#N/A</v>
      </c>
      <c r="M335" s="28" t="str">
        <f t="shared" si="67"/>
        <v>#N/A</v>
      </c>
      <c r="N335" s="28" t="str">
        <f t="shared" si="68"/>
        <v>#N/A</v>
      </c>
      <c r="O335" s="74" t="e">
        <v>#N/A</v>
      </c>
      <c r="P335" s="29"/>
      <c r="Q335" s="28">
        <f t="shared" si="69"/>
        <v>0</v>
      </c>
    </row>
    <row r="336">
      <c r="A336" s="225" t="s">
        <v>784</v>
      </c>
      <c r="B336" s="14">
        <v>330.0</v>
      </c>
      <c r="C336" s="6" t="s">
        <v>32</v>
      </c>
      <c r="D336" s="59">
        <v>0.0</v>
      </c>
      <c r="E336" s="78" t="str">
        <f t="shared" si="63"/>
        <v>#N/A</v>
      </c>
      <c r="F336" s="4" t="s">
        <v>1410</v>
      </c>
      <c r="H336" s="12">
        <v>246.4692808764513</v>
      </c>
      <c r="I336" s="5">
        <f t="shared" si="64"/>
        <v>0.33890925</v>
      </c>
      <c r="J336" s="17">
        <f t="shared" si="65"/>
        <v>41.76535956</v>
      </c>
      <c r="K336" s="11"/>
      <c r="L336" s="28" t="str">
        <f t="shared" si="66"/>
        <v>#N/A</v>
      </c>
      <c r="M336" s="28" t="str">
        <f t="shared" si="67"/>
        <v>#N/A</v>
      </c>
      <c r="N336" s="28" t="str">
        <f t="shared" si="68"/>
        <v>#N/A</v>
      </c>
      <c r="O336" s="74" t="e">
        <v>#N/A</v>
      </c>
      <c r="P336" s="29"/>
      <c r="Q336" s="28">
        <f t="shared" si="69"/>
        <v>0</v>
      </c>
    </row>
    <row r="337">
      <c r="A337" s="225" t="s">
        <v>785</v>
      </c>
      <c r="B337" s="14">
        <v>330.0</v>
      </c>
      <c r="C337" s="6" t="s">
        <v>32</v>
      </c>
      <c r="D337" s="59">
        <v>0.0</v>
      </c>
      <c r="E337" s="78" t="str">
        <f t="shared" si="63"/>
        <v>#N/A</v>
      </c>
      <c r="F337" s="4" t="s">
        <v>1410</v>
      </c>
      <c r="H337" s="12">
        <v>246.4692808764513</v>
      </c>
      <c r="I337" s="5">
        <f t="shared" si="64"/>
        <v>0.33890925</v>
      </c>
      <c r="J337" s="17">
        <f t="shared" si="65"/>
        <v>41.76535956</v>
      </c>
      <c r="K337" s="11"/>
      <c r="L337" s="28" t="str">
        <f t="shared" si="66"/>
        <v>#N/A</v>
      </c>
      <c r="M337" s="28" t="str">
        <f t="shared" si="67"/>
        <v>#N/A</v>
      </c>
      <c r="N337" s="28" t="str">
        <f t="shared" si="68"/>
        <v>#N/A</v>
      </c>
      <c r="O337" s="74" t="e">
        <v>#N/A</v>
      </c>
      <c r="P337" s="29"/>
      <c r="Q337" s="28">
        <f t="shared" si="69"/>
        <v>0</v>
      </c>
    </row>
    <row r="338">
      <c r="A338" s="225" t="s">
        <v>786</v>
      </c>
      <c r="B338" s="14">
        <v>330.0</v>
      </c>
      <c r="C338" s="6" t="s">
        <v>32</v>
      </c>
      <c r="D338" s="59">
        <v>0.0</v>
      </c>
      <c r="E338" s="78" t="str">
        <f t="shared" si="63"/>
        <v>#N/A</v>
      </c>
      <c r="F338" s="4" t="s">
        <v>1410</v>
      </c>
      <c r="H338" s="12">
        <v>246.4692808764513</v>
      </c>
      <c r="I338" s="5">
        <f t="shared" si="64"/>
        <v>0.33890925</v>
      </c>
      <c r="J338" s="17">
        <f t="shared" si="65"/>
        <v>41.76535956</v>
      </c>
      <c r="K338" s="11"/>
      <c r="L338" s="28" t="str">
        <f t="shared" si="66"/>
        <v>#N/A</v>
      </c>
      <c r="M338" s="28" t="str">
        <f t="shared" si="67"/>
        <v>#N/A</v>
      </c>
      <c r="N338" s="28" t="str">
        <f t="shared" si="68"/>
        <v>#N/A</v>
      </c>
      <c r="O338" s="74" t="e">
        <v>#N/A</v>
      </c>
      <c r="P338" s="29"/>
      <c r="Q338" s="28">
        <f t="shared" si="69"/>
        <v>0</v>
      </c>
    </row>
    <row r="339">
      <c r="A339" s="225" t="s">
        <v>788</v>
      </c>
      <c r="B339" s="14">
        <v>270.0</v>
      </c>
      <c r="C339" s="6" t="s">
        <v>32</v>
      </c>
      <c r="D339" s="59">
        <v>1.0</v>
      </c>
      <c r="E339" s="78" t="str">
        <f t="shared" si="63"/>
        <v>#N/A</v>
      </c>
      <c r="F339" s="4" t="s">
        <v>1410</v>
      </c>
      <c r="H339" s="12">
        <v>201.33552806950118</v>
      </c>
      <c r="I339" s="5">
        <f t="shared" si="64"/>
        <v>0.3410449839</v>
      </c>
      <c r="J339" s="17">
        <f t="shared" si="65"/>
        <v>34.33223597</v>
      </c>
      <c r="K339" s="11"/>
      <c r="L339" s="28" t="str">
        <f t="shared" si="66"/>
        <v>#N/A</v>
      </c>
      <c r="M339" s="28" t="str">
        <f t="shared" si="67"/>
        <v>#N/A</v>
      </c>
      <c r="N339" s="28" t="str">
        <f t="shared" si="68"/>
        <v>#N/A</v>
      </c>
      <c r="O339" s="74" t="e">
        <v>#N/A</v>
      </c>
      <c r="P339" s="29"/>
      <c r="Q339" s="28">
        <f t="shared" si="69"/>
        <v>201.3355281</v>
      </c>
    </row>
    <row r="340">
      <c r="A340" s="225" t="s">
        <v>789</v>
      </c>
      <c r="B340" s="14">
        <v>270.0</v>
      </c>
      <c r="C340" s="6" t="s">
        <v>32</v>
      </c>
      <c r="D340" s="59">
        <v>1.0</v>
      </c>
      <c r="E340" s="78" t="str">
        <f t="shared" si="63"/>
        <v>#N/A</v>
      </c>
      <c r="F340" s="4" t="s">
        <v>1410</v>
      </c>
      <c r="H340" s="12">
        <v>201.33552806950118</v>
      </c>
      <c r="I340" s="5">
        <f t="shared" si="64"/>
        <v>0.3410449839</v>
      </c>
      <c r="J340" s="17">
        <f t="shared" si="65"/>
        <v>34.33223597</v>
      </c>
      <c r="K340" s="11"/>
      <c r="L340" s="28" t="str">
        <f t="shared" si="66"/>
        <v>#N/A</v>
      </c>
      <c r="M340" s="28" t="str">
        <f t="shared" si="67"/>
        <v>#N/A</v>
      </c>
      <c r="N340" s="28" t="str">
        <f t="shared" si="68"/>
        <v>#N/A</v>
      </c>
      <c r="O340" s="74" t="e">
        <v>#N/A</v>
      </c>
      <c r="P340" s="29"/>
      <c r="Q340" s="28">
        <f t="shared" si="69"/>
        <v>201.3355281</v>
      </c>
    </row>
    <row r="341" ht="18.75" customHeight="1">
      <c r="A341" s="225" t="s">
        <v>790</v>
      </c>
      <c r="B341" s="14">
        <v>14.0</v>
      </c>
      <c r="C341" s="6" t="s">
        <v>32</v>
      </c>
      <c r="D341" s="60">
        <v>300.0</v>
      </c>
      <c r="E341" s="78" t="str">
        <f t="shared" si="63"/>
        <v>#N/A</v>
      </c>
      <c r="F341" s="4" t="s">
        <v>1410</v>
      </c>
      <c r="H341" s="12">
        <v>10.379550561390023</v>
      </c>
      <c r="I341" s="5">
        <f t="shared" si="64"/>
        <v>0.3488059928</v>
      </c>
      <c r="J341" s="17">
        <f t="shared" si="65"/>
        <v>1.810224719</v>
      </c>
      <c r="K341" s="11"/>
      <c r="L341" s="28" t="str">
        <f t="shared" si="66"/>
        <v>#N/A</v>
      </c>
      <c r="M341" s="28" t="str">
        <f t="shared" si="67"/>
        <v>#N/A</v>
      </c>
      <c r="N341" s="28" t="str">
        <f t="shared" si="68"/>
        <v>#N/A</v>
      </c>
      <c r="O341" s="74" t="e">
        <v>#N/A</v>
      </c>
      <c r="P341" s="29"/>
      <c r="Q341" s="28">
        <f t="shared" si="69"/>
        <v>3113.865168</v>
      </c>
    </row>
    <row r="342">
      <c r="A342" s="225" t="s">
        <v>794</v>
      </c>
      <c r="B342" s="14">
        <v>270.0</v>
      </c>
      <c r="C342" s="6" t="s">
        <v>32</v>
      </c>
      <c r="D342" s="59">
        <v>0.0</v>
      </c>
      <c r="E342" s="78" t="str">
        <f t="shared" si="63"/>
        <v>#N/A</v>
      </c>
      <c r="F342" s="4" t="s">
        <v>1410</v>
      </c>
      <c r="H342" s="12">
        <v>201.33552806950118</v>
      </c>
      <c r="I342" s="5">
        <f t="shared" si="64"/>
        <v>0.3410449839</v>
      </c>
      <c r="J342" s="17">
        <f t="shared" si="65"/>
        <v>34.33223597</v>
      </c>
      <c r="K342" s="11"/>
      <c r="L342" s="28" t="str">
        <f t="shared" si="66"/>
        <v>#N/A</v>
      </c>
      <c r="M342" s="28" t="str">
        <f t="shared" si="67"/>
        <v>#N/A</v>
      </c>
      <c r="N342" s="28" t="str">
        <f t="shared" si="68"/>
        <v>#N/A</v>
      </c>
      <c r="O342" s="74" t="e">
        <v>#N/A</v>
      </c>
      <c r="P342" s="29"/>
      <c r="Q342" s="28">
        <f t="shared" si="69"/>
        <v>0</v>
      </c>
    </row>
    <row r="343">
      <c r="A343" s="225" t="s">
        <v>795</v>
      </c>
      <c r="B343" s="14">
        <v>270.0</v>
      </c>
      <c r="C343" s="6" t="s">
        <v>32</v>
      </c>
      <c r="D343" s="59">
        <v>1.0</v>
      </c>
      <c r="E343" s="78" t="str">
        <f t="shared" si="63"/>
        <v>#N/A</v>
      </c>
      <c r="F343" s="4" t="s">
        <v>1410</v>
      </c>
      <c r="H343" s="12">
        <v>201.33552806950118</v>
      </c>
      <c r="I343" s="5">
        <f t="shared" si="64"/>
        <v>0.3410449839</v>
      </c>
      <c r="J343" s="17">
        <f t="shared" si="65"/>
        <v>34.33223597</v>
      </c>
      <c r="K343" s="11"/>
      <c r="L343" s="28" t="str">
        <f t="shared" si="66"/>
        <v>#N/A</v>
      </c>
      <c r="M343" s="28" t="str">
        <f t="shared" si="67"/>
        <v>#N/A</v>
      </c>
      <c r="N343" s="28" t="str">
        <f t="shared" si="68"/>
        <v>#N/A</v>
      </c>
      <c r="O343" s="74" t="e">
        <v>#N/A</v>
      </c>
      <c r="P343" s="29"/>
      <c r="Q343" s="28">
        <f t="shared" si="69"/>
        <v>201.3355281</v>
      </c>
    </row>
    <row r="344" ht="18.75" customHeight="1">
      <c r="A344" s="225" t="s">
        <v>796</v>
      </c>
      <c r="B344" s="14">
        <v>210.0</v>
      </c>
      <c r="C344" s="6" t="s">
        <v>32</v>
      </c>
      <c r="D344" s="60">
        <v>1.0</v>
      </c>
      <c r="E344" s="78" t="str">
        <f t="shared" si="63"/>
        <v>#N/A</v>
      </c>
      <c r="F344" s="4" t="s">
        <v>1410</v>
      </c>
      <c r="H344" s="12">
        <v>157.8356002111295</v>
      </c>
      <c r="I344" s="5">
        <f t="shared" si="64"/>
        <v>0.3304983142</v>
      </c>
      <c r="J344" s="17">
        <f t="shared" si="65"/>
        <v>26.08219989</v>
      </c>
      <c r="K344" s="11"/>
      <c r="L344" s="28" t="str">
        <f t="shared" si="66"/>
        <v>#N/A</v>
      </c>
      <c r="M344" s="28" t="str">
        <f t="shared" si="67"/>
        <v>#N/A</v>
      </c>
      <c r="N344" s="28" t="str">
        <f t="shared" si="68"/>
        <v>#N/A</v>
      </c>
      <c r="O344" s="74" t="e">
        <v>#N/A</v>
      </c>
      <c r="P344" s="29"/>
      <c r="Q344" s="28">
        <f t="shared" si="69"/>
        <v>157.8356002</v>
      </c>
    </row>
    <row r="345" ht="18.75" customHeight="1">
      <c r="A345" s="225" t="s">
        <v>799</v>
      </c>
      <c r="B345" s="14">
        <v>190.0</v>
      </c>
      <c r="C345" s="6" t="s">
        <v>32</v>
      </c>
      <c r="D345" s="59">
        <v>2.0</v>
      </c>
      <c r="E345" s="78" t="str">
        <f t="shared" si="63"/>
        <v>#N/A</v>
      </c>
      <c r="F345" s="4" t="s">
        <v>1410</v>
      </c>
      <c r="H345" s="12">
        <v>138.74141571892068</v>
      </c>
      <c r="I345" s="5">
        <f t="shared" si="64"/>
        <v>0.3694540957</v>
      </c>
      <c r="J345" s="17">
        <f t="shared" si="65"/>
        <v>25.62929214</v>
      </c>
      <c r="K345" s="11"/>
      <c r="L345" s="28" t="str">
        <f t="shared" si="66"/>
        <v>#N/A</v>
      </c>
      <c r="M345" s="28" t="str">
        <f t="shared" si="67"/>
        <v>#N/A</v>
      </c>
      <c r="N345" s="28" t="str">
        <f t="shared" si="68"/>
        <v>#N/A</v>
      </c>
      <c r="O345" s="74" t="e">
        <v>#N/A</v>
      </c>
      <c r="P345" s="29"/>
      <c r="Q345" s="28">
        <f t="shared" si="69"/>
        <v>277.4828314</v>
      </c>
    </row>
    <row r="346" ht="18.75" customHeight="1">
      <c r="A346" s="4" t="s">
        <v>541</v>
      </c>
      <c r="B346" s="14">
        <v>20.0</v>
      </c>
      <c r="C346" s="6" t="s">
        <v>32</v>
      </c>
      <c r="D346" s="14">
        <v>0.0</v>
      </c>
      <c r="E346" s="78" t="str">
        <f t="shared" si="63"/>
        <v>#N/A</v>
      </c>
      <c r="F346" s="4" t="s">
        <v>1371</v>
      </c>
      <c r="G346" s="4" t="s">
        <v>1413</v>
      </c>
      <c r="H346" s="12">
        <f>'Costo Carga'!G27</f>
        <v>12.026</v>
      </c>
      <c r="I346" s="5">
        <f t="shared" si="64"/>
        <v>0.6630633627</v>
      </c>
      <c r="J346" s="17">
        <f t="shared" si="65"/>
        <v>3.987</v>
      </c>
      <c r="K346" s="11"/>
      <c r="L346" s="28">
        <f t="shared" si="66"/>
        <v>1.026</v>
      </c>
      <c r="M346" s="28">
        <f t="shared" si="67"/>
        <v>251.026</v>
      </c>
      <c r="N346" s="28">
        <f t="shared" si="68"/>
        <v>267.34269</v>
      </c>
      <c r="O346" s="72">
        <v>0.027</v>
      </c>
      <c r="P346" s="29"/>
      <c r="Q346" s="28">
        <f t="shared" si="69"/>
        <v>0</v>
      </c>
    </row>
    <row r="347" ht="18.75" customHeight="1">
      <c r="A347" s="4" t="s">
        <v>550</v>
      </c>
      <c r="B347" s="14">
        <v>20.0</v>
      </c>
      <c r="C347" s="6" t="s">
        <v>32</v>
      </c>
      <c r="D347" s="14">
        <v>0.0</v>
      </c>
      <c r="E347" s="78" t="str">
        <f t="shared" si="63"/>
        <v>#N/A</v>
      </c>
      <c r="F347" s="4" t="s">
        <v>1371</v>
      </c>
      <c r="G347" s="4" t="s">
        <v>1413</v>
      </c>
      <c r="H347" s="12">
        <f>'Costo Carga'!G28</f>
        <v>16.026</v>
      </c>
      <c r="I347" s="5">
        <f t="shared" si="64"/>
        <v>0.2479720454</v>
      </c>
      <c r="J347" s="17">
        <f t="shared" si="65"/>
        <v>1.987</v>
      </c>
      <c r="K347" s="11"/>
      <c r="L347" s="28">
        <f t="shared" si="66"/>
        <v>1.026</v>
      </c>
      <c r="M347" s="28">
        <f t="shared" si="67"/>
        <v>251.026</v>
      </c>
      <c r="N347" s="28">
        <f t="shared" si="68"/>
        <v>267.34269</v>
      </c>
      <c r="O347" s="72">
        <v>0.027</v>
      </c>
      <c r="P347" s="29"/>
      <c r="Q347" s="28">
        <f t="shared" si="69"/>
        <v>0</v>
      </c>
    </row>
    <row r="348" ht="18.75" customHeight="1">
      <c r="A348" s="4" t="s">
        <v>801</v>
      </c>
      <c r="B348" s="14">
        <v>20.0</v>
      </c>
      <c r="C348" s="6" t="s">
        <v>32</v>
      </c>
      <c r="D348" s="14">
        <v>0.0</v>
      </c>
      <c r="E348" s="78" t="str">
        <f t="shared" si="63"/>
        <v>#N/A</v>
      </c>
      <c r="F348" s="4" t="s">
        <v>1371</v>
      </c>
      <c r="G348" s="4" t="s">
        <v>1413</v>
      </c>
      <c r="H348" s="7">
        <v>12.0</v>
      </c>
      <c r="I348" s="5">
        <f t="shared" si="64"/>
        <v>0.6666666667</v>
      </c>
      <c r="J348" s="17">
        <f t="shared" si="65"/>
        <v>4</v>
      </c>
      <c r="K348" s="11"/>
      <c r="L348" s="28" t="str">
        <f t="shared" si="66"/>
        <v>#N/A</v>
      </c>
      <c r="M348" s="28" t="str">
        <f t="shared" si="67"/>
        <v>#N/A</v>
      </c>
      <c r="N348" s="28" t="str">
        <f t="shared" si="68"/>
        <v>#N/A</v>
      </c>
      <c r="O348" s="74" t="e">
        <v>#N/A</v>
      </c>
      <c r="P348" s="29"/>
      <c r="Q348" s="28">
        <f t="shared" si="69"/>
        <v>0</v>
      </c>
    </row>
    <row r="349" ht="18.75" customHeight="1">
      <c r="A349" s="4" t="s">
        <v>803</v>
      </c>
      <c r="B349" s="14">
        <v>20.0</v>
      </c>
      <c r="C349" s="6" t="s">
        <v>32</v>
      </c>
      <c r="D349" s="14">
        <v>0.0</v>
      </c>
      <c r="E349" s="78" t="str">
        <f t="shared" si="63"/>
        <v>#N/A</v>
      </c>
      <c r="F349" s="4" t="s">
        <v>1371</v>
      </c>
      <c r="G349" s="4" t="s">
        <v>1413</v>
      </c>
      <c r="H349" s="7">
        <v>12.0</v>
      </c>
      <c r="I349" s="5">
        <f t="shared" si="64"/>
        <v>0.6666666667</v>
      </c>
      <c r="J349" s="17">
        <f t="shared" si="65"/>
        <v>4</v>
      </c>
      <c r="K349" s="11"/>
      <c r="L349" s="28" t="str">
        <f t="shared" si="66"/>
        <v>#N/A</v>
      </c>
      <c r="M349" s="28" t="str">
        <f t="shared" si="67"/>
        <v>#N/A</v>
      </c>
      <c r="N349" s="28" t="str">
        <f t="shared" si="68"/>
        <v>#N/A</v>
      </c>
      <c r="O349" s="74" t="e">
        <v>#N/A</v>
      </c>
      <c r="P349" s="29"/>
      <c r="Q349" s="28">
        <f t="shared" si="69"/>
        <v>0</v>
      </c>
    </row>
    <row r="350" ht="18.75" customHeight="1">
      <c r="A350" s="4" t="s">
        <v>804</v>
      </c>
      <c r="B350" s="14">
        <v>20.0</v>
      </c>
      <c r="C350" s="6" t="s">
        <v>32</v>
      </c>
      <c r="D350" s="14">
        <v>0.0</v>
      </c>
      <c r="E350" s="78" t="str">
        <f t="shared" si="63"/>
        <v>#N/A</v>
      </c>
      <c r="F350" s="4" t="s">
        <v>1371</v>
      </c>
      <c r="G350" s="4" t="s">
        <v>1413</v>
      </c>
      <c r="H350" s="7">
        <v>12.0</v>
      </c>
      <c r="I350" s="5">
        <f t="shared" si="64"/>
        <v>0.6666666667</v>
      </c>
      <c r="J350" s="17">
        <f t="shared" si="65"/>
        <v>4</v>
      </c>
      <c r="K350" s="11"/>
      <c r="L350" s="28" t="str">
        <f t="shared" si="66"/>
        <v>#N/A</v>
      </c>
      <c r="M350" s="28" t="str">
        <f t="shared" si="67"/>
        <v>#N/A</v>
      </c>
      <c r="N350" s="28" t="str">
        <f t="shared" si="68"/>
        <v>#N/A</v>
      </c>
      <c r="O350" s="74" t="e">
        <v>#N/A</v>
      </c>
      <c r="P350" s="29"/>
      <c r="Q350" s="28">
        <f t="shared" si="69"/>
        <v>0</v>
      </c>
    </row>
    <row r="351" ht="18.75" customHeight="1">
      <c r="A351" s="4" t="s">
        <v>555</v>
      </c>
      <c r="B351" s="14">
        <v>270.0</v>
      </c>
      <c r="C351" s="6" t="s">
        <v>32</v>
      </c>
      <c r="D351" s="60">
        <v>4.0</v>
      </c>
      <c r="E351" s="78" t="str">
        <f t="shared" si="63"/>
        <v>#N/A</v>
      </c>
      <c r="F351" s="4" t="s">
        <v>1371</v>
      </c>
      <c r="G351" s="4" t="s">
        <v>1413</v>
      </c>
      <c r="H351" s="12">
        <f>'Costo Carga'!G29</f>
        <v>224.28</v>
      </c>
      <c r="I351" s="5">
        <f t="shared" si="64"/>
        <v>0.2038523274</v>
      </c>
      <c r="J351" s="17">
        <f t="shared" si="65"/>
        <v>22.86</v>
      </c>
      <c r="K351" s="11"/>
      <c r="L351" s="28">
        <f t="shared" si="66"/>
        <v>21.28</v>
      </c>
      <c r="M351" s="28">
        <f t="shared" si="67"/>
        <v>271.28</v>
      </c>
      <c r="N351" s="28">
        <f t="shared" si="68"/>
        <v>288.9132</v>
      </c>
      <c r="O351" s="72">
        <v>0.56</v>
      </c>
      <c r="P351" s="29"/>
      <c r="Q351" s="28">
        <f t="shared" si="69"/>
        <v>897.12</v>
      </c>
    </row>
    <row r="352" ht="18.75" customHeight="1">
      <c r="A352" s="4" t="s">
        <v>807</v>
      </c>
      <c r="B352" s="14">
        <v>310.0</v>
      </c>
      <c r="C352" s="6" t="s">
        <v>32</v>
      </c>
      <c r="D352" s="14">
        <v>1.0</v>
      </c>
      <c r="E352" s="78" t="str">
        <f t="shared" si="63"/>
        <v>#N/A</v>
      </c>
      <c r="F352" s="4" t="s">
        <v>1371</v>
      </c>
      <c r="G352" s="4" t="s">
        <v>1413</v>
      </c>
      <c r="H352" s="12"/>
      <c r="I352" s="5" t="str">
        <f t="shared" si="64"/>
        <v>#DIV/0!</v>
      </c>
      <c r="J352" s="17">
        <f t="shared" si="65"/>
        <v>155</v>
      </c>
      <c r="K352" s="11"/>
      <c r="L352" s="28" t="str">
        <f t="shared" si="66"/>
        <v>#N/A</v>
      </c>
      <c r="M352" s="28" t="str">
        <f t="shared" si="67"/>
        <v>#N/A</v>
      </c>
      <c r="N352" s="28" t="str">
        <f t="shared" si="68"/>
        <v>#N/A</v>
      </c>
      <c r="O352" s="74" t="e">
        <v>#N/A</v>
      </c>
      <c r="P352" s="29"/>
      <c r="Q352" s="28">
        <f t="shared" si="69"/>
        <v>0</v>
      </c>
    </row>
    <row r="353" ht="18.75" customHeight="1">
      <c r="A353" s="4" t="s">
        <v>808</v>
      </c>
      <c r="B353" s="14">
        <v>30.0</v>
      </c>
      <c r="C353" s="6" t="s">
        <v>32</v>
      </c>
      <c r="D353" s="60">
        <v>0.0</v>
      </c>
      <c r="E353" s="78" t="str">
        <f t="shared" si="63"/>
        <v>#N/A</v>
      </c>
      <c r="F353" s="4" t="s">
        <v>1371</v>
      </c>
      <c r="G353" s="4" t="s">
        <v>1413</v>
      </c>
      <c r="H353" s="12">
        <v>36.896686363508906</v>
      </c>
      <c r="I353" s="5">
        <f t="shared" si="64"/>
        <v>-0.1869188549</v>
      </c>
      <c r="J353" s="17">
        <f t="shared" si="65"/>
        <v>-3.448343182</v>
      </c>
      <c r="K353" s="11"/>
      <c r="L353" s="28" t="str">
        <f t="shared" si="66"/>
        <v>#N/A</v>
      </c>
      <c r="M353" s="28" t="str">
        <f t="shared" si="67"/>
        <v>#N/A</v>
      </c>
      <c r="N353" s="28" t="str">
        <f t="shared" si="68"/>
        <v>#N/A</v>
      </c>
      <c r="O353" s="74" t="e">
        <v>#N/A</v>
      </c>
      <c r="P353" s="29"/>
      <c r="Q353" s="28">
        <f t="shared" si="69"/>
        <v>0</v>
      </c>
    </row>
    <row r="354" ht="18.75" customHeight="1">
      <c r="A354" s="4" t="s">
        <v>809</v>
      </c>
      <c r="B354" s="14">
        <v>10.0</v>
      </c>
      <c r="C354" s="6" t="s">
        <v>32</v>
      </c>
      <c r="D354" s="59">
        <v>0.0</v>
      </c>
      <c r="E354" s="78" t="str">
        <f t="shared" si="63"/>
        <v>#N/A</v>
      </c>
      <c r="F354" s="4" t="s">
        <v>1371</v>
      </c>
      <c r="G354" s="4" t="s">
        <v>1413</v>
      </c>
      <c r="H354" s="12"/>
      <c r="I354" s="5" t="str">
        <f t="shared" si="64"/>
        <v>#DIV/0!</v>
      </c>
      <c r="J354" s="17">
        <f t="shared" si="65"/>
        <v>5</v>
      </c>
      <c r="K354" s="11"/>
      <c r="L354" s="28" t="str">
        <f t="shared" si="66"/>
        <v>#N/A</v>
      </c>
      <c r="M354" s="28" t="str">
        <f t="shared" si="67"/>
        <v>#N/A</v>
      </c>
      <c r="N354" s="28" t="str">
        <f t="shared" si="68"/>
        <v>#N/A</v>
      </c>
      <c r="O354" s="74" t="e">
        <v>#N/A</v>
      </c>
      <c r="P354" s="29"/>
      <c r="Q354" s="28">
        <f t="shared" si="69"/>
        <v>0</v>
      </c>
    </row>
    <row r="355" ht="18.75" customHeight="1">
      <c r="A355" s="4" t="s">
        <v>812</v>
      </c>
      <c r="B355" s="14">
        <v>26.0</v>
      </c>
      <c r="C355" s="6" t="s">
        <v>32</v>
      </c>
      <c r="D355" s="59">
        <v>6.0</v>
      </c>
      <c r="E355" s="78" t="str">
        <f t="shared" si="63"/>
        <v>#N/A</v>
      </c>
      <c r="F355" s="4" t="s">
        <v>1419</v>
      </c>
      <c r="G355" s="4" t="s">
        <v>1420</v>
      </c>
      <c r="H355" s="7">
        <v>21.26</v>
      </c>
      <c r="I355" s="5">
        <f t="shared" si="64"/>
        <v>0.222953904</v>
      </c>
      <c r="J355" s="17">
        <f t="shared" si="65"/>
        <v>2.37</v>
      </c>
      <c r="K355" s="11"/>
      <c r="L355" s="28" t="str">
        <f t="shared" si="66"/>
        <v>#N/A</v>
      </c>
      <c r="M355" s="28" t="str">
        <f t="shared" si="67"/>
        <v>#N/A</v>
      </c>
      <c r="N355" s="28" t="str">
        <f t="shared" si="68"/>
        <v>#N/A</v>
      </c>
      <c r="O355" s="74" t="e">
        <v>#N/A</v>
      </c>
      <c r="P355" s="29"/>
      <c r="Q355" s="28">
        <f t="shared" si="69"/>
        <v>127.56</v>
      </c>
    </row>
    <row r="356" ht="18.75" customHeight="1">
      <c r="A356" s="4" t="s">
        <v>813</v>
      </c>
      <c r="B356" s="14">
        <v>80.0</v>
      </c>
      <c r="C356" s="6" t="s">
        <v>32</v>
      </c>
      <c r="D356" s="59">
        <v>0.0</v>
      </c>
      <c r="E356" s="78" t="str">
        <f t="shared" si="63"/>
        <v>#N/A</v>
      </c>
      <c r="F356" s="4" t="s">
        <v>1421</v>
      </c>
      <c r="G356" s="4" t="s">
        <v>1413</v>
      </c>
      <c r="H356" s="12">
        <v>60.48073879619901</v>
      </c>
      <c r="I356" s="5">
        <f t="shared" si="64"/>
        <v>0.3227351648</v>
      </c>
      <c r="J356" s="17">
        <f t="shared" si="65"/>
        <v>9.759630602</v>
      </c>
      <c r="K356" s="11"/>
      <c r="L356" s="28" t="str">
        <f t="shared" si="66"/>
        <v>#N/A</v>
      </c>
      <c r="M356" s="28" t="str">
        <f t="shared" si="67"/>
        <v>#N/A</v>
      </c>
      <c r="N356" s="28" t="str">
        <f t="shared" si="68"/>
        <v>#N/A</v>
      </c>
      <c r="O356" s="74" t="e">
        <v>#N/A</v>
      </c>
      <c r="P356" s="29"/>
      <c r="Q356" s="28">
        <f t="shared" si="69"/>
        <v>0</v>
      </c>
    </row>
    <row r="357" ht="18.75" customHeight="1">
      <c r="A357" s="4" t="s">
        <v>814</v>
      </c>
      <c r="B357" s="14">
        <v>25.0</v>
      </c>
      <c r="C357" s="6" t="s">
        <v>32</v>
      </c>
      <c r="D357" s="59">
        <v>0.0</v>
      </c>
      <c r="E357" s="78" t="str">
        <f t="shared" si="63"/>
        <v>#N/A</v>
      </c>
      <c r="F357" s="4" t="s">
        <v>1421</v>
      </c>
      <c r="G357" s="4" t="s">
        <v>1413</v>
      </c>
      <c r="H357" s="12">
        <v>18.632633930818805</v>
      </c>
      <c r="I357" s="5">
        <f t="shared" si="64"/>
        <v>0.3417319362</v>
      </c>
      <c r="J357" s="17">
        <f t="shared" si="65"/>
        <v>3.183683035</v>
      </c>
      <c r="K357" s="11"/>
      <c r="L357" s="28" t="str">
        <f t="shared" si="66"/>
        <v>#N/A</v>
      </c>
      <c r="M357" s="28" t="str">
        <f t="shared" si="67"/>
        <v>#N/A</v>
      </c>
      <c r="N357" s="28" t="str">
        <f t="shared" si="68"/>
        <v>#N/A</v>
      </c>
      <c r="O357" s="74" t="e">
        <v>#N/A</v>
      </c>
      <c r="P357" s="29"/>
      <c r="Q357" s="28">
        <f t="shared" si="69"/>
        <v>0</v>
      </c>
    </row>
    <row r="358" ht="18.75" customHeight="1">
      <c r="A358" s="4" t="s">
        <v>817</v>
      </c>
      <c r="B358" s="14">
        <v>260.0</v>
      </c>
      <c r="C358" s="6" t="s">
        <v>32</v>
      </c>
      <c r="D358" s="59">
        <v>0.0</v>
      </c>
      <c r="E358" s="78" t="str">
        <f t="shared" si="63"/>
        <v>#N/A</v>
      </c>
      <c r="F358" s="4" t="s">
        <v>1421</v>
      </c>
      <c r="G358" s="4" t="s">
        <v>1413</v>
      </c>
      <c r="H358" s="12">
        <v>195.19315825771986</v>
      </c>
      <c r="I358" s="5">
        <f t="shared" si="64"/>
        <v>0.3320139001</v>
      </c>
      <c r="J358" s="17">
        <f t="shared" si="65"/>
        <v>32.40342087</v>
      </c>
      <c r="K358" s="11"/>
      <c r="L358" s="28" t="str">
        <f t="shared" si="66"/>
        <v>#N/A</v>
      </c>
      <c r="M358" s="28" t="str">
        <f t="shared" si="67"/>
        <v>#N/A</v>
      </c>
      <c r="N358" s="28" t="str">
        <f t="shared" si="68"/>
        <v>#N/A</v>
      </c>
      <c r="O358" s="74" t="e">
        <v>#N/A</v>
      </c>
      <c r="P358" s="29"/>
      <c r="Q358" s="28">
        <f t="shared" si="69"/>
        <v>0</v>
      </c>
    </row>
    <row r="359" ht="18.75" customHeight="1">
      <c r="A359" s="4" t="s">
        <v>819</v>
      </c>
      <c r="B359" s="14">
        <v>50.0</v>
      </c>
      <c r="C359" s="6" t="s">
        <v>32</v>
      </c>
      <c r="D359" s="59">
        <v>0.0</v>
      </c>
      <c r="E359" s="78" t="str">
        <f t="shared" si="63"/>
        <v>#N/A</v>
      </c>
      <c r="F359" s="4" t="s">
        <v>1421</v>
      </c>
      <c r="G359" s="4" t="s">
        <v>1413</v>
      </c>
      <c r="H359" s="12">
        <v>36.896686363508906</v>
      </c>
      <c r="I359" s="5">
        <f t="shared" si="64"/>
        <v>0.3551352419</v>
      </c>
      <c r="J359" s="17">
        <f t="shared" si="65"/>
        <v>6.551656818</v>
      </c>
      <c r="K359" s="11"/>
      <c r="L359" s="28" t="str">
        <f t="shared" si="66"/>
        <v>#N/A</v>
      </c>
      <c r="M359" s="28" t="str">
        <f t="shared" si="67"/>
        <v>#N/A</v>
      </c>
      <c r="N359" s="28" t="str">
        <f t="shared" si="68"/>
        <v>#N/A</v>
      </c>
      <c r="O359" s="74" t="e">
        <v>#N/A</v>
      </c>
      <c r="P359" s="29"/>
      <c r="Q359" s="28">
        <f t="shared" si="69"/>
        <v>0</v>
      </c>
    </row>
    <row r="360" ht="18.75" customHeight="1">
      <c r="A360" s="4" t="s">
        <v>821</v>
      </c>
      <c r="B360" s="14">
        <v>15.0</v>
      </c>
      <c r="C360" s="6" t="s">
        <v>32</v>
      </c>
      <c r="D360" s="59">
        <v>0.0</v>
      </c>
      <c r="E360" s="78" t="str">
        <f t="shared" si="63"/>
        <v>#N/A</v>
      </c>
      <c r="F360" s="4" t="s">
        <v>1421</v>
      </c>
      <c r="G360" s="4" t="s">
        <v>1413</v>
      </c>
      <c r="H360" s="12">
        <v>10.681382995168763</v>
      </c>
      <c r="I360" s="5">
        <f t="shared" si="64"/>
        <v>0.4043125321</v>
      </c>
      <c r="J360" s="17">
        <f t="shared" si="65"/>
        <v>2.159308502</v>
      </c>
      <c r="K360" s="11"/>
      <c r="L360" s="28" t="str">
        <f t="shared" si="66"/>
        <v>#N/A</v>
      </c>
      <c r="M360" s="28" t="str">
        <f t="shared" si="67"/>
        <v>#N/A</v>
      </c>
      <c r="N360" s="28" t="str">
        <f t="shared" si="68"/>
        <v>#N/A</v>
      </c>
      <c r="O360" s="74" t="e">
        <v>#N/A</v>
      </c>
      <c r="P360" s="29"/>
      <c r="Q360" s="28">
        <f t="shared" si="69"/>
        <v>0</v>
      </c>
    </row>
    <row r="361" ht="18.75" customHeight="1">
      <c r="A361" s="4" t="s">
        <v>823</v>
      </c>
      <c r="B361" s="14">
        <v>1.3</v>
      </c>
      <c r="C361" s="6" t="s">
        <v>32</v>
      </c>
      <c r="D361" s="14">
        <v>0.0</v>
      </c>
      <c r="E361" s="78" t="str">
        <f t="shared" si="63"/>
        <v>#N/A</v>
      </c>
      <c r="F361" s="4" t="s">
        <v>1423</v>
      </c>
      <c r="G361" s="4" t="s">
        <v>1424</v>
      </c>
      <c r="H361" s="7">
        <v>0.5</v>
      </c>
      <c r="I361" s="5">
        <f t="shared" si="64"/>
        <v>1.6</v>
      </c>
      <c r="J361" s="17">
        <f t="shared" si="65"/>
        <v>0.4</v>
      </c>
      <c r="K361" s="11"/>
      <c r="L361" s="28" t="str">
        <f t="shared" si="66"/>
        <v>#N/A</v>
      </c>
      <c r="M361" s="28" t="str">
        <f t="shared" si="67"/>
        <v>#N/A</v>
      </c>
      <c r="N361" s="28" t="str">
        <f t="shared" si="68"/>
        <v>#N/A</v>
      </c>
      <c r="O361" s="74" t="e">
        <v>#N/A</v>
      </c>
      <c r="P361" s="29"/>
      <c r="Q361" s="28">
        <f t="shared" si="69"/>
        <v>0</v>
      </c>
    </row>
    <row r="362" ht="18.75" customHeight="1">
      <c r="A362" s="4" t="s">
        <v>825</v>
      </c>
      <c r="B362" s="14">
        <v>1.5</v>
      </c>
      <c r="C362" s="6" t="s">
        <v>32</v>
      </c>
      <c r="D362" s="14">
        <v>0.0</v>
      </c>
      <c r="E362" s="78" t="str">
        <f t="shared" si="63"/>
        <v>#N/A</v>
      </c>
      <c r="F362" s="4" t="s">
        <v>1423</v>
      </c>
      <c r="G362" s="4" t="s">
        <v>1424</v>
      </c>
      <c r="H362" s="7">
        <v>0.5</v>
      </c>
      <c r="I362" s="5">
        <f t="shared" si="64"/>
        <v>2</v>
      </c>
      <c r="J362" s="17">
        <f t="shared" si="65"/>
        <v>0.5</v>
      </c>
      <c r="K362" s="11"/>
      <c r="L362" s="28" t="str">
        <f t="shared" si="66"/>
        <v>#N/A</v>
      </c>
      <c r="M362" s="28" t="str">
        <f t="shared" si="67"/>
        <v>#N/A</v>
      </c>
      <c r="N362" s="28" t="str">
        <f t="shared" si="68"/>
        <v>#N/A</v>
      </c>
      <c r="O362" s="74" t="e">
        <v>#N/A</v>
      </c>
      <c r="P362" s="29"/>
      <c r="Q362" s="28">
        <f t="shared" si="69"/>
        <v>0</v>
      </c>
    </row>
    <row r="363" ht="18.75" customHeight="1">
      <c r="A363" s="4" t="s">
        <v>826</v>
      </c>
      <c r="B363" s="14">
        <v>10.0</v>
      </c>
      <c r="C363" s="6" t="s">
        <v>32</v>
      </c>
      <c r="D363" s="59">
        <v>7.0</v>
      </c>
      <c r="E363" s="78" t="str">
        <f t="shared" si="63"/>
        <v>#N/A</v>
      </c>
      <c r="F363" s="4" t="s">
        <v>1423</v>
      </c>
      <c r="G363" s="1" t="s">
        <v>141</v>
      </c>
      <c r="H363" s="7">
        <v>5.0</v>
      </c>
      <c r="I363" s="5">
        <f t="shared" si="64"/>
        <v>1</v>
      </c>
      <c r="J363" s="17">
        <f t="shared" si="65"/>
        <v>2.5</v>
      </c>
      <c r="K363" s="11"/>
      <c r="L363" s="28" t="str">
        <f t="shared" si="66"/>
        <v>#N/A</v>
      </c>
      <c r="M363" s="28" t="str">
        <f t="shared" si="67"/>
        <v>#N/A</v>
      </c>
      <c r="N363" s="28" t="str">
        <f t="shared" si="68"/>
        <v>#N/A</v>
      </c>
      <c r="O363" s="74" t="e">
        <v>#N/A</v>
      </c>
      <c r="P363" s="29"/>
      <c r="Q363" s="28">
        <f t="shared" si="69"/>
        <v>35</v>
      </c>
    </row>
    <row r="365">
      <c r="L365" s="12"/>
      <c r="M365" s="12"/>
      <c r="N365" s="12"/>
    </row>
    <row r="366">
      <c r="L366" s="12"/>
      <c r="M366" s="12"/>
      <c r="N366" s="12"/>
    </row>
    <row r="367" ht="18.75" customHeight="1">
      <c r="B367" s="59"/>
      <c r="C367" s="59"/>
      <c r="D367" s="59" t="s">
        <v>733</v>
      </c>
      <c r="H367" s="12"/>
      <c r="I367" s="5"/>
      <c r="J367" s="17"/>
      <c r="K367" s="11"/>
      <c r="L367" s="12"/>
      <c r="M367" s="12"/>
      <c r="N367" s="12"/>
      <c r="O367" s="227" t="s">
        <v>733</v>
      </c>
    </row>
    <row r="368" ht="18.75" customHeight="1">
      <c r="B368" s="59"/>
      <c r="C368" s="59"/>
      <c r="D368" s="59" t="s">
        <v>733</v>
      </c>
      <c r="H368" s="12"/>
      <c r="I368" s="5"/>
      <c r="J368" s="17"/>
      <c r="K368" s="11"/>
      <c r="L368" s="12"/>
      <c r="M368" s="12"/>
      <c r="N368" s="12"/>
      <c r="O368" s="227" t="s">
        <v>733</v>
      </c>
    </row>
    <row r="369" ht="18.75" customHeight="1">
      <c r="B369" s="59"/>
      <c r="C369" s="59"/>
      <c r="D369" s="59" t="s">
        <v>733</v>
      </c>
      <c r="H369" s="12"/>
      <c r="I369" s="5"/>
      <c r="J369" s="17"/>
      <c r="K369" s="11"/>
      <c r="L369" s="12"/>
      <c r="M369" s="12"/>
      <c r="N369" s="12"/>
      <c r="O369" s="227" t="s">
        <v>733</v>
      </c>
    </row>
    <row r="370" ht="18.75" customHeight="1">
      <c r="B370" s="59"/>
      <c r="C370" s="59"/>
      <c r="D370" s="59" t="s">
        <v>733</v>
      </c>
      <c r="H370" s="12"/>
      <c r="I370" s="5"/>
      <c r="J370" s="17"/>
      <c r="K370" s="11"/>
      <c r="L370" s="12"/>
      <c r="M370" s="12"/>
      <c r="N370" s="12"/>
      <c r="O370" s="227" t="s">
        <v>733</v>
      </c>
    </row>
    <row r="371" ht="18.75" customHeight="1">
      <c r="B371" s="59"/>
      <c r="C371" s="59"/>
      <c r="D371" s="59" t="s">
        <v>733</v>
      </c>
      <c r="H371" s="12"/>
      <c r="I371" s="5"/>
      <c r="J371" s="17"/>
      <c r="K371" s="11"/>
      <c r="L371" s="12"/>
      <c r="M371" s="12"/>
      <c r="N371" s="12"/>
      <c r="O371" s="227" t="s">
        <v>733</v>
      </c>
    </row>
    <row r="372" ht="18.75" customHeight="1">
      <c r="B372" s="59"/>
      <c r="C372" s="59"/>
      <c r="D372" s="59" t="s">
        <v>733</v>
      </c>
      <c r="H372" s="12"/>
      <c r="I372" s="5"/>
      <c r="J372" s="17"/>
      <c r="K372" s="11"/>
      <c r="L372" s="12"/>
      <c r="M372" s="12"/>
      <c r="N372" s="12"/>
      <c r="O372" s="227" t="s">
        <v>733</v>
      </c>
    </row>
    <row r="373" ht="18.75" customHeight="1">
      <c r="B373" s="59"/>
      <c r="C373" s="59"/>
      <c r="D373" s="59" t="s">
        <v>733</v>
      </c>
      <c r="H373" s="12"/>
      <c r="I373" s="5"/>
      <c r="J373" s="17"/>
      <c r="K373" s="11"/>
      <c r="L373" s="12"/>
      <c r="M373" s="12"/>
      <c r="N373" s="12"/>
      <c r="O373" s="227" t="s">
        <v>733</v>
      </c>
    </row>
    <row r="374" ht="18.75" customHeight="1">
      <c r="B374" s="59"/>
      <c r="C374" s="59"/>
      <c r="D374" s="59" t="s">
        <v>733</v>
      </c>
      <c r="H374" s="12"/>
      <c r="I374" s="5"/>
      <c r="J374" s="17"/>
      <c r="K374" s="11"/>
      <c r="L374" s="12"/>
      <c r="M374" s="12"/>
      <c r="N374" s="12"/>
      <c r="O374" s="227" t="s">
        <v>733</v>
      </c>
    </row>
    <row r="375" ht="18.75" customHeight="1">
      <c r="B375" s="59"/>
      <c r="C375" s="59"/>
      <c r="D375" s="59" t="s">
        <v>733</v>
      </c>
      <c r="H375" s="12"/>
      <c r="I375" s="5"/>
      <c r="J375" s="17"/>
      <c r="K375" s="11"/>
      <c r="L375" s="12"/>
      <c r="M375" s="12"/>
      <c r="N375" s="12"/>
      <c r="O375" s="227" t="s">
        <v>733</v>
      </c>
    </row>
    <row r="376" ht="18.75" customHeight="1">
      <c r="B376" s="59"/>
      <c r="C376" s="59"/>
      <c r="D376" s="59" t="s">
        <v>733</v>
      </c>
      <c r="H376" s="12"/>
      <c r="I376" s="5"/>
      <c r="J376" s="17"/>
      <c r="K376" s="11"/>
      <c r="L376" s="12"/>
      <c r="M376" s="12"/>
      <c r="N376" s="12"/>
      <c r="O376" s="227" t="s">
        <v>733</v>
      </c>
    </row>
    <row r="377" ht="18.75" customHeight="1">
      <c r="B377" s="59"/>
      <c r="C377" s="59"/>
      <c r="D377" s="59" t="s">
        <v>733</v>
      </c>
      <c r="H377" s="12"/>
      <c r="I377" s="5"/>
      <c r="J377" s="17"/>
      <c r="K377" s="11"/>
      <c r="L377" s="12"/>
      <c r="M377" s="12"/>
      <c r="N377" s="12"/>
      <c r="O377" s="227" t="s">
        <v>733</v>
      </c>
    </row>
    <row r="378" ht="18.75" customHeight="1">
      <c r="B378" s="59"/>
      <c r="C378" s="59"/>
      <c r="D378" s="59" t="s">
        <v>733</v>
      </c>
      <c r="H378" s="12"/>
      <c r="I378" s="5"/>
      <c r="J378" s="17"/>
      <c r="K378" s="11"/>
      <c r="L378" s="12"/>
      <c r="M378" s="12"/>
      <c r="N378" s="12"/>
      <c r="O378" s="227" t="s">
        <v>733</v>
      </c>
    </row>
    <row r="379" ht="18.75" customHeight="1">
      <c r="B379" s="59"/>
      <c r="C379" s="59"/>
      <c r="D379" s="59" t="s">
        <v>733</v>
      </c>
      <c r="H379" s="12"/>
      <c r="I379" s="5"/>
      <c r="J379" s="17"/>
      <c r="K379" s="11"/>
      <c r="L379" s="12"/>
      <c r="M379" s="12"/>
      <c r="N379" s="12"/>
      <c r="O379" s="227" t="s">
        <v>733</v>
      </c>
    </row>
    <row r="380" ht="18.75" customHeight="1">
      <c r="B380" s="59"/>
      <c r="C380" s="59"/>
      <c r="D380" s="59" t="s">
        <v>733</v>
      </c>
      <c r="H380" s="12"/>
      <c r="I380" s="5"/>
      <c r="J380" s="17"/>
      <c r="K380" s="11"/>
      <c r="L380" s="12"/>
      <c r="M380" s="12"/>
      <c r="N380" s="12"/>
      <c r="O380" s="227" t="s">
        <v>733</v>
      </c>
    </row>
    <row r="381">
      <c r="B381" s="59"/>
      <c r="C381" s="59"/>
      <c r="D381" s="59" t="s">
        <v>733</v>
      </c>
      <c r="H381" s="12"/>
      <c r="I381" s="5"/>
      <c r="J381" s="17"/>
      <c r="K381" s="11"/>
      <c r="L381" s="12"/>
      <c r="M381" s="12"/>
      <c r="N381" s="12"/>
      <c r="O381" s="227" t="s">
        <v>733</v>
      </c>
    </row>
    <row r="382">
      <c r="B382" s="59"/>
      <c r="C382" s="59"/>
      <c r="D382" s="59" t="s">
        <v>733</v>
      </c>
      <c r="H382" s="12"/>
      <c r="I382" s="5"/>
      <c r="J382" s="17"/>
      <c r="K382" s="11"/>
      <c r="L382" s="12"/>
      <c r="M382" s="12"/>
      <c r="N382" s="12"/>
      <c r="O382" s="227" t="s">
        <v>733</v>
      </c>
    </row>
    <row r="383">
      <c r="B383" s="59"/>
      <c r="C383" s="59"/>
      <c r="D383" s="59" t="s">
        <v>733</v>
      </c>
      <c r="H383" s="12"/>
      <c r="I383" s="5"/>
      <c r="J383" s="17"/>
      <c r="K383" s="11"/>
      <c r="L383" s="12"/>
      <c r="M383" s="12"/>
      <c r="N383" s="12"/>
      <c r="O383" s="227" t="s">
        <v>733</v>
      </c>
    </row>
    <row r="384">
      <c r="B384" s="59"/>
      <c r="C384" s="59"/>
      <c r="D384" s="59" t="s">
        <v>733</v>
      </c>
      <c r="H384" s="12"/>
      <c r="I384" s="5"/>
      <c r="J384" s="17"/>
      <c r="K384" s="11"/>
      <c r="L384" s="12"/>
      <c r="M384" s="12"/>
      <c r="N384" s="12"/>
      <c r="O384" s="227" t="s">
        <v>733</v>
      </c>
    </row>
    <row r="385">
      <c r="B385" s="59"/>
      <c r="C385" s="59"/>
      <c r="D385" s="59" t="s">
        <v>733</v>
      </c>
      <c r="H385" s="12"/>
      <c r="I385" s="5"/>
      <c r="J385" s="17"/>
      <c r="K385" s="11"/>
      <c r="L385" s="12"/>
      <c r="M385" s="12"/>
      <c r="N385" s="12"/>
      <c r="O385" s="227" t="s">
        <v>733</v>
      </c>
    </row>
    <row r="386">
      <c r="B386" s="59"/>
      <c r="C386" s="59"/>
      <c r="D386" s="59" t="s">
        <v>733</v>
      </c>
      <c r="H386" s="12"/>
      <c r="I386" s="5"/>
      <c r="J386" s="17"/>
      <c r="K386" s="11"/>
      <c r="L386" s="12"/>
      <c r="M386" s="12"/>
      <c r="N386" s="12"/>
      <c r="O386" s="227" t="s">
        <v>733</v>
      </c>
    </row>
    <row r="387" ht="18.75" customHeight="1">
      <c r="B387" s="59"/>
      <c r="C387" s="59"/>
      <c r="D387" s="59" t="s">
        <v>733</v>
      </c>
      <c r="H387" s="12"/>
      <c r="I387" s="5"/>
      <c r="J387" s="17"/>
      <c r="K387" s="11"/>
      <c r="L387" s="12"/>
      <c r="M387" s="12"/>
      <c r="N387" s="12"/>
      <c r="O387" s="227" t="s">
        <v>733</v>
      </c>
    </row>
    <row r="388">
      <c r="B388" s="59"/>
      <c r="C388" s="59"/>
      <c r="D388" s="59" t="s">
        <v>733</v>
      </c>
      <c r="H388" s="12"/>
      <c r="I388" s="5"/>
      <c r="J388" s="17"/>
      <c r="K388" s="11"/>
      <c r="L388" s="12"/>
      <c r="M388" s="12"/>
      <c r="N388" s="12"/>
      <c r="O388" s="227" t="s">
        <v>733</v>
      </c>
    </row>
    <row r="389">
      <c r="B389" s="59"/>
      <c r="C389" s="59"/>
      <c r="D389" s="59" t="s">
        <v>733</v>
      </c>
      <c r="H389" s="12"/>
      <c r="I389" s="5"/>
      <c r="J389" s="17"/>
      <c r="K389" s="11"/>
      <c r="L389" s="12"/>
      <c r="M389" s="12"/>
      <c r="N389" s="12"/>
      <c r="O389" s="227" t="s">
        <v>733</v>
      </c>
    </row>
    <row r="390">
      <c r="B390" s="59"/>
      <c r="C390" s="59"/>
      <c r="D390" s="59" t="s">
        <v>733</v>
      </c>
      <c r="H390" s="12"/>
      <c r="I390" s="5"/>
      <c r="J390" s="17"/>
      <c r="K390" s="11"/>
      <c r="L390" s="12"/>
      <c r="M390" s="12"/>
      <c r="N390" s="12"/>
      <c r="O390" s="227" t="s">
        <v>733</v>
      </c>
    </row>
    <row r="391" ht="18.75" customHeight="1">
      <c r="B391" s="59"/>
      <c r="C391" s="59"/>
      <c r="D391" s="59" t="s">
        <v>733</v>
      </c>
      <c r="H391" s="12"/>
      <c r="I391" s="5"/>
      <c r="J391" s="17"/>
      <c r="K391" s="11"/>
      <c r="L391" s="12"/>
      <c r="M391" s="12"/>
      <c r="N391" s="12"/>
      <c r="O391" s="227" t="s">
        <v>733</v>
      </c>
    </row>
    <row r="392" ht="18.75" customHeight="1">
      <c r="B392" s="59"/>
      <c r="C392" s="59"/>
      <c r="D392" s="59" t="s">
        <v>733</v>
      </c>
      <c r="H392" s="12"/>
      <c r="I392" s="5"/>
      <c r="J392" s="17"/>
      <c r="K392" s="11"/>
      <c r="L392" s="12"/>
      <c r="M392" s="12"/>
      <c r="N392" s="12"/>
      <c r="O392" s="227" t="s">
        <v>733</v>
      </c>
    </row>
    <row r="393" ht="18.75" customHeight="1">
      <c r="B393" s="59"/>
      <c r="C393" s="59"/>
      <c r="D393" s="59" t="s">
        <v>733</v>
      </c>
      <c r="H393" s="12"/>
      <c r="I393" s="5"/>
      <c r="J393" s="17"/>
      <c r="K393" s="11"/>
      <c r="L393" s="12"/>
      <c r="M393" s="12"/>
      <c r="N393" s="12"/>
      <c r="O393" s="227" t="s">
        <v>733</v>
      </c>
    </row>
    <row r="394" ht="18.75" customHeight="1">
      <c r="B394" s="59"/>
      <c r="C394" s="59"/>
      <c r="D394" s="59" t="s">
        <v>733</v>
      </c>
      <c r="H394" s="12"/>
      <c r="I394" s="5"/>
      <c r="J394" s="17"/>
      <c r="K394" s="11"/>
      <c r="L394" s="12"/>
      <c r="M394" s="12"/>
      <c r="N394" s="12"/>
      <c r="O394" s="227" t="s">
        <v>733</v>
      </c>
    </row>
    <row r="395" ht="18.75" customHeight="1">
      <c r="B395" s="59"/>
      <c r="C395" s="59"/>
      <c r="D395" s="59" t="s">
        <v>733</v>
      </c>
      <c r="H395" s="12"/>
      <c r="I395" s="5"/>
      <c r="J395" s="17"/>
      <c r="K395" s="11"/>
      <c r="L395" s="12"/>
      <c r="M395" s="12"/>
      <c r="N395" s="12"/>
      <c r="O395" s="227" t="s">
        <v>733</v>
      </c>
    </row>
    <row r="396" ht="18.75" customHeight="1">
      <c r="B396" s="59"/>
      <c r="C396" s="59"/>
      <c r="D396" s="59" t="s">
        <v>733</v>
      </c>
      <c r="H396" s="12"/>
      <c r="I396" s="5"/>
      <c r="J396" s="17"/>
      <c r="K396" s="11"/>
      <c r="L396" s="12"/>
      <c r="M396" s="12"/>
      <c r="N396" s="12"/>
      <c r="O396" s="227" t="s">
        <v>733</v>
      </c>
    </row>
    <row r="397" ht="18.75" customHeight="1">
      <c r="B397" s="59"/>
      <c r="C397" s="59"/>
      <c r="D397" s="59" t="s">
        <v>733</v>
      </c>
      <c r="H397" s="12"/>
      <c r="I397" s="5"/>
      <c r="J397" s="17"/>
      <c r="K397" s="11"/>
      <c r="L397" s="12"/>
      <c r="M397" s="12"/>
      <c r="N397" s="12"/>
      <c r="O397" s="227" t="s">
        <v>733</v>
      </c>
    </row>
    <row r="398" ht="18.75" customHeight="1">
      <c r="B398" s="59"/>
      <c r="C398" s="59"/>
      <c r="D398" s="59" t="s">
        <v>733</v>
      </c>
      <c r="H398" s="12"/>
      <c r="I398" s="5"/>
      <c r="J398" s="17"/>
      <c r="K398" s="11"/>
      <c r="L398" s="12"/>
      <c r="M398" s="12"/>
      <c r="N398" s="12"/>
      <c r="O398" s="227" t="s">
        <v>733</v>
      </c>
    </row>
    <row r="399" ht="18.75" customHeight="1">
      <c r="B399" s="59"/>
      <c r="C399" s="59"/>
      <c r="D399" s="59" t="s">
        <v>733</v>
      </c>
      <c r="H399" s="12"/>
      <c r="I399" s="5"/>
      <c r="J399" s="17"/>
      <c r="K399" s="11"/>
      <c r="L399" s="12"/>
      <c r="M399" s="12"/>
      <c r="N399" s="12"/>
      <c r="O399" s="227" t="s">
        <v>733</v>
      </c>
    </row>
    <row r="400" ht="18.75" customHeight="1">
      <c r="B400" s="59"/>
      <c r="C400" s="59"/>
      <c r="D400" s="59" t="s">
        <v>733</v>
      </c>
      <c r="H400" s="12"/>
      <c r="I400" s="5"/>
      <c r="J400" s="17"/>
      <c r="K400" s="11"/>
      <c r="L400" s="12"/>
      <c r="M400" s="12"/>
      <c r="N400" s="12"/>
      <c r="O400" s="227" t="s">
        <v>733</v>
      </c>
    </row>
    <row r="401" ht="18.75" customHeight="1">
      <c r="B401" s="59"/>
      <c r="C401" s="59"/>
      <c r="D401" s="59" t="s">
        <v>733</v>
      </c>
      <c r="H401" s="12"/>
      <c r="I401" s="5"/>
      <c r="J401" s="17"/>
      <c r="K401" s="11"/>
      <c r="L401" s="12"/>
      <c r="M401" s="12"/>
      <c r="N401" s="12"/>
      <c r="O401" s="227" t="s">
        <v>733</v>
      </c>
    </row>
    <row r="402" ht="18.75" customHeight="1">
      <c r="B402" s="59"/>
      <c r="C402" s="59"/>
      <c r="D402" s="59" t="s">
        <v>733</v>
      </c>
      <c r="H402" s="12"/>
      <c r="I402" s="5"/>
      <c r="J402" s="17"/>
      <c r="K402" s="11"/>
      <c r="L402" s="12"/>
      <c r="M402" s="12"/>
      <c r="N402" s="12"/>
      <c r="O402" s="227" t="s">
        <v>733</v>
      </c>
    </row>
    <row r="403" ht="18.75" customHeight="1">
      <c r="B403" s="59"/>
      <c r="C403" s="59"/>
      <c r="D403" s="59" t="s">
        <v>733</v>
      </c>
      <c r="H403" s="12"/>
      <c r="I403" s="5"/>
      <c r="J403" s="17"/>
      <c r="K403" s="11"/>
      <c r="L403" s="12"/>
      <c r="M403" s="12"/>
      <c r="N403" s="12"/>
      <c r="O403" s="227" t="s">
        <v>733</v>
      </c>
    </row>
    <row r="404" ht="18.75" customHeight="1">
      <c r="B404" s="59"/>
      <c r="C404" s="59"/>
      <c r="D404" s="59" t="s">
        <v>733</v>
      </c>
      <c r="H404" s="12"/>
      <c r="I404" s="5"/>
      <c r="J404" s="17"/>
      <c r="K404" s="11"/>
      <c r="L404" s="12"/>
      <c r="M404" s="12"/>
      <c r="N404" s="12"/>
      <c r="O404" s="227" t="s">
        <v>733</v>
      </c>
    </row>
    <row r="405" ht="18.75" customHeight="1">
      <c r="B405" s="59"/>
      <c r="C405" s="59"/>
      <c r="D405" s="59" t="s">
        <v>733</v>
      </c>
      <c r="H405" s="12"/>
      <c r="I405" s="5"/>
      <c r="J405" s="17"/>
      <c r="K405" s="11"/>
      <c r="L405" s="12"/>
      <c r="M405" s="12"/>
      <c r="N405" s="12"/>
      <c r="O405" s="227" t="s">
        <v>733</v>
      </c>
    </row>
    <row r="406" ht="18.75" customHeight="1">
      <c r="B406" s="59"/>
      <c r="C406" s="59"/>
      <c r="D406" s="59" t="s">
        <v>733</v>
      </c>
      <c r="H406" s="12"/>
      <c r="I406" s="5"/>
      <c r="J406" s="17"/>
      <c r="K406" s="11"/>
      <c r="L406" s="12"/>
      <c r="M406" s="12"/>
      <c r="N406" s="12"/>
      <c r="O406" s="227" t="s">
        <v>733</v>
      </c>
    </row>
    <row r="407" ht="18.75" customHeight="1">
      <c r="B407" s="59"/>
      <c r="C407" s="59"/>
      <c r="D407" s="59" t="s">
        <v>733</v>
      </c>
      <c r="H407" s="12"/>
      <c r="I407" s="5"/>
      <c r="J407" s="17"/>
      <c r="K407" s="11"/>
      <c r="L407" s="12"/>
      <c r="M407" s="12"/>
      <c r="N407" s="12"/>
      <c r="O407" s="227" t="s">
        <v>733</v>
      </c>
    </row>
    <row r="408" ht="18.75" customHeight="1">
      <c r="B408" s="59"/>
      <c r="C408" s="59"/>
      <c r="D408" s="59" t="s">
        <v>733</v>
      </c>
      <c r="H408" s="12"/>
      <c r="I408" s="5"/>
      <c r="J408" s="17"/>
      <c r="K408" s="11"/>
      <c r="L408" s="12"/>
      <c r="M408" s="12"/>
      <c r="N408" s="12"/>
      <c r="O408" s="227" t="s">
        <v>733</v>
      </c>
    </row>
    <row r="409" ht="18.75" customHeight="1">
      <c r="B409" s="59"/>
      <c r="C409" s="59"/>
      <c r="D409" s="59" t="s">
        <v>733</v>
      </c>
      <c r="H409" s="12"/>
      <c r="I409" s="5"/>
      <c r="J409" s="17"/>
      <c r="K409" s="11"/>
      <c r="L409" s="12"/>
      <c r="M409" s="12"/>
      <c r="N409" s="12"/>
      <c r="O409" s="227" t="s">
        <v>733</v>
      </c>
    </row>
    <row r="410" ht="18.75" customHeight="1">
      <c r="B410" s="59"/>
      <c r="C410" s="59"/>
      <c r="D410" s="59" t="s">
        <v>733</v>
      </c>
      <c r="H410" s="12"/>
      <c r="I410" s="5"/>
      <c r="J410" s="17"/>
      <c r="K410" s="11"/>
      <c r="L410" s="12"/>
      <c r="M410" s="12"/>
      <c r="N410" s="12"/>
      <c r="O410" s="227" t="s">
        <v>733</v>
      </c>
    </row>
    <row r="411" ht="18.75" customHeight="1">
      <c r="B411" s="59"/>
      <c r="C411" s="59"/>
      <c r="D411" s="59" t="s">
        <v>733</v>
      </c>
      <c r="H411" s="12"/>
      <c r="I411" s="5"/>
      <c r="J411" s="17"/>
      <c r="K411" s="11"/>
      <c r="L411" s="12"/>
      <c r="M411" s="12"/>
      <c r="N411" s="12"/>
      <c r="O411" s="227" t="s">
        <v>733</v>
      </c>
    </row>
    <row r="412" ht="18.75" customHeight="1">
      <c r="B412" s="59"/>
      <c r="C412" s="59"/>
      <c r="D412" s="59" t="s">
        <v>733</v>
      </c>
      <c r="H412" s="12"/>
      <c r="I412" s="5"/>
      <c r="J412" s="17"/>
      <c r="K412" s="11"/>
      <c r="L412" s="12"/>
      <c r="M412" s="12"/>
      <c r="N412" s="12"/>
      <c r="O412" s="227" t="s">
        <v>733</v>
      </c>
    </row>
    <row r="413" ht="18.75" customHeight="1">
      <c r="B413" s="59"/>
      <c r="C413" s="59"/>
      <c r="D413" s="59" t="s">
        <v>733</v>
      </c>
      <c r="H413" s="12"/>
      <c r="I413" s="5"/>
      <c r="J413" s="17"/>
      <c r="K413" s="11"/>
      <c r="L413" s="12"/>
      <c r="M413" s="12"/>
      <c r="N413" s="12"/>
      <c r="O413" s="227" t="s">
        <v>733</v>
      </c>
    </row>
    <row r="414" ht="18.75" customHeight="1">
      <c r="B414" s="59"/>
      <c r="C414" s="59"/>
      <c r="D414" s="59" t="s">
        <v>733</v>
      </c>
      <c r="H414" s="12"/>
      <c r="I414" s="5"/>
      <c r="J414" s="17"/>
      <c r="K414" s="11"/>
      <c r="L414" s="12"/>
      <c r="M414" s="12"/>
      <c r="N414" s="12"/>
      <c r="O414" s="227" t="s">
        <v>733</v>
      </c>
    </row>
    <row r="415" ht="18.75" customHeight="1">
      <c r="B415" s="59"/>
      <c r="C415" s="59"/>
      <c r="D415" s="59" t="s">
        <v>733</v>
      </c>
      <c r="H415" s="12"/>
      <c r="I415" s="5"/>
      <c r="J415" s="17"/>
      <c r="K415" s="11"/>
      <c r="L415" s="12"/>
      <c r="M415" s="12"/>
      <c r="N415" s="12"/>
      <c r="O415" s="227" t="s">
        <v>733</v>
      </c>
    </row>
    <row r="416" ht="18.75" customHeight="1">
      <c r="B416" s="59"/>
      <c r="C416" s="59"/>
      <c r="D416" s="59" t="s">
        <v>733</v>
      </c>
      <c r="H416" s="12"/>
      <c r="I416" s="5"/>
      <c r="J416" s="17"/>
      <c r="K416" s="11"/>
      <c r="L416" s="12"/>
      <c r="M416" s="12"/>
      <c r="N416" s="12"/>
      <c r="O416" s="227" t="s">
        <v>733</v>
      </c>
    </row>
    <row r="417" ht="18.75" customHeight="1">
      <c r="B417" s="59"/>
      <c r="C417" s="59"/>
      <c r="D417" s="59" t="s">
        <v>733</v>
      </c>
      <c r="H417" s="12"/>
      <c r="I417" s="5"/>
      <c r="J417" s="17"/>
      <c r="K417" s="11"/>
      <c r="L417" s="12"/>
      <c r="M417" s="12"/>
      <c r="N417" s="12"/>
      <c r="O417" s="227" t="s">
        <v>733</v>
      </c>
    </row>
    <row r="418" ht="18.75" customHeight="1">
      <c r="B418" s="59"/>
      <c r="C418" s="59"/>
      <c r="D418" s="59" t="s">
        <v>733</v>
      </c>
      <c r="H418" s="12"/>
      <c r="I418" s="5"/>
      <c r="J418" s="17"/>
      <c r="K418" s="11"/>
      <c r="L418" s="12"/>
      <c r="M418" s="12"/>
      <c r="N418" s="12"/>
      <c r="O418" s="227" t="s">
        <v>733</v>
      </c>
    </row>
    <row r="419" ht="18.75" customHeight="1">
      <c r="B419" s="59"/>
      <c r="C419" s="59"/>
      <c r="D419" s="59" t="s">
        <v>733</v>
      </c>
      <c r="H419" s="12"/>
      <c r="I419" s="5"/>
      <c r="J419" s="17"/>
      <c r="K419" s="11"/>
      <c r="L419" s="12"/>
      <c r="M419" s="12"/>
      <c r="N419" s="12"/>
      <c r="O419" s="227" t="s">
        <v>733</v>
      </c>
    </row>
    <row r="420" ht="18.75" customHeight="1">
      <c r="B420" s="59"/>
      <c r="C420" s="59"/>
      <c r="D420" s="59" t="s">
        <v>733</v>
      </c>
      <c r="H420" s="12"/>
      <c r="I420" s="5"/>
      <c r="J420" s="17"/>
      <c r="K420" s="11"/>
      <c r="L420" s="12"/>
      <c r="M420" s="12"/>
      <c r="N420" s="12"/>
      <c r="O420" s="227" t="s">
        <v>733</v>
      </c>
    </row>
    <row r="421" ht="18.75" customHeight="1">
      <c r="B421" s="59"/>
      <c r="C421" s="59"/>
      <c r="D421" s="59" t="s">
        <v>733</v>
      </c>
      <c r="H421" s="12"/>
      <c r="I421" s="5"/>
      <c r="J421" s="17"/>
      <c r="K421" s="11"/>
      <c r="L421" s="12"/>
      <c r="M421" s="12"/>
      <c r="N421" s="12"/>
      <c r="O421" s="227" t="s">
        <v>733</v>
      </c>
    </row>
    <row r="422" ht="18.75" customHeight="1">
      <c r="B422" s="59"/>
      <c r="C422" s="59"/>
      <c r="D422" s="59" t="s">
        <v>733</v>
      </c>
      <c r="H422" s="12"/>
      <c r="I422" s="5"/>
      <c r="J422" s="17"/>
      <c r="K422" s="11"/>
      <c r="L422" s="12"/>
      <c r="M422" s="12"/>
      <c r="N422" s="12"/>
      <c r="O422" s="227" t="s">
        <v>733</v>
      </c>
    </row>
    <row r="423" ht="18.75" customHeight="1">
      <c r="B423" s="59"/>
      <c r="C423" s="59"/>
      <c r="D423" s="59" t="s">
        <v>733</v>
      </c>
      <c r="H423" s="12"/>
      <c r="I423" s="5"/>
      <c r="J423" s="17"/>
      <c r="K423" s="11"/>
      <c r="L423" s="12"/>
      <c r="M423" s="12"/>
      <c r="N423" s="12"/>
      <c r="O423" s="227" t="s">
        <v>733</v>
      </c>
    </row>
    <row r="424" ht="18.75" customHeight="1">
      <c r="B424" s="59"/>
      <c r="C424" s="59"/>
      <c r="D424" s="59" t="s">
        <v>733</v>
      </c>
      <c r="H424" s="12"/>
      <c r="I424" s="5"/>
      <c r="J424" s="17"/>
      <c r="K424" s="11"/>
      <c r="L424" s="12"/>
      <c r="M424" s="12"/>
      <c r="N424" s="12"/>
      <c r="O424" s="227" t="s">
        <v>733</v>
      </c>
    </row>
    <row r="425" ht="18.75" customHeight="1">
      <c r="B425" s="59"/>
      <c r="C425" s="59"/>
      <c r="D425" s="59" t="s">
        <v>733</v>
      </c>
      <c r="H425" s="12"/>
      <c r="I425" s="5"/>
      <c r="J425" s="17"/>
      <c r="K425" s="11"/>
      <c r="L425" s="12"/>
      <c r="M425" s="12"/>
      <c r="N425" s="12"/>
      <c r="O425" s="227" t="s">
        <v>733</v>
      </c>
    </row>
    <row r="426" ht="18.75" customHeight="1">
      <c r="B426" s="59"/>
      <c r="C426" s="59"/>
      <c r="D426" s="59" t="s">
        <v>733</v>
      </c>
      <c r="H426" s="12"/>
      <c r="I426" s="5"/>
      <c r="J426" s="17"/>
      <c r="K426" s="11"/>
      <c r="L426" s="12"/>
      <c r="M426" s="12"/>
      <c r="N426" s="12"/>
      <c r="O426" s="227" t="s">
        <v>733</v>
      </c>
    </row>
    <row r="427" ht="18.75" customHeight="1">
      <c r="B427" s="59"/>
      <c r="C427" s="59"/>
      <c r="D427" s="59" t="s">
        <v>733</v>
      </c>
      <c r="H427" s="12"/>
      <c r="I427" s="5"/>
      <c r="J427" s="17"/>
      <c r="K427" s="11"/>
      <c r="L427" s="12"/>
      <c r="M427" s="12"/>
      <c r="N427" s="12"/>
      <c r="O427" s="227" t="s">
        <v>733</v>
      </c>
    </row>
    <row r="428" ht="18.75" customHeight="1">
      <c r="B428" s="59"/>
      <c r="C428" s="59"/>
      <c r="D428" s="59" t="s">
        <v>733</v>
      </c>
      <c r="H428" s="12"/>
      <c r="I428" s="5"/>
      <c r="J428" s="17"/>
      <c r="K428" s="11"/>
      <c r="L428" s="12"/>
      <c r="M428" s="12"/>
      <c r="N428" s="12"/>
      <c r="O428" s="227" t="s">
        <v>733</v>
      </c>
    </row>
    <row r="429" ht="18.75" customHeight="1">
      <c r="B429" s="59"/>
      <c r="C429" s="59"/>
      <c r="D429" s="59" t="s">
        <v>733</v>
      </c>
      <c r="H429" s="12"/>
      <c r="I429" s="5"/>
      <c r="J429" s="17"/>
      <c r="K429" s="11"/>
      <c r="L429" s="12"/>
      <c r="M429" s="12"/>
      <c r="N429" s="12"/>
      <c r="O429" s="227" t="s">
        <v>733</v>
      </c>
    </row>
    <row r="430" ht="18.75" customHeight="1">
      <c r="B430" s="59"/>
      <c r="C430" s="59"/>
      <c r="D430" s="59" t="s">
        <v>733</v>
      </c>
      <c r="H430" s="12"/>
      <c r="I430" s="5"/>
      <c r="J430" s="17"/>
      <c r="K430" s="11"/>
      <c r="L430" s="12"/>
      <c r="M430" s="12"/>
      <c r="N430" s="12"/>
      <c r="O430" s="227" t="s">
        <v>733</v>
      </c>
    </row>
    <row r="431" ht="18.75" customHeight="1">
      <c r="B431" s="59"/>
      <c r="C431" s="59"/>
      <c r="D431" s="59" t="s">
        <v>733</v>
      </c>
      <c r="H431" s="12"/>
      <c r="I431" s="5"/>
      <c r="J431" s="17"/>
      <c r="K431" s="11"/>
      <c r="L431" s="12"/>
      <c r="M431" s="12"/>
      <c r="N431" s="12"/>
      <c r="O431" s="227" t="s">
        <v>733</v>
      </c>
    </row>
    <row r="432" ht="18.75" customHeight="1">
      <c r="B432" s="59"/>
      <c r="C432" s="59"/>
      <c r="D432" s="59" t="s">
        <v>733</v>
      </c>
      <c r="H432" s="12"/>
      <c r="I432" s="5"/>
      <c r="J432" s="17"/>
      <c r="K432" s="11"/>
      <c r="L432" s="12"/>
      <c r="M432" s="12"/>
      <c r="N432" s="12"/>
      <c r="O432" s="227" t="s">
        <v>733</v>
      </c>
    </row>
    <row r="433" ht="18.75" customHeight="1">
      <c r="B433" s="59"/>
      <c r="C433" s="59"/>
      <c r="D433" s="59" t="s">
        <v>733</v>
      </c>
      <c r="H433" s="12"/>
      <c r="I433" s="5"/>
      <c r="J433" s="17"/>
      <c r="K433" s="11"/>
      <c r="L433" s="12"/>
      <c r="M433" s="12"/>
      <c r="N433" s="12"/>
      <c r="O433" s="227" t="s">
        <v>733</v>
      </c>
    </row>
    <row r="434" ht="18.75" customHeight="1">
      <c r="B434" s="59"/>
      <c r="C434" s="59"/>
      <c r="D434" s="59" t="s">
        <v>733</v>
      </c>
      <c r="H434" s="12"/>
      <c r="I434" s="5"/>
      <c r="J434" s="17"/>
      <c r="K434" s="11"/>
      <c r="L434" s="12"/>
      <c r="M434" s="12"/>
      <c r="N434" s="12"/>
      <c r="O434" s="227" t="s">
        <v>733</v>
      </c>
    </row>
    <row r="435" ht="18.75" customHeight="1">
      <c r="B435" s="59"/>
      <c r="C435" s="59"/>
      <c r="D435" s="59" t="s">
        <v>733</v>
      </c>
      <c r="H435" s="12"/>
      <c r="I435" s="5"/>
      <c r="J435" s="17"/>
      <c r="K435" s="11"/>
      <c r="L435" s="12"/>
      <c r="M435" s="12"/>
      <c r="N435" s="12"/>
      <c r="O435" s="227" t="s">
        <v>733</v>
      </c>
    </row>
    <row r="436" ht="18.75" customHeight="1">
      <c r="B436" s="59"/>
      <c r="C436" s="59"/>
      <c r="D436" s="59" t="s">
        <v>733</v>
      </c>
      <c r="H436" s="12"/>
      <c r="I436" s="5"/>
      <c r="J436" s="17"/>
      <c r="K436" s="11"/>
      <c r="L436" s="12"/>
      <c r="M436" s="12"/>
      <c r="N436" s="12"/>
      <c r="O436" s="227" t="s">
        <v>733</v>
      </c>
    </row>
    <row r="437" ht="18.75" customHeight="1">
      <c r="B437" s="59"/>
      <c r="C437" s="59"/>
      <c r="D437" s="59" t="s">
        <v>733</v>
      </c>
      <c r="H437" s="12"/>
      <c r="I437" s="5"/>
      <c r="J437" s="17"/>
      <c r="K437" s="11"/>
      <c r="L437" s="12"/>
      <c r="M437" s="12"/>
      <c r="N437" s="12"/>
      <c r="O437" s="227" t="s">
        <v>733</v>
      </c>
    </row>
    <row r="438" ht="18.75" customHeight="1">
      <c r="B438" s="59"/>
      <c r="C438" s="59"/>
      <c r="D438" s="59" t="s">
        <v>733</v>
      </c>
      <c r="H438" s="12"/>
      <c r="I438" s="5"/>
      <c r="J438" s="17"/>
      <c r="K438" s="11"/>
      <c r="L438" s="12"/>
      <c r="M438" s="12"/>
      <c r="N438" s="12"/>
      <c r="O438" s="227" t="s">
        <v>733</v>
      </c>
    </row>
    <row r="439" ht="18.75" customHeight="1">
      <c r="B439" s="59"/>
      <c r="C439" s="59"/>
      <c r="D439" s="59" t="s">
        <v>733</v>
      </c>
      <c r="H439" s="12"/>
      <c r="I439" s="5"/>
      <c r="J439" s="17"/>
      <c r="K439" s="11"/>
      <c r="L439" s="12"/>
      <c r="M439" s="12"/>
      <c r="N439" s="12"/>
      <c r="O439" s="227" t="s">
        <v>733</v>
      </c>
    </row>
    <row r="440" ht="18.75" customHeight="1">
      <c r="B440" s="59"/>
      <c r="C440" s="59"/>
      <c r="D440" s="59" t="s">
        <v>733</v>
      </c>
      <c r="H440" s="12"/>
      <c r="I440" s="5"/>
      <c r="J440" s="17"/>
      <c r="K440" s="11"/>
      <c r="L440" s="12"/>
      <c r="M440" s="12"/>
      <c r="N440" s="12"/>
      <c r="O440" s="227" t="s">
        <v>733</v>
      </c>
    </row>
    <row r="441" ht="18.75" customHeight="1">
      <c r="B441" s="59"/>
      <c r="C441" s="59"/>
      <c r="D441" s="59" t="s">
        <v>733</v>
      </c>
      <c r="H441" s="12"/>
      <c r="I441" s="5"/>
      <c r="J441" s="17"/>
      <c r="K441" s="11"/>
      <c r="L441" s="12"/>
      <c r="M441" s="12"/>
      <c r="N441" s="12"/>
      <c r="O441" s="227" t="s">
        <v>733</v>
      </c>
    </row>
    <row r="442" ht="18.75" customHeight="1">
      <c r="B442" s="59"/>
      <c r="C442" s="59"/>
      <c r="D442" s="59" t="s">
        <v>733</v>
      </c>
      <c r="H442" s="12"/>
      <c r="I442" s="5"/>
      <c r="J442" s="17"/>
      <c r="K442" s="11"/>
      <c r="L442" s="12"/>
      <c r="M442" s="12"/>
      <c r="N442" s="12"/>
      <c r="O442" s="227" t="s">
        <v>733</v>
      </c>
    </row>
    <row r="443" ht="18.75" customHeight="1">
      <c r="B443" s="59"/>
      <c r="C443" s="59"/>
      <c r="D443" s="59" t="s">
        <v>733</v>
      </c>
      <c r="H443" s="12"/>
      <c r="I443" s="5"/>
      <c r="J443" s="17"/>
      <c r="K443" s="11"/>
      <c r="L443" s="12"/>
      <c r="M443" s="12"/>
      <c r="N443" s="12"/>
      <c r="O443" s="227" t="s">
        <v>733</v>
      </c>
    </row>
    <row r="444" ht="18.75" customHeight="1">
      <c r="B444" s="59"/>
      <c r="C444" s="59"/>
      <c r="D444" s="59" t="s">
        <v>733</v>
      </c>
      <c r="H444" s="12"/>
      <c r="I444" s="5"/>
      <c r="J444" s="17"/>
      <c r="K444" s="11"/>
      <c r="L444" s="12"/>
      <c r="M444" s="12"/>
      <c r="N444" s="12"/>
      <c r="O444" s="227" t="s">
        <v>733</v>
      </c>
    </row>
    <row r="445" ht="18.75" customHeight="1">
      <c r="B445" s="59"/>
      <c r="C445" s="59"/>
      <c r="D445" s="59" t="s">
        <v>733</v>
      </c>
      <c r="H445" s="12"/>
      <c r="I445" s="5"/>
      <c r="J445" s="17"/>
      <c r="K445" s="11"/>
      <c r="L445" s="12"/>
      <c r="M445" s="12"/>
      <c r="N445" s="12"/>
      <c r="O445" s="227" t="s">
        <v>733</v>
      </c>
    </row>
    <row r="446" ht="18.75" customHeight="1">
      <c r="B446" s="59"/>
      <c r="C446" s="59"/>
      <c r="D446" s="59" t="s">
        <v>733</v>
      </c>
      <c r="H446" s="12"/>
      <c r="I446" s="5"/>
      <c r="J446" s="17"/>
      <c r="K446" s="11"/>
      <c r="L446" s="12"/>
      <c r="M446" s="12"/>
      <c r="N446" s="12"/>
      <c r="O446" s="227" t="s">
        <v>733</v>
      </c>
    </row>
    <row r="447" ht="18.75" customHeight="1">
      <c r="B447" s="59"/>
      <c r="C447" s="59"/>
      <c r="D447" s="59" t="s">
        <v>733</v>
      </c>
      <c r="H447" s="12"/>
      <c r="I447" s="5"/>
      <c r="J447" s="17"/>
      <c r="K447" s="11"/>
      <c r="L447" s="12"/>
      <c r="M447" s="12"/>
      <c r="N447" s="12"/>
      <c r="O447" s="227" t="s">
        <v>733</v>
      </c>
    </row>
    <row r="448" ht="18.75" customHeight="1">
      <c r="B448" s="59"/>
      <c r="C448" s="59"/>
      <c r="D448" s="59" t="s">
        <v>733</v>
      </c>
      <c r="H448" s="12"/>
      <c r="I448" s="5"/>
      <c r="J448" s="17"/>
      <c r="K448" s="11"/>
      <c r="L448" s="12"/>
      <c r="M448" s="12"/>
      <c r="N448" s="12"/>
      <c r="O448" s="227" t="s">
        <v>733</v>
      </c>
    </row>
    <row r="449" ht="18.75" customHeight="1">
      <c r="B449" s="59"/>
      <c r="C449" s="59"/>
      <c r="D449" s="59" t="s">
        <v>733</v>
      </c>
      <c r="H449" s="12"/>
      <c r="I449" s="5"/>
      <c r="J449" s="17"/>
      <c r="K449" s="11"/>
      <c r="L449" s="12"/>
      <c r="M449" s="12"/>
      <c r="N449" s="12"/>
      <c r="O449" s="227" t="s">
        <v>733</v>
      </c>
    </row>
    <row r="450" ht="18.75" customHeight="1">
      <c r="B450" s="59"/>
      <c r="C450" s="59"/>
      <c r="D450" s="59" t="s">
        <v>733</v>
      </c>
      <c r="H450" s="12"/>
      <c r="I450" s="5"/>
      <c r="J450" s="17"/>
      <c r="K450" s="11"/>
      <c r="L450" s="12"/>
      <c r="M450" s="12"/>
      <c r="N450" s="12"/>
      <c r="O450" s="227" t="s">
        <v>733</v>
      </c>
    </row>
    <row r="451" ht="18.75" customHeight="1">
      <c r="B451" s="59"/>
      <c r="C451" s="59"/>
      <c r="D451" s="59" t="s">
        <v>733</v>
      </c>
      <c r="H451" s="12"/>
      <c r="I451" s="5"/>
      <c r="J451" s="17"/>
      <c r="K451" s="11"/>
      <c r="L451" s="12"/>
      <c r="M451" s="12"/>
      <c r="N451" s="12"/>
      <c r="O451" s="227" t="s">
        <v>733</v>
      </c>
    </row>
    <row r="452" ht="18.75" customHeight="1">
      <c r="B452" s="59"/>
      <c r="C452" s="59"/>
      <c r="D452" s="59" t="s">
        <v>733</v>
      </c>
      <c r="H452" s="12"/>
      <c r="I452" s="5"/>
      <c r="J452" s="17"/>
      <c r="K452" s="11"/>
      <c r="L452" s="12"/>
      <c r="M452" s="12"/>
      <c r="N452" s="12"/>
      <c r="O452" s="227" t="s">
        <v>733</v>
      </c>
    </row>
    <row r="453" ht="18.75" customHeight="1">
      <c r="B453" s="59"/>
      <c r="C453" s="59"/>
      <c r="D453" s="59" t="s">
        <v>733</v>
      </c>
      <c r="H453" s="12"/>
      <c r="I453" s="5"/>
      <c r="J453" s="17"/>
      <c r="K453" s="11"/>
      <c r="L453" s="12"/>
      <c r="M453" s="12"/>
      <c r="N453" s="12"/>
      <c r="O453" s="227" t="s">
        <v>733</v>
      </c>
    </row>
    <row r="454" ht="18.75" customHeight="1">
      <c r="B454" s="59"/>
      <c r="C454" s="59"/>
      <c r="D454" s="59" t="s">
        <v>733</v>
      </c>
      <c r="H454" s="12"/>
      <c r="I454" s="5"/>
      <c r="J454" s="17"/>
      <c r="K454" s="11"/>
      <c r="L454" s="12"/>
      <c r="M454" s="12"/>
      <c r="N454" s="12"/>
      <c r="O454" s="227" t="s">
        <v>733</v>
      </c>
    </row>
    <row r="455" ht="18.75" customHeight="1">
      <c r="B455" s="59"/>
      <c r="C455" s="59"/>
      <c r="D455" s="59" t="s">
        <v>733</v>
      </c>
      <c r="H455" s="12"/>
      <c r="I455" s="5"/>
      <c r="J455" s="17"/>
      <c r="K455" s="11"/>
      <c r="L455" s="12"/>
      <c r="M455" s="12"/>
      <c r="N455" s="12"/>
      <c r="O455" s="227" t="s">
        <v>733</v>
      </c>
    </row>
    <row r="456" ht="18.75" customHeight="1">
      <c r="B456" s="59"/>
      <c r="C456" s="59"/>
      <c r="D456" s="59" t="s">
        <v>733</v>
      </c>
      <c r="H456" s="12"/>
      <c r="I456" s="5"/>
      <c r="J456" s="17"/>
      <c r="K456" s="11"/>
      <c r="L456" s="12"/>
      <c r="M456" s="12"/>
      <c r="N456" s="12"/>
      <c r="O456" s="227" t="s">
        <v>733</v>
      </c>
    </row>
    <row r="457" ht="18.75" customHeight="1">
      <c r="B457" s="59"/>
      <c r="C457" s="59"/>
      <c r="D457" s="59" t="s">
        <v>733</v>
      </c>
      <c r="H457" s="12"/>
      <c r="I457" s="5"/>
      <c r="J457" s="17"/>
      <c r="K457" s="11"/>
      <c r="L457" s="12"/>
      <c r="M457" s="12"/>
      <c r="N457" s="12"/>
      <c r="O457" s="227" t="s">
        <v>733</v>
      </c>
    </row>
    <row r="458" ht="18.75" customHeight="1">
      <c r="B458" s="59"/>
      <c r="C458" s="59"/>
      <c r="D458" s="59" t="s">
        <v>733</v>
      </c>
      <c r="H458" s="12"/>
      <c r="I458" s="5"/>
      <c r="J458" s="17"/>
      <c r="K458" s="11"/>
      <c r="L458" s="12"/>
      <c r="M458" s="12"/>
      <c r="N458" s="12"/>
      <c r="O458" s="227" t="s">
        <v>733</v>
      </c>
    </row>
    <row r="459" ht="18.75" customHeight="1">
      <c r="B459" s="59"/>
      <c r="C459" s="59"/>
      <c r="D459" s="59" t="s">
        <v>733</v>
      </c>
      <c r="H459" s="12"/>
      <c r="I459" s="5"/>
      <c r="J459" s="17"/>
      <c r="K459" s="11"/>
      <c r="L459" s="12"/>
      <c r="M459" s="12"/>
      <c r="N459" s="12"/>
      <c r="O459" s="227" t="s">
        <v>733</v>
      </c>
    </row>
    <row r="460" ht="18.75" customHeight="1">
      <c r="B460" s="59"/>
      <c r="C460" s="59"/>
      <c r="D460" s="59" t="s">
        <v>733</v>
      </c>
      <c r="H460" s="12"/>
      <c r="I460" s="5"/>
      <c r="J460" s="17"/>
      <c r="K460" s="11"/>
      <c r="L460" s="12"/>
      <c r="M460" s="12"/>
      <c r="N460" s="12"/>
      <c r="O460" s="227" t="s">
        <v>733</v>
      </c>
    </row>
    <row r="461" ht="18.75" customHeight="1">
      <c r="B461" s="59"/>
      <c r="C461" s="59"/>
      <c r="D461" s="59" t="s">
        <v>733</v>
      </c>
      <c r="H461" s="12"/>
      <c r="I461" s="5"/>
      <c r="J461" s="17"/>
      <c r="K461" s="11"/>
      <c r="L461" s="12"/>
      <c r="M461" s="12"/>
      <c r="N461" s="12"/>
      <c r="O461" s="227" t="s">
        <v>733</v>
      </c>
    </row>
    <row r="462" ht="18.75" customHeight="1">
      <c r="B462" s="59"/>
      <c r="C462" s="59"/>
      <c r="D462" s="59" t="s">
        <v>733</v>
      </c>
      <c r="H462" s="12"/>
      <c r="I462" s="5"/>
      <c r="J462" s="17"/>
      <c r="K462" s="11"/>
      <c r="L462" s="12"/>
      <c r="M462" s="12"/>
      <c r="N462" s="12"/>
      <c r="O462" s="227" t="s">
        <v>733</v>
      </c>
    </row>
    <row r="463" ht="18.75" customHeight="1">
      <c r="B463" s="59"/>
      <c r="C463" s="59"/>
      <c r="D463" s="59" t="s">
        <v>733</v>
      </c>
      <c r="H463" s="12"/>
      <c r="I463" s="5"/>
      <c r="J463" s="17"/>
      <c r="K463" s="11"/>
      <c r="L463" s="12"/>
      <c r="M463" s="12"/>
      <c r="N463" s="12"/>
      <c r="O463" s="227" t="s">
        <v>733</v>
      </c>
    </row>
    <row r="464" ht="18.75" customHeight="1">
      <c r="B464" s="59"/>
      <c r="C464" s="59"/>
      <c r="D464" s="59" t="s">
        <v>733</v>
      </c>
      <c r="H464" s="12"/>
      <c r="I464" s="5"/>
      <c r="J464" s="17"/>
      <c r="K464" s="11"/>
      <c r="L464" s="12"/>
      <c r="M464" s="12"/>
      <c r="N464" s="12"/>
      <c r="O464" s="227" t="s">
        <v>733</v>
      </c>
    </row>
    <row r="465" ht="18.75" customHeight="1">
      <c r="B465" s="59"/>
      <c r="C465" s="59"/>
      <c r="D465" s="59" t="s">
        <v>733</v>
      </c>
      <c r="H465" s="12"/>
      <c r="I465" s="5"/>
      <c r="J465" s="17"/>
      <c r="K465" s="11"/>
      <c r="L465" s="12"/>
      <c r="M465" s="12"/>
      <c r="N465" s="12"/>
      <c r="O465" s="227" t="s">
        <v>733</v>
      </c>
    </row>
    <row r="466" ht="18.75" customHeight="1">
      <c r="B466" s="59"/>
      <c r="C466" s="59"/>
      <c r="D466" s="59" t="s">
        <v>733</v>
      </c>
      <c r="H466" s="12"/>
      <c r="I466" s="5"/>
      <c r="J466" s="17"/>
      <c r="K466" s="11"/>
      <c r="L466" s="12"/>
      <c r="M466" s="12"/>
      <c r="N466" s="12"/>
      <c r="O466" s="227" t="s">
        <v>733</v>
      </c>
    </row>
    <row r="467" ht="18.75" customHeight="1">
      <c r="B467" s="59"/>
      <c r="C467" s="59"/>
      <c r="D467" s="59" t="s">
        <v>733</v>
      </c>
      <c r="H467" s="12"/>
      <c r="I467" s="5"/>
      <c r="J467" s="17"/>
      <c r="K467" s="11"/>
      <c r="L467" s="12"/>
      <c r="M467" s="12"/>
      <c r="N467" s="12"/>
      <c r="O467" s="227" t="s">
        <v>733</v>
      </c>
    </row>
    <row r="468" ht="18.75" customHeight="1">
      <c r="B468" s="59"/>
      <c r="C468" s="59"/>
      <c r="D468" s="59" t="s">
        <v>733</v>
      </c>
      <c r="H468" s="12"/>
      <c r="I468" s="5"/>
      <c r="J468" s="17"/>
      <c r="K468" s="11"/>
      <c r="L468" s="12"/>
      <c r="M468" s="12"/>
      <c r="N468" s="12"/>
      <c r="O468" s="227" t="s">
        <v>733</v>
      </c>
    </row>
    <row r="469" ht="18.75" customHeight="1">
      <c r="B469" s="59"/>
      <c r="C469" s="59"/>
      <c r="D469" s="59" t="s">
        <v>733</v>
      </c>
      <c r="H469" s="12"/>
      <c r="I469" s="5"/>
      <c r="J469" s="17"/>
      <c r="K469" s="11"/>
      <c r="L469" s="12"/>
      <c r="M469" s="12"/>
      <c r="N469" s="12"/>
      <c r="O469" s="227" t="s">
        <v>733</v>
      </c>
    </row>
    <row r="470" ht="18.75" customHeight="1">
      <c r="B470" s="59"/>
      <c r="C470" s="59"/>
      <c r="D470" s="59" t="s">
        <v>733</v>
      </c>
      <c r="H470" s="12"/>
      <c r="I470" s="5"/>
      <c r="J470" s="17"/>
      <c r="K470" s="11"/>
      <c r="L470" s="12"/>
      <c r="M470" s="12"/>
      <c r="N470" s="12"/>
      <c r="O470" s="227" t="s">
        <v>733</v>
      </c>
    </row>
    <row r="471" ht="18.75" customHeight="1">
      <c r="B471" s="59"/>
      <c r="C471" s="59"/>
      <c r="D471" s="59" t="s">
        <v>733</v>
      </c>
      <c r="H471" s="12"/>
      <c r="I471" s="5"/>
      <c r="J471" s="17"/>
      <c r="K471" s="11"/>
      <c r="L471" s="12"/>
      <c r="M471" s="12"/>
      <c r="N471" s="12"/>
      <c r="O471" s="227" t="s">
        <v>733</v>
      </c>
    </row>
    <row r="472" ht="18.75" customHeight="1">
      <c r="B472" s="59"/>
      <c r="C472" s="59"/>
      <c r="D472" s="59" t="s">
        <v>733</v>
      </c>
      <c r="H472" s="12"/>
      <c r="I472" s="5"/>
      <c r="J472" s="17"/>
      <c r="K472" s="11"/>
      <c r="L472" s="12"/>
      <c r="M472" s="12"/>
      <c r="N472" s="12"/>
      <c r="O472" s="227" t="s">
        <v>733</v>
      </c>
    </row>
    <row r="473" ht="18.75" customHeight="1">
      <c r="B473" s="59"/>
      <c r="C473" s="59"/>
      <c r="D473" s="59" t="s">
        <v>733</v>
      </c>
      <c r="H473" s="12"/>
      <c r="I473" s="5"/>
      <c r="J473" s="17"/>
      <c r="K473" s="11"/>
      <c r="L473" s="12"/>
      <c r="M473" s="12"/>
      <c r="N473" s="12"/>
      <c r="O473" s="227" t="s">
        <v>733</v>
      </c>
    </row>
    <row r="474" ht="18.75" customHeight="1">
      <c r="B474" s="59"/>
      <c r="C474" s="59"/>
      <c r="D474" s="59" t="s">
        <v>733</v>
      </c>
      <c r="H474" s="12"/>
      <c r="I474" s="5"/>
      <c r="J474" s="17"/>
      <c r="K474" s="11"/>
      <c r="L474" s="12"/>
      <c r="M474" s="12"/>
      <c r="N474" s="12"/>
      <c r="O474" s="227" t="s">
        <v>733</v>
      </c>
    </row>
    <row r="475" ht="18.75" customHeight="1">
      <c r="B475" s="59"/>
      <c r="C475" s="59"/>
      <c r="D475" s="59" t="s">
        <v>733</v>
      </c>
      <c r="H475" s="12"/>
      <c r="I475" s="5"/>
      <c r="J475" s="17"/>
      <c r="K475" s="11"/>
      <c r="L475" s="12"/>
      <c r="M475" s="12"/>
      <c r="N475" s="12"/>
      <c r="O475" s="227" t="s">
        <v>733</v>
      </c>
    </row>
    <row r="476" ht="18.75" customHeight="1">
      <c r="B476" s="59"/>
      <c r="C476" s="59"/>
      <c r="D476" s="59" t="s">
        <v>733</v>
      </c>
      <c r="H476" s="12"/>
      <c r="I476" s="5"/>
      <c r="J476" s="17"/>
      <c r="K476" s="11"/>
      <c r="L476" s="12"/>
      <c r="M476" s="12"/>
      <c r="N476" s="12"/>
      <c r="O476" s="227" t="s">
        <v>733</v>
      </c>
    </row>
    <row r="477" ht="18.75" customHeight="1">
      <c r="B477" s="59"/>
      <c r="C477" s="59"/>
      <c r="D477" s="59" t="s">
        <v>733</v>
      </c>
      <c r="H477" s="12"/>
      <c r="I477" s="5"/>
      <c r="J477" s="17"/>
      <c r="K477" s="11"/>
      <c r="L477" s="12"/>
      <c r="M477" s="12"/>
      <c r="N477" s="12"/>
      <c r="O477" s="227" t="s">
        <v>733</v>
      </c>
    </row>
    <row r="478" ht="18.75" customHeight="1">
      <c r="B478" s="59"/>
      <c r="C478" s="59"/>
      <c r="D478" s="59" t="s">
        <v>733</v>
      </c>
      <c r="H478" s="12"/>
      <c r="I478" s="5"/>
      <c r="J478" s="17"/>
      <c r="K478" s="11"/>
      <c r="L478" s="12"/>
      <c r="M478" s="12"/>
      <c r="N478" s="12"/>
      <c r="O478" s="227" t="s">
        <v>733</v>
      </c>
    </row>
    <row r="479" ht="18.75" customHeight="1">
      <c r="B479" s="59"/>
      <c r="C479" s="59"/>
      <c r="D479" s="59" t="s">
        <v>733</v>
      </c>
      <c r="H479" s="12"/>
      <c r="I479" s="5"/>
      <c r="J479" s="17"/>
      <c r="K479" s="11"/>
      <c r="L479" s="12"/>
      <c r="M479" s="12"/>
      <c r="N479" s="12"/>
      <c r="O479" s="227" t="s">
        <v>733</v>
      </c>
    </row>
    <row r="480" ht="18.75" customHeight="1">
      <c r="B480" s="59"/>
      <c r="C480" s="59"/>
      <c r="D480" s="59" t="s">
        <v>733</v>
      </c>
      <c r="H480" s="12"/>
      <c r="I480" s="5"/>
      <c r="J480" s="17"/>
      <c r="K480" s="11"/>
      <c r="L480" s="12"/>
      <c r="M480" s="12"/>
      <c r="N480" s="12"/>
      <c r="O480" s="227" t="s">
        <v>733</v>
      </c>
    </row>
    <row r="481" ht="18.75" customHeight="1">
      <c r="B481" s="59"/>
      <c r="C481" s="59"/>
      <c r="D481" s="59" t="s">
        <v>733</v>
      </c>
      <c r="H481" s="12"/>
      <c r="I481" s="5"/>
      <c r="J481" s="17"/>
      <c r="K481" s="11"/>
      <c r="L481" s="12"/>
      <c r="M481" s="12"/>
      <c r="N481" s="12"/>
      <c r="O481" s="227" t="s">
        <v>733</v>
      </c>
    </row>
    <row r="482" ht="18.75" customHeight="1">
      <c r="B482" s="59"/>
      <c r="C482" s="59"/>
      <c r="D482" s="59" t="s">
        <v>733</v>
      </c>
      <c r="H482" s="12"/>
      <c r="I482" s="5"/>
      <c r="J482" s="17"/>
      <c r="K482" s="11"/>
      <c r="L482" s="12"/>
      <c r="M482" s="12"/>
      <c r="N482" s="12"/>
      <c r="O482" s="227" t="s">
        <v>733</v>
      </c>
    </row>
    <row r="483" ht="18.75" customHeight="1">
      <c r="B483" s="59"/>
      <c r="C483" s="59"/>
      <c r="D483" s="59" t="s">
        <v>733</v>
      </c>
      <c r="H483" s="12"/>
      <c r="I483" s="5"/>
      <c r="J483" s="17"/>
      <c r="K483" s="11"/>
      <c r="L483" s="12"/>
      <c r="M483" s="12"/>
      <c r="N483" s="12"/>
      <c r="O483" s="227" t="s">
        <v>733</v>
      </c>
    </row>
    <row r="484" ht="18.75" customHeight="1">
      <c r="B484" s="59"/>
      <c r="C484" s="59"/>
      <c r="D484" s="59" t="s">
        <v>733</v>
      </c>
      <c r="H484" s="12"/>
      <c r="I484" s="5"/>
      <c r="J484" s="17"/>
      <c r="K484" s="11"/>
      <c r="L484" s="12"/>
      <c r="M484" s="12"/>
      <c r="N484" s="12"/>
      <c r="O484" s="227" t="s">
        <v>733</v>
      </c>
    </row>
    <row r="485" ht="18.75" customHeight="1">
      <c r="B485" s="59"/>
      <c r="C485" s="59"/>
      <c r="D485" s="59" t="s">
        <v>733</v>
      </c>
      <c r="H485" s="12"/>
      <c r="I485" s="5"/>
      <c r="J485" s="17"/>
      <c r="K485" s="11"/>
      <c r="L485" s="12"/>
      <c r="M485" s="12"/>
      <c r="N485" s="12"/>
      <c r="O485" s="227" t="s">
        <v>733</v>
      </c>
    </row>
    <row r="486" ht="18.75" customHeight="1">
      <c r="B486" s="59"/>
      <c r="C486" s="59"/>
      <c r="D486" s="59" t="s">
        <v>733</v>
      </c>
      <c r="H486" s="12"/>
      <c r="I486" s="5"/>
      <c r="J486" s="17"/>
      <c r="K486" s="11"/>
      <c r="L486" s="12"/>
      <c r="M486" s="12"/>
      <c r="N486" s="12"/>
      <c r="O486" s="227" t="s">
        <v>733</v>
      </c>
    </row>
    <row r="487" ht="18.75" customHeight="1">
      <c r="B487" s="59"/>
      <c r="C487" s="59"/>
      <c r="D487" s="59" t="s">
        <v>733</v>
      </c>
      <c r="H487" s="12"/>
      <c r="I487" s="5"/>
      <c r="J487" s="17"/>
      <c r="K487" s="11"/>
      <c r="L487" s="12"/>
      <c r="M487" s="12"/>
      <c r="N487" s="12"/>
      <c r="O487" s="227" t="s">
        <v>733</v>
      </c>
    </row>
    <row r="488" ht="18.75" customHeight="1">
      <c r="B488" s="59"/>
      <c r="C488" s="59"/>
      <c r="D488" s="59" t="s">
        <v>733</v>
      </c>
      <c r="H488" s="12"/>
      <c r="I488" s="5"/>
      <c r="J488" s="17"/>
      <c r="K488" s="11"/>
      <c r="L488" s="12"/>
      <c r="M488" s="12"/>
      <c r="N488" s="12"/>
      <c r="O488" s="227" t="s">
        <v>733</v>
      </c>
    </row>
    <row r="489" ht="18.75" customHeight="1">
      <c r="B489" s="59"/>
      <c r="C489" s="59"/>
      <c r="D489" s="59" t="s">
        <v>733</v>
      </c>
      <c r="H489" s="12"/>
      <c r="I489" s="5"/>
      <c r="J489" s="17"/>
      <c r="K489" s="11"/>
      <c r="L489" s="12"/>
      <c r="M489" s="12"/>
      <c r="N489" s="12"/>
      <c r="O489" s="227" t="s">
        <v>733</v>
      </c>
    </row>
    <row r="490" ht="18.75" customHeight="1">
      <c r="B490" s="59"/>
      <c r="C490" s="59"/>
      <c r="D490" s="59" t="s">
        <v>733</v>
      </c>
      <c r="H490" s="12"/>
      <c r="I490" s="5"/>
      <c r="J490" s="17"/>
      <c r="K490" s="11"/>
      <c r="L490" s="12"/>
      <c r="M490" s="12"/>
      <c r="N490" s="12"/>
      <c r="O490" s="227" t="s">
        <v>733</v>
      </c>
    </row>
    <row r="491" ht="18.75" customHeight="1">
      <c r="B491" s="59"/>
      <c r="C491" s="59"/>
      <c r="D491" s="59" t="s">
        <v>733</v>
      </c>
      <c r="H491" s="12"/>
      <c r="I491" s="5"/>
      <c r="J491" s="17"/>
      <c r="K491" s="11"/>
      <c r="L491" s="12"/>
      <c r="M491" s="12"/>
      <c r="N491" s="12"/>
      <c r="O491" s="227" t="s">
        <v>733</v>
      </c>
    </row>
    <row r="492" ht="18.75" customHeight="1">
      <c r="B492" s="59"/>
      <c r="C492" s="59"/>
      <c r="D492" s="59" t="s">
        <v>733</v>
      </c>
      <c r="H492" s="12"/>
      <c r="I492" s="5"/>
      <c r="J492" s="17"/>
      <c r="K492" s="11"/>
      <c r="L492" s="12"/>
      <c r="M492" s="12"/>
      <c r="N492" s="12"/>
      <c r="O492" s="227" t="s">
        <v>733</v>
      </c>
    </row>
    <row r="493" ht="18.75" customHeight="1">
      <c r="B493" s="59"/>
      <c r="C493" s="59"/>
      <c r="D493" s="59" t="s">
        <v>733</v>
      </c>
      <c r="H493" s="12"/>
      <c r="I493" s="5"/>
      <c r="J493" s="17"/>
      <c r="K493" s="11"/>
      <c r="L493" s="12"/>
      <c r="M493" s="12"/>
      <c r="N493" s="12"/>
      <c r="O493" s="227" t="s">
        <v>733</v>
      </c>
    </row>
    <row r="494" ht="18.75" customHeight="1">
      <c r="B494" s="59"/>
      <c r="C494" s="59"/>
      <c r="D494" s="59" t="s">
        <v>733</v>
      </c>
      <c r="H494" s="12"/>
      <c r="I494" s="5"/>
      <c r="J494" s="17"/>
      <c r="K494" s="11"/>
      <c r="L494" s="12"/>
      <c r="M494" s="12"/>
      <c r="N494" s="12"/>
      <c r="O494" s="227" t="s">
        <v>733</v>
      </c>
    </row>
    <row r="495" ht="18.75" customHeight="1">
      <c r="B495" s="59"/>
      <c r="C495" s="59"/>
      <c r="D495" s="59" t="s">
        <v>733</v>
      </c>
      <c r="H495" s="12"/>
      <c r="I495" s="5"/>
      <c r="J495" s="17"/>
      <c r="K495" s="11"/>
      <c r="L495" s="12"/>
      <c r="M495" s="12"/>
      <c r="N495" s="12"/>
      <c r="O495" s="227" t="s">
        <v>733</v>
      </c>
    </row>
    <row r="496" ht="18.75" customHeight="1">
      <c r="B496" s="59"/>
      <c r="C496" s="59"/>
      <c r="D496" s="59" t="s">
        <v>733</v>
      </c>
      <c r="H496" s="12"/>
      <c r="I496" s="5"/>
      <c r="J496" s="17"/>
      <c r="K496" s="11"/>
      <c r="L496" s="12"/>
      <c r="M496" s="12"/>
      <c r="N496" s="12"/>
      <c r="O496" s="227" t="s">
        <v>733</v>
      </c>
    </row>
    <row r="497" ht="18.75" customHeight="1">
      <c r="B497" s="59"/>
      <c r="C497" s="59"/>
      <c r="D497" s="59" t="s">
        <v>733</v>
      </c>
      <c r="H497" s="12"/>
      <c r="I497" s="5"/>
      <c r="J497" s="17"/>
      <c r="K497" s="11"/>
      <c r="L497" s="12"/>
      <c r="M497" s="12"/>
      <c r="N497" s="12"/>
      <c r="O497" s="227" t="s">
        <v>733</v>
      </c>
    </row>
    <row r="498" ht="18.75" customHeight="1">
      <c r="B498" s="59"/>
      <c r="C498" s="59"/>
      <c r="D498" s="59" t="s">
        <v>733</v>
      </c>
      <c r="H498" s="12"/>
      <c r="I498" s="5"/>
      <c r="J498" s="17"/>
      <c r="K498" s="11"/>
      <c r="L498" s="12"/>
      <c r="M498" s="12"/>
      <c r="N498" s="12"/>
      <c r="O498" s="227" t="s">
        <v>733</v>
      </c>
    </row>
    <row r="499" ht="18.75" customHeight="1">
      <c r="B499" s="59"/>
      <c r="C499" s="59"/>
      <c r="D499" s="59" t="s">
        <v>733</v>
      </c>
      <c r="H499" s="12"/>
      <c r="I499" s="5"/>
      <c r="J499" s="17"/>
      <c r="K499" s="11"/>
      <c r="L499" s="12"/>
      <c r="M499" s="12"/>
      <c r="N499" s="12"/>
      <c r="O499" s="227" t="s">
        <v>733</v>
      </c>
    </row>
    <row r="500" ht="18.75" customHeight="1">
      <c r="B500" s="59"/>
      <c r="C500" s="59"/>
      <c r="D500" s="59" t="s">
        <v>733</v>
      </c>
      <c r="H500" s="12"/>
      <c r="I500" s="5"/>
      <c r="J500" s="17"/>
      <c r="K500" s="11"/>
      <c r="L500" s="12"/>
      <c r="M500" s="12"/>
      <c r="N500" s="12"/>
      <c r="O500" s="227" t="s">
        <v>733</v>
      </c>
    </row>
    <row r="501" ht="18.75" customHeight="1">
      <c r="B501" s="59"/>
      <c r="C501" s="59"/>
      <c r="D501" s="59" t="s">
        <v>733</v>
      </c>
      <c r="H501" s="12"/>
      <c r="I501" s="5"/>
      <c r="J501" s="17"/>
      <c r="K501" s="11"/>
      <c r="L501" s="12"/>
      <c r="M501" s="12"/>
      <c r="N501" s="12"/>
      <c r="O501" s="227" t="s">
        <v>733</v>
      </c>
    </row>
    <row r="502" ht="18.75" customHeight="1">
      <c r="B502" s="59"/>
      <c r="C502" s="59"/>
      <c r="D502" s="59" t="s">
        <v>733</v>
      </c>
      <c r="H502" s="12"/>
      <c r="I502" s="5"/>
      <c r="J502" s="17"/>
      <c r="K502" s="11"/>
      <c r="L502" s="12"/>
      <c r="M502" s="12"/>
      <c r="N502" s="12"/>
      <c r="O502" s="227" t="s">
        <v>733</v>
      </c>
    </row>
    <row r="503" ht="18.75" customHeight="1">
      <c r="B503" s="59"/>
      <c r="C503" s="59"/>
      <c r="D503" s="59" t="s">
        <v>733</v>
      </c>
      <c r="H503" s="12"/>
      <c r="I503" s="5"/>
      <c r="J503" s="17"/>
      <c r="K503" s="11"/>
      <c r="L503" s="12"/>
      <c r="M503" s="12"/>
      <c r="N503" s="12"/>
      <c r="O503" s="227" t="s">
        <v>733</v>
      </c>
    </row>
    <row r="504" ht="18.75" customHeight="1">
      <c r="B504" s="59"/>
      <c r="C504" s="59"/>
      <c r="D504" s="59" t="s">
        <v>733</v>
      </c>
      <c r="H504" s="12"/>
      <c r="I504" s="5"/>
      <c r="J504" s="17"/>
      <c r="K504" s="11"/>
      <c r="L504" s="12"/>
      <c r="M504" s="12"/>
      <c r="N504" s="12"/>
      <c r="O504" s="227" t="s">
        <v>733</v>
      </c>
    </row>
    <row r="505" ht="18.75" customHeight="1">
      <c r="B505" s="59"/>
      <c r="C505" s="59"/>
      <c r="D505" s="59" t="s">
        <v>733</v>
      </c>
      <c r="H505" s="12"/>
      <c r="I505" s="5"/>
      <c r="J505" s="17"/>
      <c r="K505" s="11"/>
      <c r="L505" s="12"/>
      <c r="M505" s="12"/>
      <c r="N505" s="12"/>
      <c r="O505" s="227" t="s">
        <v>733</v>
      </c>
    </row>
    <row r="506" ht="18.75" customHeight="1">
      <c r="B506" s="59"/>
      <c r="C506" s="59"/>
      <c r="D506" s="59" t="s">
        <v>733</v>
      </c>
      <c r="H506" s="12"/>
      <c r="I506" s="5"/>
      <c r="J506" s="17"/>
      <c r="K506" s="11"/>
      <c r="L506" s="12"/>
      <c r="M506" s="12"/>
      <c r="N506" s="12"/>
      <c r="O506" s="227" t="s">
        <v>733</v>
      </c>
    </row>
    <row r="507" ht="18.75" customHeight="1">
      <c r="B507" s="59"/>
      <c r="C507" s="59"/>
      <c r="D507" s="59" t="s">
        <v>733</v>
      </c>
      <c r="H507" s="12"/>
      <c r="I507" s="5"/>
      <c r="J507" s="17"/>
      <c r="K507" s="11"/>
      <c r="L507" s="12"/>
      <c r="M507" s="12"/>
      <c r="N507" s="12"/>
      <c r="O507" s="227" t="s">
        <v>733</v>
      </c>
    </row>
    <row r="508" ht="18.75" customHeight="1">
      <c r="B508" s="59"/>
      <c r="C508" s="59"/>
      <c r="D508" s="59" t="s">
        <v>733</v>
      </c>
      <c r="H508" s="12"/>
      <c r="I508" s="5"/>
      <c r="J508" s="17"/>
      <c r="K508" s="11"/>
      <c r="L508" s="12"/>
      <c r="M508" s="12"/>
      <c r="N508" s="12"/>
      <c r="O508" s="227" t="s">
        <v>733</v>
      </c>
    </row>
    <row r="509" ht="18.75" customHeight="1">
      <c r="B509" s="59"/>
      <c r="C509" s="59"/>
      <c r="D509" s="59" t="s">
        <v>733</v>
      </c>
      <c r="H509" s="12"/>
      <c r="I509" s="5"/>
      <c r="J509" s="17"/>
      <c r="K509" s="11"/>
      <c r="L509" s="12"/>
      <c r="M509" s="12"/>
      <c r="N509" s="12"/>
      <c r="O509" s="227" t="s">
        <v>733</v>
      </c>
    </row>
    <row r="510" ht="18.75" customHeight="1">
      <c r="B510" s="59"/>
      <c r="C510" s="59"/>
      <c r="D510" s="59" t="s">
        <v>733</v>
      </c>
      <c r="H510" s="12"/>
      <c r="I510" s="5"/>
      <c r="J510" s="17"/>
      <c r="K510" s="11"/>
      <c r="L510" s="12"/>
      <c r="M510" s="12"/>
      <c r="N510" s="12"/>
      <c r="O510" s="227" t="s">
        <v>733</v>
      </c>
    </row>
    <row r="511" ht="18.75" customHeight="1">
      <c r="B511" s="59"/>
      <c r="C511" s="59"/>
      <c r="D511" s="59" t="s">
        <v>733</v>
      </c>
      <c r="H511" s="12"/>
      <c r="I511" s="5"/>
      <c r="J511" s="17"/>
      <c r="K511" s="11"/>
      <c r="L511" s="12"/>
      <c r="M511" s="12"/>
      <c r="N511" s="12"/>
      <c r="O511" s="227" t="s">
        <v>733</v>
      </c>
    </row>
    <row r="512" ht="18.75" customHeight="1">
      <c r="B512" s="59"/>
      <c r="C512" s="59"/>
      <c r="D512" s="59" t="s">
        <v>733</v>
      </c>
      <c r="H512" s="12"/>
      <c r="I512" s="5"/>
      <c r="J512" s="17"/>
      <c r="K512" s="11"/>
      <c r="L512" s="12"/>
      <c r="M512" s="12"/>
      <c r="N512" s="12"/>
      <c r="O512" s="227" t="s">
        <v>733</v>
      </c>
    </row>
    <row r="513" ht="18.75" customHeight="1">
      <c r="B513" s="59"/>
      <c r="C513" s="59"/>
      <c r="D513" s="59" t="s">
        <v>733</v>
      </c>
      <c r="H513" s="12"/>
      <c r="I513" s="5"/>
      <c r="J513" s="17"/>
      <c r="K513" s="11"/>
      <c r="L513" s="12"/>
      <c r="M513" s="12"/>
      <c r="N513" s="12"/>
      <c r="O513" s="227" t="s">
        <v>733</v>
      </c>
    </row>
    <row r="514" ht="18.75" customHeight="1">
      <c r="B514" s="59"/>
      <c r="C514" s="59"/>
      <c r="D514" s="59" t="s">
        <v>733</v>
      </c>
      <c r="H514" s="12"/>
      <c r="I514" s="5"/>
      <c r="J514" s="17"/>
      <c r="K514" s="11"/>
      <c r="L514" s="12"/>
      <c r="M514" s="12"/>
      <c r="N514" s="12"/>
      <c r="O514" s="227" t="s">
        <v>733</v>
      </c>
    </row>
    <row r="515" ht="18.75" customHeight="1">
      <c r="B515" s="59"/>
      <c r="C515" s="59"/>
      <c r="D515" s="59" t="s">
        <v>733</v>
      </c>
      <c r="H515" s="12"/>
      <c r="I515" s="5"/>
      <c r="J515" s="17"/>
      <c r="K515" s="11"/>
      <c r="L515" s="12"/>
      <c r="M515" s="12"/>
      <c r="N515" s="12"/>
      <c r="O515" s="227" t="s">
        <v>733</v>
      </c>
    </row>
    <row r="516" ht="18.75" customHeight="1">
      <c r="B516" s="59"/>
      <c r="C516" s="59"/>
      <c r="D516" s="59" t="s">
        <v>733</v>
      </c>
      <c r="H516" s="12"/>
      <c r="I516" s="5"/>
      <c r="J516" s="17"/>
      <c r="K516" s="11"/>
      <c r="L516" s="12"/>
      <c r="M516" s="12"/>
      <c r="N516" s="12"/>
      <c r="O516" s="227" t="s">
        <v>733</v>
      </c>
    </row>
    <row r="517" ht="18.75" customHeight="1">
      <c r="B517" s="59"/>
      <c r="C517" s="59"/>
      <c r="D517" s="59" t="s">
        <v>733</v>
      </c>
      <c r="H517" s="12"/>
      <c r="I517" s="5"/>
      <c r="J517" s="17"/>
      <c r="K517" s="11"/>
      <c r="L517" s="12"/>
      <c r="M517" s="12"/>
      <c r="N517" s="12"/>
      <c r="O517" s="227" t="s">
        <v>733</v>
      </c>
    </row>
    <row r="518" ht="18.75" customHeight="1">
      <c r="B518" s="59"/>
      <c r="C518" s="59"/>
      <c r="D518" s="59" t="s">
        <v>733</v>
      </c>
      <c r="H518" s="12"/>
      <c r="I518" s="5"/>
      <c r="J518" s="17"/>
      <c r="K518" s="11"/>
      <c r="L518" s="12"/>
      <c r="M518" s="12"/>
      <c r="N518" s="12"/>
      <c r="O518" s="227" t="s">
        <v>733</v>
      </c>
    </row>
    <row r="519" ht="18.75" customHeight="1">
      <c r="B519" s="59"/>
      <c r="C519" s="59"/>
      <c r="D519" s="59" t="s">
        <v>733</v>
      </c>
      <c r="H519" s="12"/>
      <c r="I519" s="5"/>
      <c r="J519" s="17"/>
      <c r="K519" s="11"/>
      <c r="L519" s="12"/>
      <c r="M519" s="12"/>
      <c r="N519" s="12"/>
      <c r="O519" s="227" t="s">
        <v>733</v>
      </c>
    </row>
    <row r="520" ht="18.75" customHeight="1">
      <c r="B520" s="59"/>
      <c r="C520" s="59"/>
      <c r="D520" s="59" t="s">
        <v>733</v>
      </c>
      <c r="H520" s="12"/>
      <c r="I520" s="5"/>
      <c r="J520" s="17"/>
      <c r="K520" s="11"/>
      <c r="L520" s="12"/>
      <c r="M520" s="12"/>
      <c r="N520" s="12"/>
      <c r="O520" s="227" t="s">
        <v>733</v>
      </c>
    </row>
    <row r="521" ht="18.75" customHeight="1">
      <c r="B521" s="59"/>
      <c r="C521" s="59"/>
      <c r="D521" s="59" t="s">
        <v>733</v>
      </c>
      <c r="H521" s="12"/>
      <c r="I521" s="5"/>
      <c r="J521" s="17"/>
      <c r="K521" s="11"/>
      <c r="L521" s="12"/>
      <c r="M521" s="12"/>
      <c r="N521" s="12"/>
      <c r="O521" s="227" t="s">
        <v>733</v>
      </c>
    </row>
    <row r="522" ht="18.75" customHeight="1">
      <c r="B522" s="59"/>
      <c r="C522" s="59"/>
      <c r="D522" s="59" t="s">
        <v>733</v>
      </c>
      <c r="H522" s="12"/>
      <c r="I522" s="5"/>
      <c r="J522" s="17"/>
      <c r="K522" s="11"/>
      <c r="L522" s="12"/>
      <c r="M522" s="12"/>
      <c r="N522" s="12"/>
      <c r="O522" s="227" t="s">
        <v>733</v>
      </c>
    </row>
    <row r="523" ht="18.75" customHeight="1">
      <c r="B523" s="59"/>
      <c r="C523" s="59"/>
      <c r="D523" s="59" t="s">
        <v>733</v>
      </c>
      <c r="H523" s="12"/>
      <c r="I523" s="5"/>
      <c r="J523" s="17"/>
      <c r="K523" s="11"/>
      <c r="L523" s="12"/>
      <c r="M523" s="12"/>
      <c r="N523" s="12"/>
      <c r="O523" s="227" t="s">
        <v>733</v>
      </c>
    </row>
    <row r="524" ht="18.75" customHeight="1">
      <c r="B524" s="59"/>
      <c r="C524" s="59"/>
      <c r="D524" s="59" t="s">
        <v>733</v>
      </c>
      <c r="H524" s="12"/>
      <c r="I524" s="5"/>
      <c r="J524" s="17"/>
      <c r="K524" s="11"/>
      <c r="L524" s="12"/>
      <c r="M524" s="12"/>
      <c r="N524" s="12"/>
      <c r="O524" s="227" t="s">
        <v>733</v>
      </c>
    </row>
    <row r="525" ht="18.75" customHeight="1">
      <c r="B525" s="59"/>
      <c r="C525" s="59"/>
      <c r="D525" s="59" t="s">
        <v>733</v>
      </c>
      <c r="H525" s="12"/>
      <c r="I525" s="5"/>
      <c r="J525" s="17"/>
      <c r="K525" s="11"/>
      <c r="L525" s="12"/>
      <c r="M525" s="12"/>
      <c r="N525" s="12"/>
      <c r="O525" s="227" t="s">
        <v>733</v>
      </c>
    </row>
    <row r="526" ht="18.75" customHeight="1">
      <c r="B526" s="59"/>
      <c r="C526" s="59"/>
      <c r="D526" s="59" t="s">
        <v>733</v>
      </c>
      <c r="H526" s="12"/>
      <c r="I526" s="5"/>
      <c r="J526" s="17"/>
      <c r="K526" s="11"/>
      <c r="L526" s="12"/>
      <c r="M526" s="12"/>
      <c r="N526" s="12"/>
      <c r="O526" s="227" t="s">
        <v>733</v>
      </c>
    </row>
    <row r="527" ht="18.75" customHeight="1">
      <c r="B527" s="59"/>
      <c r="C527" s="59"/>
      <c r="D527" s="59" t="s">
        <v>733</v>
      </c>
      <c r="H527" s="12"/>
      <c r="I527" s="5"/>
      <c r="J527" s="17"/>
      <c r="K527" s="11"/>
      <c r="L527" s="12"/>
      <c r="M527" s="12"/>
      <c r="N527" s="12"/>
      <c r="O527" s="227" t="s">
        <v>733</v>
      </c>
    </row>
    <row r="528" ht="18.75" customHeight="1">
      <c r="B528" s="59"/>
      <c r="C528" s="59"/>
      <c r="D528" s="59" t="s">
        <v>733</v>
      </c>
      <c r="H528" s="12"/>
      <c r="I528" s="5"/>
      <c r="J528" s="17"/>
      <c r="K528" s="11"/>
      <c r="L528" s="12"/>
      <c r="M528" s="12"/>
      <c r="N528" s="12"/>
      <c r="O528" s="227" t="s">
        <v>733</v>
      </c>
    </row>
    <row r="529" ht="18.75" customHeight="1">
      <c r="B529" s="59"/>
      <c r="C529" s="59"/>
      <c r="D529" s="59" t="s">
        <v>733</v>
      </c>
      <c r="H529" s="12"/>
      <c r="I529" s="5"/>
      <c r="J529" s="17"/>
      <c r="K529" s="11"/>
      <c r="L529" s="12"/>
      <c r="M529" s="12"/>
      <c r="N529" s="12"/>
      <c r="O529" s="227" t="s">
        <v>733</v>
      </c>
    </row>
    <row r="530" ht="18.75" customHeight="1">
      <c r="B530" s="59"/>
      <c r="C530" s="59"/>
      <c r="D530" s="59" t="s">
        <v>733</v>
      </c>
      <c r="H530" s="12"/>
      <c r="I530" s="5"/>
      <c r="J530" s="17"/>
      <c r="K530" s="11"/>
      <c r="L530" s="12"/>
      <c r="M530" s="12"/>
      <c r="N530" s="12"/>
      <c r="O530" s="227" t="s">
        <v>733</v>
      </c>
    </row>
    <row r="531" ht="18.75" customHeight="1">
      <c r="B531" s="59"/>
      <c r="C531" s="59"/>
      <c r="D531" s="59" t="s">
        <v>733</v>
      </c>
      <c r="H531" s="12"/>
      <c r="I531" s="5"/>
      <c r="J531" s="17"/>
      <c r="K531" s="11"/>
      <c r="L531" s="12"/>
      <c r="M531" s="12"/>
      <c r="N531" s="12"/>
      <c r="O531" s="227" t="s">
        <v>733</v>
      </c>
    </row>
    <row r="532" ht="18.75" customHeight="1">
      <c r="B532" s="59"/>
      <c r="C532" s="59"/>
      <c r="D532" s="59" t="s">
        <v>733</v>
      </c>
      <c r="H532" s="12"/>
      <c r="I532" s="5"/>
      <c r="J532" s="17"/>
      <c r="K532" s="11"/>
      <c r="L532" s="12"/>
      <c r="M532" s="12"/>
      <c r="N532" s="12"/>
      <c r="O532" s="227" t="s">
        <v>733</v>
      </c>
    </row>
    <row r="533" ht="18.75" customHeight="1">
      <c r="B533" s="59"/>
      <c r="C533" s="59"/>
      <c r="D533" s="59" t="s">
        <v>733</v>
      </c>
      <c r="H533" s="12"/>
      <c r="I533" s="5"/>
      <c r="J533" s="17"/>
      <c r="K533" s="11"/>
      <c r="L533" s="12"/>
      <c r="M533" s="12"/>
      <c r="N533" s="12"/>
      <c r="O533" s="227" t="s">
        <v>733</v>
      </c>
    </row>
    <row r="534" ht="18.75" customHeight="1">
      <c r="B534" s="59"/>
      <c r="C534" s="59"/>
      <c r="D534" s="59" t="s">
        <v>733</v>
      </c>
      <c r="H534" s="12"/>
      <c r="I534" s="5"/>
      <c r="J534" s="17"/>
      <c r="K534" s="11"/>
      <c r="L534" s="12"/>
      <c r="M534" s="12"/>
      <c r="N534" s="12"/>
      <c r="O534" s="227" t="s">
        <v>733</v>
      </c>
    </row>
    <row r="535" ht="18.75" customHeight="1">
      <c r="B535" s="59"/>
      <c r="C535" s="59"/>
      <c r="D535" s="59" t="s">
        <v>733</v>
      </c>
      <c r="H535" s="12"/>
      <c r="I535" s="5"/>
      <c r="J535" s="17"/>
      <c r="K535" s="11"/>
      <c r="L535" s="12"/>
      <c r="M535" s="12"/>
      <c r="N535" s="12"/>
      <c r="O535" s="227" t="s">
        <v>733</v>
      </c>
    </row>
    <row r="536" ht="18.75" customHeight="1">
      <c r="B536" s="59"/>
      <c r="C536" s="59"/>
      <c r="D536" s="59" t="s">
        <v>733</v>
      </c>
      <c r="H536" s="12"/>
      <c r="I536" s="5"/>
      <c r="J536" s="17"/>
      <c r="K536" s="11"/>
      <c r="L536" s="12"/>
      <c r="M536" s="12"/>
      <c r="N536" s="12"/>
      <c r="O536" s="227" t="s">
        <v>733</v>
      </c>
    </row>
    <row r="537" ht="18.75" customHeight="1">
      <c r="B537" s="59"/>
      <c r="C537" s="59"/>
      <c r="D537" s="59" t="s">
        <v>733</v>
      </c>
      <c r="H537" s="12"/>
      <c r="I537" s="5"/>
      <c r="J537" s="17"/>
      <c r="K537" s="11"/>
      <c r="L537" s="12"/>
      <c r="M537" s="12"/>
      <c r="N537" s="12"/>
      <c r="O537" s="227" t="s">
        <v>733</v>
      </c>
    </row>
    <row r="538" ht="18.75" customHeight="1">
      <c r="B538" s="59"/>
      <c r="C538" s="59"/>
      <c r="D538" s="59" t="s">
        <v>733</v>
      </c>
      <c r="H538" s="12"/>
      <c r="I538" s="5"/>
      <c r="J538" s="17"/>
      <c r="K538" s="11"/>
      <c r="L538" s="12"/>
      <c r="M538" s="12"/>
      <c r="N538" s="12"/>
      <c r="O538" s="227" t="s">
        <v>733</v>
      </c>
    </row>
    <row r="539" ht="18.75" customHeight="1">
      <c r="B539" s="59"/>
      <c r="C539" s="59"/>
      <c r="D539" s="59" t="s">
        <v>733</v>
      </c>
      <c r="H539" s="12"/>
      <c r="I539" s="5"/>
      <c r="J539" s="17"/>
      <c r="K539" s="11"/>
      <c r="L539" s="12"/>
      <c r="M539" s="12"/>
      <c r="N539" s="12"/>
      <c r="O539" s="227" t="s">
        <v>733</v>
      </c>
    </row>
    <row r="540" ht="18.75" customHeight="1">
      <c r="B540" s="59"/>
      <c r="C540" s="59"/>
      <c r="D540" s="59" t="s">
        <v>733</v>
      </c>
      <c r="H540" s="12"/>
      <c r="I540" s="5"/>
      <c r="J540" s="17"/>
      <c r="K540" s="11"/>
      <c r="L540" s="12"/>
      <c r="M540" s="12"/>
      <c r="N540" s="12"/>
      <c r="O540" s="227" t="s">
        <v>733</v>
      </c>
    </row>
    <row r="541" ht="18.75" customHeight="1">
      <c r="B541" s="59"/>
      <c r="C541" s="59"/>
      <c r="D541" s="59" t="s">
        <v>733</v>
      </c>
      <c r="H541" s="12"/>
      <c r="I541" s="5"/>
      <c r="J541" s="17"/>
      <c r="K541" s="11"/>
      <c r="L541" s="12"/>
      <c r="M541" s="12"/>
      <c r="N541" s="12"/>
      <c r="O541" s="227" t="s">
        <v>733</v>
      </c>
    </row>
    <row r="542" ht="18.75" customHeight="1">
      <c r="B542" s="59"/>
      <c r="C542" s="59"/>
      <c r="D542" s="59" t="s">
        <v>733</v>
      </c>
      <c r="H542" s="12"/>
      <c r="I542" s="5"/>
      <c r="J542" s="17"/>
      <c r="K542" s="11"/>
      <c r="L542" s="12"/>
      <c r="M542" s="12"/>
      <c r="N542" s="12"/>
      <c r="O542" s="227" t="s">
        <v>733</v>
      </c>
    </row>
    <row r="543" ht="18.75" customHeight="1">
      <c r="B543" s="59"/>
      <c r="C543" s="59"/>
      <c r="D543" s="59" t="s">
        <v>733</v>
      </c>
      <c r="H543" s="12"/>
      <c r="I543" s="5"/>
      <c r="J543" s="17"/>
      <c r="K543" s="11"/>
      <c r="L543" s="12"/>
      <c r="M543" s="12"/>
      <c r="N543" s="12"/>
      <c r="O543" s="227" t="s">
        <v>733</v>
      </c>
    </row>
    <row r="544" ht="18.75" customHeight="1">
      <c r="B544" s="59"/>
      <c r="C544" s="59"/>
      <c r="D544" s="59" t="s">
        <v>733</v>
      </c>
      <c r="H544" s="12"/>
      <c r="I544" s="5"/>
      <c r="J544" s="17"/>
      <c r="K544" s="11"/>
      <c r="L544" s="12"/>
      <c r="M544" s="12"/>
      <c r="N544" s="12"/>
      <c r="O544" s="227" t="s">
        <v>733</v>
      </c>
    </row>
    <row r="545" ht="18.75" customHeight="1">
      <c r="B545" s="59"/>
      <c r="C545" s="59"/>
      <c r="D545" s="59" t="s">
        <v>733</v>
      </c>
      <c r="H545" s="12"/>
      <c r="I545" s="5"/>
      <c r="J545" s="17"/>
      <c r="K545" s="11"/>
      <c r="L545" s="12"/>
      <c r="M545" s="12"/>
      <c r="N545" s="12"/>
      <c r="O545" s="227" t="s">
        <v>733</v>
      </c>
    </row>
    <row r="546" ht="18.75" customHeight="1">
      <c r="B546" s="59"/>
      <c r="C546" s="59"/>
      <c r="D546" s="59" t="s">
        <v>733</v>
      </c>
      <c r="H546" s="12"/>
      <c r="I546" s="5"/>
      <c r="J546" s="17"/>
      <c r="K546" s="11"/>
      <c r="L546" s="12"/>
      <c r="M546" s="12"/>
      <c r="N546" s="12"/>
      <c r="O546" s="227" t="s">
        <v>733</v>
      </c>
    </row>
    <row r="547" ht="18.75" customHeight="1">
      <c r="B547" s="59"/>
      <c r="C547" s="59"/>
      <c r="D547" s="59" t="s">
        <v>733</v>
      </c>
      <c r="H547" s="12"/>
      <c r="I547" s="5"/>
      <c r="J547" s="17"/>
      <c r="K547" s="11"/>
      <c r="L547" s="12"/>
      <c r="M547" s="12"/>
      <c r="N547" s="12"/>
      <c r="O547" s="227" t="s">
        <v>733</v>
      </c>
    </row>
    <row r="548" ht="18.75" customHeight="1">
      <c r="B548" s="59"/>
      <c r="C548" s="59"/>
      <c r="D548" s="59" t="s">
        <v>733</v>
      </c>
      <c r="H548" s="12"/>
      <c r="I548" s="5"/>
      <c r="J548" s="17"/>
      <c r="K548" s="11"/>
      <c r="L548" s="12"/>
      <c r="M548" s="12"/>
      <c r="N548" s="12"/>
      <c r="O548" s="227" t="s">
        <v>733</v>
      </c>
    </row>
    <row r="549" ht="18.75" customHeight="1">
      <c r="B549" s="59"/>
      <c r="C549" s="59"/>
      <c r="D549" s="59" t="s">
        <v>733</v>
      </c>
      <c r="H549" s="12"/>
      <c r="I549" s="5"/>
      <c r="J549" s="17"/>
      <c r="K549" s="11"/>
      <c r="L549" s="12"/>
      <c r="M549" s="12"/>
      <c r="N549" s="12"/>
      <c r="O549" s="227" t="s">
        <v>733</v>
      </c>
    </row>
    <row r="550" ht="18.75" customHeight="1">
      <c r="B550" s="59"/>
      <c r="C550" s="59"/>
      <c r="D550" s="59" t="s">
        <v>733</v>
      </c>
      <c r="H550" s="12"/>
      <c r="I550" s="5"/>
      <c r="J550" s="17"/>
      <c r="K550" s="11"/>
      <c r="L550" s="12"/>
      <c r="M550" s="12"/>
      <c r="N550" s="12"/>
      <c r="O550" s="227" t="s">
        <v>733</v>
      </c>
    </row>
    <row r="551" ht="18.75" customHeight="1">
      <c r="B551" s="59"/>
      <c r="C551" s="59"/>
      <c r="D551" s="59" t="s">
        <v>733</v>
      </c>
      <c r="H551" s="12"/>
      <c r="I551" s="5"/>
      <c r="J551" s="17"/>
      <c r="K551" s="11"/>
      <c r="L551" s="12"/>
      <c r="M551" s="12"/>
      <c r="N551" s="12"/>
      <c r="O551" s="227" t="s">
        <v>733</v>
      </c>
    </row>
    <row r="552" ht="18.75" customHeight="1">
      <c r="B552" s="59"/>
      <c r="C552" s="59"/>
      <c r="D552" s="59" t="s">
        <v>733</v>
      </c>
      <c r="H552" s="12"/>
      <c r="I552" s="5"/>
      <c r="J552" s="17"/>
      <c r="K552" s="11"/>
      <c r="L552" s="12"/>
      <c r="M552" s="12"/>
      <c r="N552" s="12"/>
      <c r="O552" s="227" t="s">
        <v>733</v>
      </c>
    </row>
    <row r="553" ht="18.75" customHeight="1">
      <c r="B553" s="59"/>
      <c r="C553" s="59"/>
      <c r="D553" s="59" t="s">
        <v>733</v>
      </c>
      <c r="H553" s="12"/>
      <c r="I553" s="5"/>
      <c r="J553" s="17"/>
      <c r="K553" s="11"/>
      <c r="L553" s="12"/>
      <c r="M553" s="12"/>
      <c r="N553" s="12"/>
      <c r="O553" s="227" t="s">
        <v>733</v>
      </c>
    </row>
    <row r="554" ht="18.75" customHeight="1">
      <c r="B554" s="59"/>
      <c r="C554" s="59"/>
      <c r="D554" s="59" t="s">
        <v>733</v>
      </c>
      <c r="H554" s="12"/>
      <c r="I554" s="5"/>
      <c r="J554" s="17"/>
      <c r="K554" s="11"/>
      <c r="L554" s="12"/>
      <c r="M554" s="12"/>
      <c r="N554" s="12"/>
      <c r="O554" s="227" t="s">
        <v>733</v>
      </c>
    </row>
    <row r="555" ht="18.75" customHeight="1">
      <c r="B555" s="59"/>
      <c r="C555" s="59"/>
      <c r="D555" s="59" t="s">
        <v>733</v>
      </c>
      <c r="H555" s="12"/>
      <c r="I555" s="5"/>
      <c r="J555" s="17"/>
      <c r="K555" s="11"/>
      <c r="L555" s="12"/>
      <c r="M555" s="12"/>
      <c r="N555" s="12"/>
      <c r="O555" s="227" t="s">
        <v>733</v>
      </c>
    </row>
    <row r="556" ht="18.75" customHeight="1">
      <c r="B556" s="59"/>
      <c r="C556" s="59"/>
      <c r="D556" s="59" t="s">
        <v>733</v>
      </c>
      <c r="H556" s="12"/>
      <c r="I556" s="5"/>
      <c r="J556" s="17"/>
      <c r="K556" s="11"/>
      <c r="L556" s="12"/>
      <c r="M556" s="12"/>
      <c r="N556" s="12"/>
      <c r="O556" s="227" t="s">
        <v>733</v>
      </c>
    </row>
    <row r="557" ht="18.75" customHeight="1">
      <c r="B557" s="59"/>
      <c r="C557" s="59"/>
      <c r="D557" s="59" t="s">
        <v>733</v>
      </c>
      <c r="H557" s="12"/>
      <c r="I557" s="5"/>
      <c r="J557" s="17"/>
      <c r="K557" s="11"/>
      <c r="L557" s="12"/>
      <c r="M557" s="12"/>
      <c r="N557" s="12"/>
      <c r="O557" s="227" t="s">
        <v>733</v>
      </c>
    </row>
    <row r="558" ht="18.75" customHeight="1">
      <c r="B558" s="59"/>
      <c r="C558" s="59"/>
      <c r="D558" s="59" t="s">
        <v>733</v>
      </c>
      <c r="H558" s="12"/>
      <c r="I558" s="5"/>
      <c r="J558" s="17"/>
      <c r="K558" s="11"/>
      <c r="L558" s="12"/>
      <c r="M558" s="12"/>
      <c r="N558" s="12"/>
      <c r="O558" s="227" t="s">
        <v>733</v>
      </c>
    </row>
    <row r="559" ht="18.75" customHeight="1">
      <c r="B559" s="59"/>
      <c r="C559" s="59"/>
      <c r="D559" s="59" t="s">
        <v>733</v>
      </c>
      <c r="H559" s="12"/>
      <c r="I559" s="5"/>
      <c r="J559" s="17"/>
      <c r="K559" s="11"/>
      <c r="L559" s="12"/>
      <c r="M559" s="12"/>
      <c r="N559" s="12"/>
      <c r="O559" s="227" t="s">
        <v>733</v>
      </c>
    </row>
    <row r="560" ht="18.75" customHeight="1">
      <c r="B560" s="59"/>
      <c r="C560" s="59"/>
      <c r="D560" s="59" t="s">
        <v>733</v>
      </c>
      <c r="H560" s="12"/>
      <c r="I560" s="5"/>
      <c r="J560" s="17"/>
      <c r="K560" s="11"/>
      <c r="L560" s="12"/>
      <c r="M560" s="12"/>
      <c r="N560" s="12"/>
      <c r="O560" s="227" t="s">
        <v>733</v>
      </c>
    </row>
    <row r="561" ht="18.75" customHeight="1">
      <c r="B561" s="59"/>
      <c r="C561" s="59"/>
      <c r="D561" s="59" t="s">
        <v>733</v>
      </c>
      <c r="H561" s="12"/>
      <c r="I561" s="5"/>
      <c r="J561" s="17"/>
      <c r="K561" s="11"/>
      <c r="L561" s="12"/>
      <c r="M561" s="12"/>
      <c r="N561" s="12"/>
      <c r="O561" s="227" t="s">
        <v>733</v>
      </c>
    </row>
    <row r="562" ht="18.75" customHeight="1">
      <c r="B562" s="59"/>
      <c r="C562" s="59"/>
      <c r="D562" s="59" t="s">
        <v>733</v>
      </c>
      <c r="H562" s="12"/>
      <c r="I562" s="5"/>
      <c r="J562" s="17"/>
      <c r="K562" s="11"/>
      <c r="L562" s="12"/>
      <c r="M562" s="12"/>
      <c r="N562" s="12"/>
      <c r="O562" s="227" t="s">
        <v>733</v>
      </c>
    </row>
    <row r="563" ht="18.75" customHeight="1">
      <c r="B563" s="59"/>
      <c r="C563" s="59"/>
      <c r="D563" s="59" t="s">
        <v>733</v>
      </c>
      <c r="H563" s="12"/>
      <c r="I563" s="5"/>
      <c r="J563" s="17"/>
      <c r="K563" s="11"/>
      <c r="L563" s="12"/>
      <c r="M563" s="12"/>
      <c r="N563" s="12"/>
      <c r="O563" s="227" t="s">
        <v>733</v>
      </c>
    </row>
    <row r="564" ht="18.75" customHeight="1">
      <c r="B564" s="59"/>
      <c r="C564" s="59"/>
      <c r="D564" s="59" t="s">
        <v>733</v>
      </c>
      <c r="H564" s="12"/>
      <c r="I564" s="5"/>
      <c r="J564" s="17"/>
      <c r="K564" s="11"/>
      <c r="L564" s="12"/>
      <c r="M564" s="12"/>
      <c r="N564" s="12"/>
      <c r="O564" s="227" t="s">
        <v>733</v>
      </c>
    </row>
    <row r="565" ht="18.75" customHeight="1">
      <c r="B565" s="59"/>
      <c r="C565" s="59"/>
      <c r="D565" s="59" t="s">
        <v>733</v>
      </c>
      <c r="H565" s="12"/>
      <c r="I565" s="5"/>
      <c r="J565" s="17"/>
      <c r="K565" s="11"/>
      <c r="L565" s="12"/>
      <c r="M565" s="12"/>
      <c r="N565" s="12"/>
      <c r="O565" s="227" t="s">
        <v>733</v>
      </c>
    </row>
    <row r="566" ht="18.75" customHeight="1">
      <c r="B566" s="59"/>
      <c r="C566" s="59"/>
      <c r="D566" s="59" t="s">
        <v>733</v>
      </c>
      <c r="H566" s="12"/>
      <c r="I566" s="5"/>
      <c r="J566" s="17"/>
      <c r="K566" s="11"/>
      <c r="L566" s="12"/>
      <c r="M566" s="12"/>
      <c r="N566" s="12"/>
      <c r="O566" s="227" t="s">
        <v>733</v>
      </c>
    </row>
    <row r="567" ht="18.75" customHeight="1">
      <c r="B567" s="59"/>
      <c r="C567" s="59"/>
      <c r="D567" s="59" t="s">
        <v>733</v>
      </c>
      <c r="H567" s="12"/>
      <c r="I567" s="5"/>
      <c r="J567" s="17"/>
      <c r="K567" s="11"/>
      <c r="L567" s="12"/>
      <c r="M567" s="12"/>
      <c r="N567" s="12"/>
      <c r="O567" s="227" t="s">
        <v>733</v>
      </c>
    </row>
    <row r="568" ht="18.75" customHeight="1">
      <c r="B568" s="59"/>
      <c r="C568" s="59"/>
      <c r="D568" s="59" t="s">
        <v>733</v>
      </c>
      <c r="H568" s="12"/>
      <c r="I568" s="5"/>
      <c r="J568" s="17"/>
      <c r="K568" s="11"/>
      <c r="L568" s="12"/>
      <c r="M568" s="12"/>
      <c r="N568" s="12"/>
      <c r="O568" s="227" t="s">
        <v>733</v>
      </c>
    </row>
    <row r="569" ht="18.75" customHeight="1">
      <c r="B569" s="59"/>
      <c r="C569" s="59"/>
      <c r="D569" s="59" t="s">
        <v>733</v>
      </c>
      <c r="H569" s="12"/>
      <c r="I569" s="5"/>
      <c r="J569" s="17"/>
      <c r="K569" s="11"/>
      <c r="L569" s="12"/>
      <c r="M569" s="12"/>
      <c r="N569" s="12"/>
      <c r="O569" s="227" t="s">
        <v>733</v>
      </c>
    </row>
    <row r="570" ht="18.75" customHeight="1">
      <c r="B570" s="59"/>
      <c r="C570" s="59"/>
      <c r="D570" s="59" t="s">
        <v>733</v>
      </c>
      <c r="H570" s="12"/>
      <c r="I570" s="5"/>
      <c r="J570" s="17"/>
      <c r="K570" s="11"/>
      <c r="L570" s="12"/>
      <c r="M570" s="12"/>
      <c r="N570" s="12"/>
      <c r="O570" s="227" t="s">
        <v>733</v>
      </c>
    </row>
    <row r="571" ht="18.75" customHeight="1">
      <c r="B571" s="59"/>
      <c r="C571" s="59"/>
      <c r="D571" s="59" t="s">
        <v>733</v>
      </c>
      <c r="H571" s="12"/>
      <c r="I571" s="5"/>
      <c r="J571" s="17"/>
      <c r="K571" s="11"/>
      <c r="L571" s="12"/>
      <c r="M571" s="12"/>
      <c r="N571" s="12"/>
      <c r="O571" s="227" t="s">
        <v>733</v>
      </c>
    </row>
    <row r="572" ht="18.75" customHeight="1">
      <c r="B572" s="59"/>
      <c r="C572" s="59"/>
      <c r="D572" s="59" t="s">
        <v>733</v>
      </c>
      <c r="H572" s="12"/>
      <c r="I572" s="5"/>
      <c r="J572" s="17"/>
      <c r="K572" s="11"/>
      <c r="L572" s="12"/>
      <c r="M572" s="12"/>
      <c r="N572" s="12"/>
      <c r="O572" s="227" t="s">
        <v>733</v>
      </c>
    </row>
    <row r="573" ht="18.75" customHeight="1">
      <c r="B573" s="59"/>
      <c r="C573" s="59"/>
      <c r="D573" s="59" t="s">
        <v>733</v>
      </c>
      <c r="H573" s="12"/>
      <c r="I573" s="5"/>
      <c r="J573" s="17"/>
      <c r="K573" s="11"/>
      <c r="L573" s="12"/>
      <c r="M573" s="12"/>
      <c r="N573" s="12"/>
      <c r="O573" s="227" t="s">
        <v>733</v>
      </c>
    </row>
    <row r="574" ht="18.75" customHeight="1">
      <c r="B574" s="59"/>
      <c r="C574" s="59"/>
      <c r="D574" s="59" t="s">
        <v>733</v>
      </c>
      <c r="H574" s="12"/>
      <c r="I574" s="5"/>
      <c r="J574" s="17"/>
      <c r="K574" s="11"/>
      <c r="L574" s="12"/>
      <c r="M574" s="12"/>
      <c r="N574" s="12"/>
      <c r="O574" s="227" t="s">
        <v>733</v>
      </c>
    </row>
    <row r="575" ht="18.75" customHeight="1">
      <c r="B575" s="59"/>
      <c r="C575" s="59"/>
      <c r="D575" s="59" t="s">
        <v>733</v>
      </c>
      <c r="H575" s="12"/>
      <c r="I575" s="5"/>
      <c r="J575" s="17"/>
      <c r="K575" s="11"/>
      <c r="L575" s="12"/>
      <c r="M575" s="12"/>
      <c r="N575" s="12"/>
      <c r="O575" s="227" t="s">
        <v>733</v>
      </c>
    </row>
    <row r="576" ht="18.75" customHeight="1">
      <c r="B576" s="59"/>
      <c r="C576" s="59"/>
      <c r="D576" s="59" t="s">
        <v>733</v>
      </c>
      <c r="H576" s="12"/>
      <c r="I576" s="5"/>
      <c r="J576" s="17"/>
      <c r="K576" s="11"/>
      <c r="L576" s="12"/>
      <c r="M576" s="12"/>
      <c r="N576" s="12"/>
      <c r="O576" s="227" t="s">
        <v>733</v>
      </c>
    </row>
    <row r="577" ht="18.75" customHeight="1">
      <c r="B577" s="59"/>
      <c r="C577" s="59"/>
      <c r="D577" s="59" t="s">
        <v>733</v>
      </c>
      <c r="H577" s="12"/>
      <c r="I577" s="5"/>
      <c r="J577" s="17"/>
      <c r="K577" s="11"/>
      <c r="L577" s="12"/>
      <c r="M577" s="12"/>
      <c r="N577" s="12"/>
      <c r="O577" s="227" t="s">
        <v>733</v>
      </c>
    </row>
    <row r="578" ht="18.75" customHeight="1">
      <c r="B578" s="59"/>
      <c r="C578" s="59"/>
      <c r="D578" s="59" t="s">
        <v>733</v>
      </c>
      <c r="H578" s="12"/>
      <c r="I578" s="5"/>
      <c r="J578" s="17"/>
      <c r="K578" s="11"/>
      <c r="L578" s="12"/>
      <c r="M578" s="12"/>
      <c r="N578" s="12"/>
      <c r="O578" s="227" t="s">
        <v>733</v>
      </c>
    </row>
    <row r="579" ht="18.75" customHeight="1">
      <c r="B579" s="59"/>
      <c r="C579" s="59"/>
      <c r="D579" s="59" t="s">
        <v>733</v>
      </c>
      <c r="H579" s="12"/>
      <c r="I579" s="5"/>
      <c r="J579" s="17"/>
      <c r="K579" s="11"/>
      <c r="L579" s="12"/>
      <c r="M579" s="12"/>
      <c r="N579" s="12"/>
      <c r="O579" s="227" t="s">
        <v>733</v>
      </c>
    </row>
    <row r="580" ht="18.75" customHeight="1">
      <c r="B580" s="59"/>
      <c r="C580" s="59"/>
      <c r="D580" s="59" t="s">
        <v>733</v>
      </c>
      <c r="H580" s="12"/>
      <c r="I580" s="5"/>
      <c r="J580" s="17"/>
      <c r="K580" s="11"/>
      <c r="L580" s="12"/>
      <c r="M580" s="12"/>
      <c r="N580" s="12"/>
      <c r="O580" s="227" t="s">
        <v>733</v>
      </c>
    </row>
    <row r="581" ht="18.75" customHeight="1">
      <c r="B581" s="59"/>
      <c r="C581" s="59"/>
      <c r="D581" s="59" t="s">
        <v>733</v>
      </c>
      <c r="H581" s="12"/>
      <c r="I581" s="5"/>
      <c r="J581" s="17"/>
      <c r="K581" s="11"/>
      <c r="L581" s="12"/>
      <c r="M581" s="12"/>
      <c r="N581" s="12"/>
      <c r="O581" s="227" t="s">
        <v>733</v>
      </c>
    </row>
    <row r="582" ht="18.75" customHeight="1">
      <c r="B582" s="59"/>
      <c r="C582" s="59"/>
      <c r="D582" s="59" t="s">
        <v>733</v>
      </c>
      <c r="H582" s="12"/>
      <c r="I582" s="5"/>
      <c r="J582" s="17"/>
      <c r="K582" s="11"/>
      <c r="L582" s="12"/>
      <c r="M582" s="12"/>
      <c r="N582" s="12"/>
      <c r="O582" s="227" t="s">
        <v>733</v>
      </c>
    </row>
    <row r="583" ht="18.75" customHeight="1">
      <c r="B583" s="59"/>
      <c r="C583" s="59"/>
      <c r="D583" s="59" t="s">
        <v>733</v>
      </c>
      <c r="H583" s="12"/>
      <c r="I583" s="5"/>
      <c r="J583" s="17"/>
      <c r="K583" s="11"/>
      <c r="L583" s="12"/>
      <c r="M583" s="12"/>
      <c r="N583" s="12"/>
      <c r="O583" s="227" t="s">
        <v>733</v>
      </c>
    </row>
    <row r="584" ht="18.75" customHeight="1">
      <c r="B584" s="59"/>
      <c r="C584" s="59"/>
      <c r="D584" s="59" t="s">
        <v>733</v>
      </c>
      <c r="H584" s="12"/>
      <c r="I584" s="5"/>
      <c r="J584" s="17"/>
      <c r="K584" s="11"/>
      <c r="L584" s="12"/>
      <c r="M584" s="12"/>
      <c r="N584" s="12"/>
      <c r="O584" s="227" t="s">
        <v>733</v>
      </c>
    </row>
    <row r="585" ht="18.75" customHeight="1">
      <c r="B585" s="59"/>
      <c r="C585" s="59"/>
      <c r="D585" s="59" t="s">
        <v>733</v>
      </c>
      <c r="H585" s="12"/>
      <c r="I585" s="5"/>
      <c r="J585" s="17"/>
      <c r="K585" s="11"/>
      <c r="L585" s="12"/>
      <c r="M585" s="12"/>
      <c r="N585" s="12"/>
      <c r="O585" s="227" t="s">
        <v>733</v>
      </c>
    </row>
    <row r="586" ht="18.75" customHeight="1">
      <c r="B586" s="59"/>
      <c r="C586" s="59"/>
      <c r="D586" s="59" t="s">
        <v>733</v>
      </c>
      <c r="H586" s="12"/>
      <c r="I586" s="5"/>
      <c r="J586" s="17"/>
      <c r="K586" s="11"/>
      <c r="L586" s="12"/>
      <c r="M586" s="12"/>
      <c r="N586" s="12"/>
      <c r="O586" s="227" t="s">
        <v>733</v>
      </c>
    </row>
    <row r="587" ht="18.75" customHeight="1">
      <c r="B587" s="59"/>
      <c r="C587" s="59"/>
      <c r="D587" s="59" t="s">
        <v>733</v>
      </c>
      <c r="H587" s="12"/>
      <c r="I587" s="5"/>
      <c r="J587" s="17"/>
      <c r="K587" s="11"/>
      <c r="L587" s="12"/>
      <c r="M587" s="12"/>
      <c r="N587" s="12"/>
      <c r="O587" s="227" t="s">
        <v>733</v>
      </c>
    </row>
    <row r="588" ht="18.75" customHeight="1">
      <c r="B588" s="59"/>
      <c r="C588" s="59"/>
      <c r="D588" s="59" t="s">
        <v>733</v>
      </c>
      <c r="H588" s="12"/>
      <c r="I588" s="5"/>
      <c r="J588" s="17"/>
      <c r="K588" s="11"/>
      <c r="L588" s="12"/>
      <c r="M588" s="12"/>
      <c r="N588" s="12"/>
      <c r="O588" s="227" t="s">
        <v>733</v>
      </c>
    </row>
    <row r="589" ht="18.75" customHeight="1">
      <c r="B589" s="59"/>
      <c r="C589" s="59"/>
      <c r="D589" s="59" t="s">
        <v>733</v>
      </c>
      <c r="H589" s="12"/>
      <c r="I589" s="5"/>
      <c r="J589" s="17"/>
      <c r="K589" s="11"/>
      <c r="L589" s="12"/>
      <c r="M589" s="12"/>
      <c r="N589" s="12"/>
      <c r="O589" s="227" t="s">
        <v>733</v>
      </c>
    </row>
    <row r="590" ht="18.75" customHeight="1">
      <c r="B590" s="59"/>
      <c r="C590" s="59"/>
      <c r="D590" s="59" t="s">
        <v>733</v>
      </c>
      <c r="H590" s="12"/>
      <c r="I590" s="5"/>
      <c r="J590" s="17"/>
      <c r="K590" s="11"/>
      <c r="L590" s="12"/>
      <c r="M590" s="12"/>
      <c r="N590" s="12"/>
      <c r="O590" s="227" t="s">
        <v>733</v>
      </c>
    </row>
    <row r="591" ht="18.75" customHeight="1">
      <c r="B591" s="59"/>
      <c r="C591" s="59"/>
      <c r="D591" s="59" t="s">
        <v>733</v>
      </c>
      <c r="H591" s="12"/>
      <c r="I591" s="5"/>
      <c r="J591" s="17"/>
      <c r="K591" s="11"/>
      <c r="L591" s="12"/>
      <c r="M591" s="12"/>
      <c r="N591" s="12"/>
      <c r="O591" s="227" t="s">
        <v>733</v>
      </c>
    </row>
    <row r="592" ht="18.75" customHeight="1">
      <c r="B592" s="59"/>
      <c r="C592" s="59"/>
      <c r="D592" s="59" t="s">
        <v>733</v>
      </c>
      <c r="H592" s="12"/>
      <c r="I592" s="5"/>
      <c r="J592" s="17"/>
      <c r="K592" s="11"/>
      <c r="L592" s="12"/>
      <c r="M592" s="12"/>
      <c r="N592" s="12"/>
      <c r="O592" s="227" t="s">
        <v>733</v>
      </c>
    </row>
    <row r="593" ht="18.75" customHeight="1">
      <c r="B593" s="59"/>
      <c r="C593" s="59"/>
      <c r="D593" s="59" t="s">
        <v>733</v>
      </c>
      <c r="H593" s="12"/>
      <c r="I593" s="5"/>
      <c r="J593" s="17"/>
      <c r="K593" s="11"/>
      <c r="L593" s="12"/>
      <c r="M593" s="12"/>
      <c r="N593" s="12"/>
      <c r="O593" s="227" t="s">
        <v>733</v>
      </c>
    </row>
    <row r="594" ht="18.75" customHeight="1">
      <c r="B594" s="59"/>
      <c r="C594" s="59"/>
      <c r="D594" s="59" t="s">
        <v>733</v>
      </c>
      <c r="H594" s="12"/>
      <c r="I594" s="5"/>
      <c r="J594" s="17"/>
      <c r="K594" s="11"/>
      <c r="L594" s="12"/>
      <c r="M594" s="12"/>
      <c r="N594" s="12"/>
      <c r="O594" s="227" t="s">
        <v>733</v>
      </c>
    </row>
    <row r="595" ht="18.75" customHeight="1">
      <c r="B595" s="59"/>
      <c r="C595" s="59"/>
      <c r="D595" s="59" t="s">
        <v>733</v>
      </c>
      <c r="H595" s="12"/>
      <c r="I595" s="5"/>
      <c r="J595" s="17"/>
      <c r="K595" s="11"/>
      <c r="L595" s="12"/>
      <c r="M595" s="12"/>
      <c r="N595" s="12"/>
      <c r="O595" s="227" t="s">
        <v>733</v>
      </c>
    </row>
    <row r="596" ht="18.75" customHeight="1">
      <c r="B596" s="59"/>
      <c r="C596" s="59"/>
      <c r="D596" s="59" t="s">
        <v>733</v>
      </c>
      <c r="H596" s="12"/>
      <c r="I596" s="5"/>
      <c r="J596" s="17"/>
      <c r="K596" s="11"/>
      <c r="L596" s="12"/>
      <c r="M596" s="12"/>
      <c r="N596" s="12"/>
      <c r="O596" s="227" t="s">
        <v>733</v>
      </c>
    </row>
    <row r="597" ht="18.75" customHeight="1">
      <c r="B597" s="59"/>
      <c r="C597" s="59"/>
      <c r="D597" s="59" t="s">
        <v>733</v>
      </c>
      <c r="H597" s="12"/>
      <c r="I597" s="5"/>
      <c r="J597" s="17"/>
      <c r="K597" s="11"/>
      <c r="L597" s="12"/>
      <c r="M597" s="12"/>
      <c r="N597" s="12"/>
      <c r="O597" s="227" t="s">
        <v>733</v>
      </c>
    </row>
    <row r="598" ht="18.75" customHeight="1">
      <c r="B598" s="59"/>
      <c r="C598" s="59"/>
      <c r="D598" s="59" t="s">
        <v>733</v>
      </c>
      <c r="H598" s="12"/>
      <c r="I598" s="5"/>
      <c r="J598" s="17"/>
      <c r="K598" s="11"/>
      <c r="L598" s="12"/>
      <c r="M598" s="12"/>
      <c r="N598" s="12"/>
      <c r="O598" s="227" t="s">
        <v>733</v>
      </c>
    </row>
    <row r="599" ht="18.75" customHeight="1">
      <c r="B599" s="59"/>
      <c r="C599" s="59"/>
      <c r="D599" s="59" t="s">
        <v>733</v>
      </c>
      <c r="H599" s="12"/>
      <c r="I599" s="5"/>
      <c r="J599" s="17"/>
      <c r="K599" s="11"/>
      <c r="L599" s="12"/>
      <c r="M599" s="12"/>
      <c r="N599" s="12"/>
      <c r="O599" s="227" t="s">
        <v>733</v>
      </c>
    </row>
    <row r="600" ht="18.75" customHeight="1">
      <c r="B600" s="59"/>
      <c r="C600" s="59"/>
      <c r="D600" s="59" t="s">
        <v>733</v>
      </c>
      <c r="H600" s="12"/>
      <c r="I600" s="5"/>
      <c r="J600" s="17"/>
      <c r="K600" s="11"/>
      <c r="L600" s="12"/>
      <c r="M600" s="12"/>
      <c r="N600" s="12"/>
      <c r="O600" s="227" t="s">
        <v>733</v>
      </c>
    </row>
    <row r="601" ht="18.75" customHeight="1">
      <c r="B601" s="59"/>
      <c r="C601" s="59"/>
      <c r="D601" s="59" t="s">
        <v>733</v>
      </c>
      <c r="H601" s="12"/>
      <c r="I601" s="5"/>
      <c r="J601" s="17"/>
      <c r="K601" s="11"/>
      <c r="L601" s="12"/>
      <c r="M601" s="12"/>
      <c r="N601" s="12"/>
      <c r="O601" s="227" t="s">
        <v>733</v>
      </c>
    </row>
    <row r="602" ht="18.75" customHeight="1">
      <c r="B602" s="59"/>
      <c r="C602" s="59"/>
      <c r="D602" s="59" t="s">
        <v>733</v>
      </c>
      <c r="H602" s="12"/>
      <c r="I602" s="5"/>
      <c r="J602" s="17"/>
      <c r="K602" s="11"/>
      <c r="L602" s="12"/>
      <c r="M602" s="12"/>
      <c r="N602" s="12"/>
      <c r="O602" s="227" t="s">
        <v>733</v>
      </c>
    </row>
    <row r="603" ht="18.75" customHeight="1">
      <c r="B603" s="59"/>
      <c r="C603" s="59"/>
      <c r="D603" s="59" t="s">
        <v>733</v>
      </c>
      <c r="H603" s="12"/>
      <c r="I603" s="5"/>
      <c r="J603" s="17"/>
      <c r="K603" s="11"/>
      <c r="L603" s="12"/>
      <c r="M603" s="12"/>
      <c r="N603" s="12"/>
      <c r="O603" s="227" t="s">
        <v>733</v>
      </c>
    </row>
    <row r="604" ht="18.75" customHeight="1">
      <c r="B604" s="59"/>
      <c r="C604" s="59"/>
      <c r="D604" s="59" t="s">
        <v>733</v>
      </c>
      <c r="H604" s="12"/>
      <c r="I604" s="5"/>
      <c r="J604" s="17"/>
      <c r="K604" s="11"/>
      <c r="L604" s="12"/>
      <c r="M604" s="12"/>
      <c r="N604" s="12"/>
      <c r="O604" s="227" t="s">
        <v>733</v>
      </c>
    </row>
    <row r="605" ht="18.75" customHeight="1">
      <c r="B605" s="59"/>
      <c r="C605" s="59"/>
      <c r="D605" s="59" t="s">
        <v>733</v>
      </c>
      <c r="H605" s="12"/>
      <c r="I605" s="5"/>
      <c r="J605" s="17"/>
      <c r="K605" s="11"/>
      <c r="L605" s="12"/>
      <c r="M605" s="12"/>
      <c r="N605" s="12"/>
      <c r="O605" s="227" t="s">
        <v>733</v>
      </c>
    </row>
    <row r="606" ht="18.75" customHeight="1">
      <c r="B606" s="59"/>
      <c r="C606" s="59"/>
      <c r="D606" s="59" t="s">
        <v>733</v>
      </c>
      <c r="H606" s="12"/>
      <c r="I606" s="5"/>
      <c r="J606" s="17"/>
      <c r="K606" s="11"/>
      <c r="L606" s="12"/>
      <c r="M606" s="12"/>
      <c r="N606" s="12"/>
      <c r="O606" s="227" t="s">
        <v>733</v>
      </c>
    </row>
    <row r="607" ht="18.75" customHeight="1">
      <c r="B607" s="59"/>
      <c r="C607" s="59"/>
      <c r="D607" s="59" t="s">
        <v>733</v>
      </c>
      <c r="H607" s="12"/>
      <c r="I607" s="5"/>
      <c r="J607" s="17"/>
      <c r="K607" s="11"/>
      <c r="L607" s="12"/>
      <c r="M607" s="12"/>
      <c r="N607" s="12"/>
      <c r="O607" s="227" t="s">
        <v>733</v>
      </c>
    </row>
    <row r="608" ht="18.75" customHeight="1">
      <c r="B608" s="59"/>
      <c r="C608" s="59"/>
      <c r="D608" s="59" t="s">
        <v>733</v>
      </c>
      <c r="H608" s="12"/>
      <c r="I608" s="5"/>
      <c r="J608" s="17"/>
      <c r="K608" s="11"/>
      <c r="L608" s="12"/>
      <c r="M608" s="12"/>
      <c r="N608" s="12"/>
      <c r="O608" s="227" t="s">
        <v>733</v>
      </c>
    </row>
    <row r="609" ht="18.75" customHeight="1">
      <c r="B609" s="59"/>
      <c r="C609" s="59"/>
      <c r="D609" s="59" t="s">
        <v>733</v>
      </c>
      <c r="H609" s="12"/>
      <c r="I609" s="5"/>
      <c r="J609" s="17"/>
      <c r="K609" s="11"/>
      <c r="L609" s="12"/>
      <c r="M609" s="12"/>
      <c r="N609" s="12"/>
      <c r="O609" s="227" t="s">
        <v>733</v>
      </c>
    </row>
    <row r="610" ht="18.75" customHeight="1">
      <c r="B610" s="59"/>
      <c r="C610" s="59"/>
      <c r="D610" s="59" t="s">
        <v>733</v>
      </c>
      <c r="H610" s="12"/>
      <c r="I610" s="5"/>
      <c r="J610" s="17"/>
      <c r="K610" s="11"/>
      <c r="L610" s="12"/>
      <c r="M610" s="12"/>
      <c r="N610" s="12"/>
      <c r="O610" s="227" t="s">
        <v>733</v>
      </c>
    </row>
    <row r="611" ht="18.75" customHeight="1">
      <c r="B611" s="59"/>
      <c r="C611" s="59"/>
      <c r="D611" s="59" t="s">
        <v>733</v>
      </c>
      <c r="H611" s="12"/>
      <c r="I611" s="5"/>
      <c r="J611" s="17"/>
      <c r="K611" s="11"/>
      <c r="L611" s="12"/>
      <c r="M611" s="12"/>
      <c r="N611" s="12"/>
      <c r="O611" s="227" t="s">
        <v>733</v>
      </c>
    </row>
    <row r="612" ht="18.75" customHeight="1">
      <c r="B612" s="59"/>
      <c r="C612" s="59"/>
      <c r="D612" s="59" t="s">
        <v>733</v>
      </c>
      <c r="H612" s="12"/>
      <c r="I612" s="5"/>
      <c r="J612" s="17"/>
      <c r="K612" s="11"/>
      <c r="L612" s="12"/>
      <c r="M612" s="12"/>
      <c r="N612" s="12"/>
      <c r="O612" s="227" t="s">
        <v>733</v>
      </c>
    </row>
    <row r="613" ht="18.75" customHeight="1">
      <c r="B613" s="59"/>
      <c r="C613" s="59"/>
      <c r="D613" s="59" t="s">
        <v>733</v>
      </c>
      <c r="H613" s="12"/>
      <c r="I613" s="5"/>
      <c r="J613" s="17"/>
      <c r="K613" s="11"/>
      <c r="L613" s="12"/>
      <c r="M613" s="12"/>
      <c r="N613" s="12"/>
      <c r="O613" s="227" t="s">
        <v>733</v>
      </c>
    </row>
    <row r="614" ht="18.75" customHeight="1">
      <c r="B614" s="59"/>
      <c r="C614" s="59"/>
      <c r="D614" s="59" t="s">
        <v>733</v>
      </c>
      <c r="H614" s="12"/>
      <c r="I614" s="5"/>
      <c r="J614" s="17"/>
      <c r="K614" s="11"/>
      <c r="L614" s="12"/>
      <c r="M614" s="12"/>
      <c r="N614" s="12"/>
      <c r="O614" s="227" t="s">
        <v>733</v>
      </c>
    </row>
    <row r="615" ht="18.75" customHeight="1">
      <c r="B615" s="59"/>
      <c r="C615" s="59"/>
      <c r="D615" s="59" t="s">
        <v>733</v>
      </c>
      <c r="H615" s="12"/>
      <c r="I615" s="5"/>
      <c r="J615" s="17"/>
      <c r="K615" s="11"/>
      <c r="L615" s="12"/>
      <c r="M615" s="12"/>
      <c r="N615" s="12"/>
      <c r="O615" s="227" t="s">
        <v>733</v>
      </c>
    </row>
    <row r="616" ht="18.75" customHeight="1">
      <c r="B616" s="59"/>
      <c r="C616" s="59"/>
      <c r="D616" s="59" t="s">
        <v>733</v>
      </c>
      <c r="H616" s="12"/>
      <c r="I616" s="5"/>
      <c r="J616" s="17"/>
      <c r="K616" s="11"/>
      <c r="L616" s="12"/>
      <c r="M616" s="12"/>
      <c r="N616" s="12"/>
      <c r="O616" s="227" t="s">
        <v>733</v>
      </c>
    </row>
    <row r="617" ht="18.75" customHeight="1">
      <c r="B617" s="59"/>
      <c r="C617" s="59"/>
      <c r="D617" s="59" t="s">
        <v>733</v>
      </c>
      <c r="H617" s="12"/>
      <c r="I617" s="5"/>
      <c r="J617" s="17"/>
      <c r="K617" s="11"/>
      <c r="L617" s="12"/>
      <c r="M617" s="12"/>
      <c r="N617" s="12"/>
      <c r="O617" s="227" t="s">
        <v>733</v>
      </c>
    </row>
    <row r="618" ht="18.75" customHeight="1">
      <c r="B618" s="59"/>
      <c r="C618" s="59"/>
      <c r="D618" s="59" t="s">
        <v>733</v>
      </c>
      <c r="H618" s="12"/>
      <c r="I618" s="5"/>
      <c r="J618" s="17"/>
      <c r="K618" s="11"/>
      <c r="L618" s="12"/>
      <c r="M618" s="12"/>
      <c r="N618" s="12"/>
      <c r="O618" s="227" t="s">
        <v>733</v>
      </c>
    </row>
    <row r="619" ht="18.75" customHeight="1">
      <c r="B619" s="59"/>
      <c r="C619" s="59"/>
      <c r="D619" s="59" t="s">
        <v>733</v>
      </c>
      <c r="H619" s="12"/>
      <c r="I619" s="5"/>
      <c r="J619" s="17"/>
      <c r="K619" s="11"/>
      <c r="L619" s="12"/>
      <c r="M619" s="12"/>
      <c r="N619" s="12"/>
      <c r="O619" s="227" t="s">
        <v>733</v>
      </c>
    </row>
    <row r="620" ht="18.75" customHeight="1">
      <c r="B620" s="59"/>
      <c r="C620" s="59"/>
      <c r="D620" s="59" t="s">
        <v>733</v>
      </c>
      <c r="H620" s="12"/>
      <c r="I620" s="5"/>
      <c r="J620" s="17"/>
      <c r="K620" s="11"/>
      <c r="L620" s="12"/>
      <c r="M620" s="12"/>
      <c r="N620" s="12"/>
      <c r="O620" s="227" t="s">
        <v>733</v>
      </c>
    </row>
    <row r="621" ht="18.75" customHeight="1">
      <c r="B621" s="59"/>
      <c r="C621" s="59"/>
      <c r="D621" s="59" t="s">
        <v>733</v>
      </c>
      <c r="H621" s="12"/>
      <c r="I621" s="5"/>
      <c r="J621" s="17"/>
      <c r="K621" s="11"/>
      <c r="L621" s="12"/>
      <c r="M621" s="12"/>
      <c r="N621" s="12"/>
      <c r="O621" s="227" t="s">
        <v>733</v>
      </c>
    </row>
    <row r="622" ht="18.75" customHeight="1">
      <c r="B622" s="59"/>
      <c r="C622" s="59"/>
      <c r="D622" s="59" t="s">
        <v>733</v>
      </c>
      <c r="H622" s="12"/>
      <c r="I622" s="5"/>
      <c r="J622" s="17"/>
      <c r="K622" s="11"/>
      <c r="L622" s="12"/>
      <c r="M622" s="12"/>
      <c r="N622" s="12"/>
      <c r="O622" s="227" t="s">
        <v>733</v>
      </c>
    </row>
    <row r="623" ht="18.75" customHeight="1">
      <c r="B623" s="59"/>
      <c r="C623" s="59"/>
      <c r="D623" s="59" t="s">
        <v>733</v>
      </c>
      <c r="H623" s="12"/>
      <c r="I623" s="5"/>
      <c r="J623" s="17"/>
      <c r="K623" s="11"/>
      <c r="L623" s="12"/>
      <c r="M623" s="12"/>
      <c r="N623" s="12"/>
      <c r="O623" s="227" t="s">
        <v>733</v>
      </c>
    </row>
    <row r="624" ht="18.75" customHeight="1">
      <c r="B624" s="59"/>
      <c r="C624" s="59"/>
      <c r="D624" s="59" t="s">
        <v>733</v>
      </c>
      <c r="H624" s="12"/>
      <c r="I624" s="5"/>
      <c r="J624" s="17"/>
      <c r="K624" s="11"/>
      <c r="L624" s="12"/>
      <c r="M624" s="12"/>
      <c r="N624" s="12"/>
      <c r="O624" s="227" t="s">
        <v>733</v>
      </c>
    </row>
    <row r="625" ht="18.75" customHeight="1">
      <c r="B625" s="59"/>
      <c r="C625" s="59"/>
      <c r="D625" s="59" t="s">
        <v>733</v>
      </c>
      <c r="H625" s="12"/>
      <c r="I625" s="5"/>
      <c r="J625" s="17"/>
      <c r="K625" s="11"/>
      <c r="L625" s="12"/>
      <c r="M625" s="12"/>
      <c r="N625" s="12"/>
      <c r="O625" s="227" t="s">
        <v>733</v>
      </c>
    </row>
    <row r="626" ht="18.75" customHeight="1">
      <c r="B626" s="59"/>
      <c r="C626" s="59"/>
      <c r="D626" s="59" t="s">
        <v>733</v>
      </c>
      <c r="H626" s="12"/>
      <c r="I626" s="5"/>
      <c r="J626" s="17"/>
      <c r="K626" s="11"/>
      <c r="L626" s="12"/>
      <c r="M626" s="12"/>
      <c r="N626" s="12"/>
      <c r="O626" s="227" t="s">
        <v>733</v>
      </c>
    </row>
    <row r="627" ht="18.75" customHeight="1">
      <c r="B627" s="59"/>
      <c r="C627" s="59"/>
      <c r="D627" s="59" t="s">
        <v>733</v>
      </c>
      <c r="H627" s="12"/>
      <c r="I627" s="5"/>
      <c r="J627" s="17"/>
      <c r="K627" s="11"/>
      <c r="L627" s="12"/>
      <c r="M627" s="12"/>
      <c r="N627" s="12"/>
      <c r="O627" s="227" t="s">
        <v>733</v>
      </c>
    </row>
    <row r="628" ht="18.75" customHeight="1">
      <c r="B628" s="59"/>
      <c r="C628" s="59"/>
      <c r="D628" s="59" t="s">
        <v>733</v>
      </c>
      <c r="H628" s="12"/>
      <c r="I628" s="5"/>
      <c r="J628" s="17"/>
      <c r="K628" s="11"/>
      <c r="L628" s="12"/>
      <c r="M628" s="12"/>
      <c r="N628" s="12"/>
      <c r="O628" s="227" t="s">
        <v>733</v>
      </c>
    </row>
    <row r="629" ht="18.75" customHeight="1">
      <c r="B629" s="59"/>
      <c r="C629" s="59"/>
      <c r="D629" s="59" t="s">
        <v>733</v>
      </c>
      <c r="H629" s="12"/>
      <c r="I629" s="5"/>
      <c r="J629" s="17"/>
      <c r="K629" s="11"/>
      <c r="L629" s="12"/>
      <c r="M629" s="12"/>
      <c r="N629" s="12"/>
      <c r="O629" s="227" t="s">
        <v>733</v>
      </c>
    </row>
    <row r="630" ht="18.75" customHeight="1">
      <c r="B630" s="59"/>
      <c r="C630" s="59"/>
      <c r="D630" s="59" t="s">
        <v>733</v>
      </c>
      <c r="H630" s="12"/>
      <c r="I630" s="5"/>
      <c r="J630" s="17"/>
      <c r="K630" s="11"/>
      <c r="L630" s="12"/>
      <c r="M630" s="12"/>
      <c r="N630" s="12"/>
      <c r="O630" s="227" t="s">
        <v>733</v>
      </c>
    </row>
    <row r="631" ht="18.75" customHeight="1">
      <c r="B631" s="59"/>
      <c r="C631" s="59"/>
      <c r="D631" s="59" t="s">
        <v>733</v>
      </c>
      <c r="H631" s="12"/>
      <c r="I631" s="5"/>
      <c r="J631" s="17"/>
      <c r="K631" s="11"/>
      <c r="L631" s="12"/>
      <c r="M631" s="12"/>
      <c r="N631" s="12"/>
      <c r="O631" s="227" t="s">
        <v>733</v>
      </c>
    </row>
    <row r="632" ht="18.75" customHeight="1">
      <c r="B632" s="59"/>
      <c r="C632" s="59"/>
      <c r="D632" s="59" t="s">
        <v>733</v>
      </c>
      <c r="H632" s="12"/>
      <c r="I632" s="5"/>
      <c r="J632" s="17"/>
      <c r="K632" s="11"/>
      <c r="L632" s="12"/>
      <c r="M632" s="12"/>
      <c r="N632" s="12"/>
      <c r="O632" s="227" t="s">
        <v>733</v>
      </c>
    </row>
    <row r="633" ht="18.75" customHeight="1">
      <c r="B633" s="59"/>
      <c r="C633" s="59"/>
      <c r="D633" s="59" t="s">
        <v>733</v>
      </c>
      <c r="H633" s="12"/>
      <c r="I633" s="5"/>
      <c r="J633" s="17"/>
      <c r="K633" s="11"/>
      <c r="L633" s="12"/>
      <c r="M633" s="12"/>
      <c r="N633" s="12"/>
      <c r="O633" s="227" t="s">
        <v>733</v>
      </c>
    </row>
    <row r="634" ht="18.75" customHeight="1">
      <c r="B634" s="59"/>
      <c r="C634" s="59"/>
      <c r="D634" s="59" t="s">
        <v>733</v>
      </c>
      <c r="H634" s="12"/>
      <c r="I634" s="5"/>
      <c r="J634" s="17"/>
      <c r="K634" s="11"/>
      <c r="L634" s="12"/>
      <c r="M634" s="12"/>
      <c r="N634" s="12"/>
      <c r="O634" s="227" t="s">
        <v>733</v>
      </c>
    </row>
    <row r="635" ht="18.75" customHeight="1">
      <c r="B635" s="59"/>
      <c r="C635" s="59"/>
      <c r="D635" s="59" t="s">
        <v>733</v>
      </c>
      <c r="H635" s="12"/>
      <c r="I635" s="5"/>
      <c r="J635" s="17"/>
      <c r="K635" s="11"/>
      <c r="L635" s="12"/>
      <c r="M635" s="12"/>
      <c r="N635" s="12"/>
      <c r="O635" s="227" t="s">
        <v>733</v>
      </c>
    </row>
    <row r="636" ht="18.75" customHeight="1">
      <c r="B636" s="59"/>
      <c r="C636" s="59"/>
      <c r="D636" s="59" t="s">
        <v>733</v>
      </c>
      <c r="H636" s="12"/>
      <c r="I636" s="5"/>
      <c r="J636" s="17"/>
      <c r="K636" s="11"/>
      <c r="L636" s="12"/>
      <c r="M636" s="12"/>
      <c r="N636" s="12"/>
      <c r="O636" s="227" t="s">
        <v>733</v>
      </c>
    </row>
    <row r="637" ht="18.75" customHeight="1">
      <c r="B637" s="59"/>
      <c r="C637" s="59"/>
      <c r="D637" s="59" t="s">
        <v>733</v>
      </c>
      <c r="H637" s="12"/>
      <c r="I637" s="5"/>
      <c r="J637" s="17"/>
      <c r="K637" s="11"/>
      <c r="L637" s="12"/>
      <c r="M637" s="12"/>
      <c r="N637" s="12"/>
      <c r="O637" s="227" t="s">
        <v>733</v>
      </c>
    </row>
    <row r="638" ht="18.75" customHeight="1">
      <c r="B638" s="59"/>
      <c r="C638" s="59"/>
      <c r="D638" s="59" t="s">
        <v>733</v>
      </c>
      <c r="H638" s="12"/>
      <c r="I638" s="5"/>
      <c r="J638" s="17"/>
      <c r="K638" s="11"/>
      <c r="L638" s="12"/>
      <c r="M638" s="12"/>
      <c r="N638" s="12"/>
      <c r="O638" s="227" t="s">
        <v>733</v>
      </c>
    </row>
    <row r="639" ht="18.75" customHeight="1">
      <c r="B639" s="59"/>
      <c r="C639" s="59"/>
      <c r="D639" s="59" t="s">
        <v>733</v>
      </c>
      <c r="H639" s="12"/>
      <c r="I639" s="5"/>
      <c r="J639" s="17"/>
      <c r="K639" s="11"/>
      <c r="L639" s="12"/>
      <c r="M639" s="12"/>
      <c r="N639" s="12"/>
      <c r="O639" s="227" t="s">
        <v>733</v>
      </c>
    </row>
    <row r="640" ht="18.75" customHeight="1">
      <c r="B640" s="59"/>
      <c r="C640" s="59"/>
      <c r="D640" s="59" t="s">
        <v>733</v>
      </c>
      <c r="H640" s="12"/>
      <c r="I640" s="5"/>
      <c r="J640" s="17"/>
      <c r="K640" s="11"/>
      <c r="L640" s="12"/>
      <c r="M640" s="12"/>
      <c r="N640" s="12"/>
      <c r="O640" s="227" t="s">
        <v>733</v>
      </c>
    </row>
    <row r="641" ht="18.75" customHeight="1">
      <c r="B641" s="59"/>
      <c r="C641" s="59"/>
      <c r="D641" s="59" t="s">
        <v>733</v>
      </c>
      <c r="H641" s="12"/>
      <c r="I641" s="5"/>
      <c r="J641" s="17"/>
      <c r="K641" s="11"/>
      <c r="L641" s="12"/>
      <c r="M641" s="12"/>
      <c r="N641" s="12"/>
      <c r="O641" s="227" t="s">
        <v>733</v>
      </c>
    </row>
    <row r="642" ht="18.75" customHeight="1">
      <c r="B642" s="59"/>
      <c r="C642" s="59"/>
      <c r="D642" s="59" t="s">
        <v>733</v>
      </c>
      <c r="H642" s="12"/>
      <c r="I642" s="5"/>
      <c r="J642" s="17"/>
      <c r="K642" s="11"/>
      <c r="L642" s="12"/>
      <c r="M642" s="12"/>
      <c r="N642" s="12"/>
      <c r="O642" s="227" t="s">
        <v>733</v>
      </c>
    </row>
    <row r="643" ht="18.75" customHeight="1">
      <c r="B643" s="59"/>
      <c r="C643" s="59"/>
      <c r="D643" s="59" t="s">
        <v>733</v>
      </c>
      <c r="H643" s="12"/>
      <c r="I643" s="5"/>
      <c r="J643" s="17"/>
      <c r="K643" s="11"/>
      <c r="L643" s="12"/>
      <c r="M643" s="12"/>
      <c r="N643" s="12"/>
      <c r="O643" s="227" t="s">
        <v>733</v>
      </c>
    </row>
    <row r="644" ht="18.75" customHeight="1">
      <c r="B644" s="59"/>
      <c r="C644" s="59"/>
      <c r="D644" s="59" t="s">
        <v>733</v>
      </c>
      <c r="H644" s="12"/>
      <c r="I644" s="5"/>
      <c r="J644" s="17"/>
      <c r="K644" s="11"/>
      <c r="L644" s="12"/>
      <c r="M644" s="12"/>
      <c r="N644" s="12"/>
      <c r="O644" s="227" t="s">
        <v>733</v>
      </c>
    </row>
    <row r="645" ht="18.75" customHeight="1">
      <c r="B645" s="59"/>
      <c r="C645" s="59"/>
      <c r="D645" s="59" t="s">
        <v>733</v>
      </c>
      <c r="H645" s="12"/>
      <c r="I645" s="5"/>
      <c r="J645" s="17"/>
      <c r="K645" s="11"/>
      <c r="L645" s="12"/>
      <c r="M645" s="12"/>
      <c r="N645" s="12"/>
      <c r="O645" s="227" t="s">
        <v>733</v>
      </c>
    </row>
    <row r="646" ht="18.75" customHeight="1">
      <c r="B646" s="59"/>
      <c r="C646" s="59"/>
      <c r="D646" s="59" t="s">
        <v>733</v>
      </c>
      <c r="H646" s="12"/>
      <c r="I646" s="5"/>
      <c r="J646" s="17"/>
      <c r="K646" s="11"/>
      <c r="L646" s="12"/>
      <c r="M646" s="12"/>
      <c r="N646" s="12"/>
      <c r="O646" s="227" t="s">
        <v>733</v>
      </c>
    </row>
    <row r="647" ht="18.75" customHeight="1">
      <c r="B647" s="59"/>
      <c r="C647" s="59"/>
      <c r="D647" s="59" t="s">
        <v>733</v>
      </c>
      <c r="H647" s="12"/>
      <c r="I647" s="5"/>
      <c r="J647" s="17"/>
      <c r="K647" s="11"/>
      <c r="L647" s="12"/>
      <c r="M647" s="12"/>
      <c r="N647" s="12"/>
      <c r="O647" s="227" t="s">
        <v>733</v>
      </c>
    </row>
    <row r="648" ht="18.75" customHeight="1">
      <c r="B648" s="59"/>
      <c r="C648" s="59"/>
      <c r="D648" s="59" t="s">
        <v>733</v>
      </c>
      <c r="H648" s="12"/>
      <c r="I648" s="5"/>
      <c r="J648" s="17"/>
      <c r="K648" s="11"/>
      <c r="L648" s="12"/>
      <c r="M648" s="12"/>
      <c r="N648" s="12"/>
      <c r="O648" s="227" t="s">
        <v>733</v>
      </c>
    </row>
    <row r="649" ht="18.75" customHeight="1">
      <c r="B649" s="59"/>
      <c r="C649" s="59"/>
      <c r="D649" s="59" t="s">
        <v>733</v>
      </c>
      <c r="H649" s="12"/>
      <c r="I649" s="5"/>
      <c r="J649" s="17"/>
      <c r="K649" s="11"/>
      <c r="L649" s="12"/>
      <c r="M649" s="12"/>
      <c r="N649" s="12"/>
      <c r="O649" s="227" t="s">
        <v>733</v>
      </c>
    </row>
    <row r="650" ht="18.75" customHeight="1">
      <c r="B650" s="59"/>
      <c r="C650" s="59"/>
      <c r="D650" s="59" t="s">
        <v>733</v>
      </c>
      <c r="H650" s="12"/>
      <c r="I650" s="5"/>
      <c r="J650" s="17"/>
      <c r="K650" s="11"/>
      <c r="L650" s="12"/>
      <c r="M650" s="12"/>
      <c r="N650" s="12"/>
      <c r="O650" s="227" t="s">
        <v>733</v>
      </c>
    </row>
    <row r="651" ht="18.75" customHeight="1">
      <c r="B651" s="59"/>
      <c r="C651" s="59"/>
      <c r="D651" s="59" t="s">
        <v>733</v>
      </c>
      <c r="H651" s="12"/>
      <c r="I651" s="5"/>
      <c r="J651" s="17"/>
      <c r="K651" s="11"/>
      <c r="L651" s="12"/>
      <c r="M651" s="12"/>
      <c r="N651" s="12"/>
      <c r="O651" s="227" t="s">
        <v>733</v>
      </c>
    </row>
    <row r="652" ht="18.75" customHeight="1">
      <c r="B652" s="59"/>
      <c r="C652" s="59"/>
      <c r="D652" s="59" t="s">
        <v>733</v>
      </c>
      <c r="H652" s="12"/>
      <c r="I652" s="5"/>
      <c r="J652" s="17"/>
      <c r="K652" s="11"/>
      <c r="L652" s="12"/>
      <c r="M652" s="12"/>
      <c r="N652" s="12"/>
      <c r="O652" s="227" t="s">
        <v>733</v>
      </c>
    </row>
    <row r="653" ht="18.75" customHeight="1">
      <c r="B653" s="59"/>
      <c r="C653" s="59"/>
      <c r="D653" s="59" t="s">
        <v>733</v>
      </c>
      <c r="H653" s="12"/>
      <c r="I653" s="5"/>
      <c r="J653" s="17"/>
      <c r="K653" s="11"/>
      <c r="L653" s="12"/>
      <c r="M653" s="12"/>
      <c r="N653" s="12"/>
      <c r="O653" s="227" t="s">
        <v>733</v>
      </c>
    </row>
    <row r="654" ht="18.75" customHeight="1">
      <c r="B654" s="59"/>
      <c r="C654" s="59"/>
      <c r="D654" s="59" t="s">
        <v>733</v>
      </c>
      <c r="H654" s="12"/>
      <c r="I654" s="5"/>
      <c r="J654" s="17"/>
      <c r="K654" s="11"/>
      <c r="L654" s="12"/>
      <c r="M654" s="12"/>
      <c r="N654" s="12"/>
      <c r="O654" s="227" t="s">
        <v>733</v>
      </c>
    </row>
    <row r="655" ht="18.75" customHeight="1">
      <c r="B655" s="59"/>
      <c r="C655" s="59"/>
      <c r="D655" s="59" t="s">
        <v>733</v>
      </c>
      <c r="H655" s="12"/>
      <c r="I655" s="5"/>
      <c r="J655" s="17"/>
      <c r="K655" s="11"/>
      <c r="L655" s="12"/>
      <c r="M655" s="12"/>
      <c r="N655" s="12"/>
      <c r="O655" s="227" t="s">
        <v>733</v>
      </c>
    </row>
    <row r="656" ht="18.75" customHeight="1">
      <c r="B656" s="59"/>
      <c r="C656" s="59"/>
      <c r="D656" s="59" t="s">
        <v>733</v>
      </c>
      <c r="H656" s="12"/>
      <c r="I656" s="5"/>
      <c r="J656" s="17"/>
      <c r="K656" s="11"/>
      <c r="L656" s="12"/>
      <c r="M656" s="12"/>
      <c r="N656" s="12"/>
      <c r="O656" s="227" t="s">
        <v>733</v>
      </c>
    </row>
    <row r="657" ht="18.75" customHeight="1">
      <c r="B657" s="59"/>
      <c r="C657" s="59"/>
      <c r="D657" s="59" t="s">
        <v>733</v>
      </c>
      <c r="H657" s="12"/>
      <c r="I657" s="5"/>
      <c r="J657" s="17"/>
      <c r="K657" s="11"/>
      <c r="L657" s="12"/>
      <c r="M657" s="12"/>
      <c r="N657" s="12"/>
      <c r="O657" s="227" t="s">
        <v>733</v>
      </c>
    </row>
    <row r="658" ht="18.75" customHeight="1">
      <c r="B658" s="59"/>
      <c r="C658" s="59"/>
      <c r="D658" s="59" t="s">
        <v>733</v>
      </c>
      <c r="H658" s="12"/>
      <c r="I658" s="5"/>
      <c r="J658" s="17"/>
      <c r="K658" s="11"/>
      <c r="L658" s="12"/>
      <c r="M658" s="12"/>
      <c r="N658" s="12"/>
      <c r="O658" s="227" t="s">
        <v>733</v>
      </c>
    </row>
    <row r="659" ht="18.75" customHeight="1">
      <c r="B659" s="59"/>
      <c r="C659" s="59"/>
      <c r="D659" s="59" t="s">
        <v>733</v>
      </c>
      <c r="H659" s="12"/>
      <c r="I659" s="5"/>
      <c r="J659" s="17"/>
      <c r="K659" s="11"/>
      <c r="L659" s="12"/>
      <c r="M659" s="12"/>
      <c r="N659" s="12"/>
      <c r="O659" s="227" t="s">
        <v>733</v>
      </c>
    </row>
    <row r="660" ht="18.75" customHeight="1">
      <c r="B660" s="59"/>
      <c r="C660" s="59"/>
      <c r="D660" s="59" t="s">
        <v>733</v>
      </c>
      <c r="H660" s="12"/>
      <c r="I660" s="5"/>
      <c r="J660" s="17"/>
      <c r="K660" s="11"/>
      <c r="L660" s="12"/>
      <c r="M660" s="12"/>
      <c r="N660" s="12"/>
      <c r="O660" s="227" t="s">
        <v>733</v>
      </c>
    </row>
    <row r="661" ht="18.75" customHeight="1">
      <c r="B661" s="59"/>
      <c r="C661" s="59"/>
      <c r="D661" s="59" t="s">
        <v>733</v>
      </c>
      <c r="H661" s="12"/>
      <c r="I661" s="5"/>
      <c r="J661" s="17"/>
      <c r="K661" s="11"/>
      <c r="L661" s="12"/>
      <c r="M661" s="12"/>
      <c r="N661" s="12"/>
      <c r="O661" s="227" t="s">
        <v>733</v>
      </c>
    </row>
    <row r="662" ht="18.75" customHeight="1">
      <c r="B662" s="59"/>
      <c r="C662" s="59"/>
      <c r="D662" s="59" t="s">
        <v>733</v>
      </c>
      <c r="H662" s="12"/>
      <c r="I662" s="5"/>
      <c r="J662" s="17"/>
      <c r="K662" s="11"/>
      <c r="L662" s="12"/>
      <c r="M662" s="12"/>
      <c r="N662" s="12"/>
      <c r="O662" s="227" t="s">
        <v>733</v>
      </c>
    </row>
    <row r="663" ht="18.75" customHeight="1">
      <c r="B663" s="59"/>
      <c r="C663" s="59"/>
      <c r="D663" s="59" t="s">
        <v>733</v>
      </c>
      <c r="H663" s="12"/>
      <c r="I663" s="5"/>
      <c r="J663" s="17"/>
      <c r="K663" s="11"/>
      <c r="L663" s="12"/>
      <c r="M663" s="12"/>
      <c r="N663" s="12"/>
      <c r="O663" s="227" t="s">
        <v>733</v>
      </c>
    </row>
    <row r="664" ht="18.75" customHeight="1">
      <c r="B664" s="59"/>
      <c r="C664" s="59"/>
      <c r="D664" s="59" t="s">
        <v>733</v>
      </c>
      <c r="H664" s="12"/>
      <c r="I664" s="5"/>
      <c r="J664" s="17"/>
      <c r="K664" s="11"/>
      <c r="L664" s="12"/>
      <c r="M664" s="12"/>
      <c r="N664" s="12"/>
      <c r="O664" s="227" t="s">
        <v>733</v>
      </c>
    </row>
    <row r="665" ht="18.75" customHeight="1">
      <c r="B665" s="59"/>
      <c r="C665" s="59"/>
      <c r="D665" s="59" t="s">
        <v>733</v>
      </c>
      <c r="H665" s="12"/>
      <c r="I665" s="5"/>
      <c r="J665" s="17"/>
      <c r="K665" s="11"/>
      <c r="L665" s="12"/>
      <c r="M665" s="12"/>
      <c r="N665" s="12"/>
      <c r="O665" s="227" t="s">
        <v>733</v>
      </c>
    </row>
    <row r="666" ht="18.75" customHeight="1">
      <c r="B666" s="59"/>
      <c r="C666" s="59"/>
      <c r="D666" s="59" t="s">
        <v>733</v>
      </c>
      <c r="H666" s="12"/>
      <c r="I666" s="5"/>
      <c r="J666" s="17"/>
      <c r="K666" s="11"/>
      <c r="L666" s="12"/>
      <c r="M666" s="12"/>
      <c r="N666" s="12"/>
      <c r="O666" s="227" t="s">
        <v>733</v>
      </c>
    </row>
    <row r="667" ht="18.75" customHeight="1">
      <c r="B667" s="59"/>
      <c r="C667" s="59"/>
      <c r="D667" s="59" t="s">
        <v>733</v>
      </c>
      <c r="H667" s="12"/>
      <c r="I667" s="5"/>
      <c r="J667" s="17"/>
      <c r="K667" s="11"/>
      <c r="L667" s="12"/>
      <c r="M667" s="12"/>
      <c r="N667" s="12"/>
      <c r="O667" s="227" t="s">
        <v>733</v>
      </c>
    </row>
    <row r="668" ht="18.75" customHeight="1">
      <c r="B668" s="59"/>
      <c r="C668" s="59"/>
      <c r="D668" s="59" t="s">
        <v>733</v>
      </c>
      <c r="H668" s="12"/>
      <c r="I668" s="5"/>
      <c r="J668" s="17"/>
      <c r="K668" s="11"/>
      <c r="L668" s="12"/>
      <c r="M668" s="12"/>
      <c r="N668" s="12"/>
      <c r="O668" s="227" t="s">
        <v>733</v>
      </c>
    </row>
    <row r="669" ht="18.75" customHeight="1">
      <c r="B669" s="59"/>
      <c r="C669" s="59"/>
      <c r="D669" s="59" t="s">
        <v>733</v>
      </c>
      <c r="H669" s="12"/>
      <c r="I669" s="5"/>
      <c r="J669" s="17"/>
      <c r="K669" s="11"/>
      <c r="L669" s="12"/>
      <c r="M669" s="12"/>
      <c r="N669" s="12"/>
      <c r="O669" s="227" t="s">
        <v>733</v>
      </c>
    </row>
    <row r="670" ht="18.75" customHeight="1">
      <c r="B670" s="59"/>
      <c r="C670" s="59"/>
      <c r="D670" s="59" t="s">
        <v>733</v>
      </c>
      <c r="H670" s="12"/>
      <c r="I670" s="5"/>
      <c r="J670" s="17"/>
      <c r="K670" s="11"/>
      <c r="L670" s="12"/>
      <c r="M670" s="12"/>
      <c r="N670" s="12"/>
      <c r="O670" s="227" t="s">
        <v>733</v>
      </c>
    </row>
    <row r="671" ht="18.75" customHeight="1">
      <c r="B671" s="59"/>
      <c r="C671" s="59"/>
      <c r="D671" s="59" t="s">
        <v>733</v>
      </c>
      <c r="H671" s="12"/>
      <c r="I671" s="5"/>
      <c r="J671" s="17"/>
      <c r="K671" s="11"/>
      <c r="L671" s="12"/>
      <c r="M671" s="12"/>
      <c r="N671" s="12"/>
      <c r="O671" s="227" t="s">
        <v>733</v>
      </c>
    </row>
    <row r="672" ht="18.75" customHeight="1">
      <c r="B672" s="59"/>
      <c r="C672" s="59"/>
      <c r="D672" s="59" t="s">
        <v>733</v>
      </c>
      <c r="H672" s="12"/>
      <c r="I672" s="5"/>
      <c r="J672" s="17"/>
      <c r="K672" s="11"/>
      <c r="L672" s="12"/>
      <c r="M672" s="12"/>
      <c r="N672" s="12"/>
      <c r="O672" s="227" t="s">
        <v>733</v>
      </c>
    </row>
    <row r="673" ht="18.75" customHeight="1">
      <c r="B673" s="59"/>
      <c r="C673" s="59"/>
      <c r="D673" s="59" t="s">
        <v>733</v>
      </c>
      <c r="H673" s="12"/>
      <c r="I673" s="5"/>
      <c r="J673" s="17"/>
      <c r="K673" s="11"/>
      <c r="L673" s="12"/>
      <c r="M673" s="12"/>
      <c r="N673" s="12"/>
      <c r="O673" s="227" t="s">
        <v>733</v>
      </c>
    </row>
    <row r="674" ht="18.75" customHeight="1">
      <c r="B674" s="59"/>
      <c r="C674" s="59"/>
      <c r="D674" s="59" t="s">
        <v>733</v>
      </c>
      <c r="H674" s="12"/>
      <c r="I674" s="5"/>
      <c r="J674" s="17"/>
      <c r="K674" s="11"/>
      <c r="L674" s="12"/>
      <c r="M674" s="12"/>
      <c r="N674" s="12"/>
      <c r="O674" s="227" t="s">
        <v>733</v>
      </c>
    </row>
    <row r="675" ht="18.75" customHeight="1">
      <c r="B675" s="59"/>
      <c r="C675" s="59"/>
      <c r="D675" s="59" t="s">
        <v>733</v>
      </c>
      <c r="H675" s="12"/>
      <c r="I675" s="5"/>
      <c r="J675" s="17"/>
      <c r="K675" s="11"/>
      <c r="L675" s="12"/>
      <c r="M675" s="12"/>
      <c r="N675" s="12"/>
      <c r="O675" s="227" t="s">
        <v>733</v>
      </c>
    </row>
    <row r="676" ht="18.75" customHeight="1">
      <c r="B676" s="59"/>
      <c r="C676" s="59"/>
      <c r="D676" s="59" t="s">
        <v>733</v>
      </c>
      <c r="H676" s="12"/>
      <c r="I676" s="5"/>
      <c r="J676" s="17"/>
      <c r="K676" s="11"/>
      <c r="L676" s="12"/>
      <c r="M676" s="12"/>
      <c r="N676" s="12"/>
      <c r="O676" s="227" t="s">
        <v>733</v>
      </c>
    </row>
    <row r="677" ht="18.75" customHeight="1">
      <c r="B677" s="59"/>
      <c r="C677" s="59"/>
      <c r="D677" s="59" t="s">
        <v>733</v>
      </c>
      <c r="H677" s="12"/>
      <c r="I677" s="5"/>
      <c r="J677" s="17"/>
      <c r="K677" s="11"/>
      <c r="L677" s="12"/>
      <c r="M677" s="12"/>
      <c r="N677" s="12"/>
      <c r="O677" s="227" t="s">
        <v>733</v>
      </c>
    </row>
    <row r="678" ht="18.75" customHeight="1">
      <c r="B678" s="59"/>
      <c r="C678" s="59"/>
      <c r="D678" s="59" t="s">
        <v>733</v>
      </c>
      <c r="H678" s="12"/>
      <c r="I678" s="5"/>
      <c r="J678" s="17"/>
      <c r="K678" s="11"/>
      <c r="L678" s="12"/>
      <c r="M678" s="12"/>
      <c r="N678" s="12"/>
      <c r="O678" s="227" t="s">
        <v>733</v>
      </c>
    </row>
    <row r="679" ht="18.75" customHeight="1">
      <c r="B679" s="59"/>
      <c r="C679" s="59"/>
      <c r="D679" s="59" t="s">
        <v>733</v>
      </c>
      <c r="H679" s="12"/>
      <c r="I679" s="5"/>
      <c r="J679" s="17"/>
      <c r="K679" s="11"/>
      <c r="L679" s="12"/>
      <c r="M679" s="12"/>
      <c r="N679" s="12"/>
      <c r="O679" s="227" t="s">
        <v>733</v>
      </c>
    </row>
    <row r="680" ht="18.75" customHeight="1">
      <c r="B680" s="59"/>
      <c r="C680" s="59"/>
      <c r="D680" s="59" t="s">
        <v>733</v>
      </c>
      <c r="H680" s="12"/>
      <c r="I680" s="5"/>
      <c r="J680" s="17"/>
      <c r="K680" s="11"/>
      <c r="L680" s="12"/>
      <c r="M680" s="12"/>
      <c r="N680" s="12"/>
      <c r="O680" s="227" t="s">
        <v>733</v>
      </c>
    </row>
    <row r="681" ht="18.75" customHeight="1">
      <c r="B681" s="59"/>
      <c r="C681" s="59"/>
      <c r="D681" s="59" t="s">
        <v>733</v>
      </c>
      <c r="H681" s="12"/>
      <c r="I681" s="5"/>
      <c r="J681" s="17"/>
      <c r="K681" s="11"/>
      <c r="L681" s="12"/>
      <c r="M681" s="12"/>
      <c r="N681" s="12"/>
      <c r="O681" s="227" t="s">
        <v>733</v>
      </c>
    </row>
    <row r="682" ht="18.75" customHeight="1">
      <c r="B682" s="59"/>
      <c r="C682" s="59"/>
      <c r="D682" s="59" t="s">
        <v>733</v>
      </c>
      <c r="H682" s="12"/>
      <c r="I682" s="5"/>
      <c r="J682" s="17"/>
      <c r="K682" s="11"/>
      <c r="L682" s="12"/>
      <c r="M682" s="12"/>
      <c r="N682" s="12"/>
      <c r="O682" s="227" t="s">
        <v>733</v>
      </c>
    </row>
    <row r="683" ht="18.75" customHeight="1">
      <c r="B683" s="59"/>
      <c r="C683" s="59"/>
      <c r="D683" s="59" t="s">
        <v>733</v>
      </c>
      <c r="H683" s="12"/>
      <c r="I683" s="5"/>
      <c r="J683" s="17"/>
      <c r="K683" s="11"/>
      <c r="L683" s="12"/>
      <c r="M683" s="12"/>
      <c r="N683" s="12"/>
      <c r="O683" s="227" t="s">
        <v>733</v>
      </c>
    </row>
    <row r="684" ht="18.75" customHeight="1">
      <c r="B684" s="59"/>
      <c r="C684" s="59"/>
      <c r="D684" s="59" t="s">
        <v>733</v>
      </c>
      <c r="H684" s="12"/>
      <c r="I684" s="5"/>
      <c r="J684" s="17"/>
      <c r="K684" s="11"/>
      <c r="L684" s="12"/>
      <c r="M684" s="12"/>
      <c r="N684" s="12"/>
      <c r="O684" s="227" t="s">
        <v>733</v>
      </c>
    </row>
    <row r="685" ht="18.75" customHeight="1">
      <c r="B685" s="59"/>
      <c r="C685" s="59"/>
      <c r="D685" s="59" t="s">
        <v>733</v>
      </c>
      <c r="H685" s="12"/>
      <c r="I685" s="5"/>
      <c r="J685" s="17"/>
      <c r="K685" s="11"/>
      <c r="L685" s="12"/>
      <c r="M685" s="12"/>
      <c r="N685" s="12"/>
      <c r="O685" s="227" t="s">
        <v>733</v>
      </c>
    </row>
    <row r="686" ht="18.75" customHeight="1">
      <c r="B686" s="59"/>
      <c r="C686" s="59"/>
      <c r="D686" s="59" t="s">
        <v>733</v>
      </c>
      <c r="H686" s="12"/>
      <c r="I686" s="5"/>
      <c r="J686" s="17"/>
      <c r="K686" s="11"/>
      <c r="L686" s="12"/>
      <c r="M686" s="12"/>
      <c r="N686" s="12"/>
      <c r="O686" s="227" t="s">
        <v>733</v>
      </c>
    </row>
    <row r="687" ht="18.75" customHeight="1">
      <c r="B687" s="59"/>
      <c r="C687" s="59"/>
      <c r="D687" s="59" t="s">
        <v>733</v>
      </c>
      <c r="H687" s="12"/>
      <c r="I687" s="5"/>
      <c r="J687" s="17"/>
      <c r="K687" s="11"/>
      <c r="L687" s="12"/>
      <c r="M687" s="12"/>
      <c r="N687" s="12"/>
      <c r="O687" s="227" t="s">
        <v>733</v>
      </c>
    </row>
    <row r="688" ht="18.75" customHeight="1">
      <c r="B688" s="59"/>
      <c r="C688" s="59"/>
      <c r="D688" s="59" t="s">
        <v>733</v>
      </c>
      <c r="H688" s="12"/>
      <c r="I688" s="5"/>
      <c r="J688" s="17"/>
      <c r="K688" s="11"/>
      <c r="L688" s="12"/>
      <c r="M688" s="12"/>
      <c r="N688" s="12"/>
      <c r="O688" s="227" t="s">
        <v>733</v>
      </c>
    </row>
    <row r="689" ht="18.75" customHeight="1">
      <c r="B689" s="59"/>
      <c r="C689" s="59"/>
      <c r="D689" s="59" t="s">
        <v>733</v>
      </c>
      <c r="H689" s="12"/>
      <c r="I689" s="5"/>
      <c r="J689" s="17"/>
      <c r="K689" s="11"/>
      <c r="L689" s="12"/>
      <c r="M689" s="12"/>
      <c r="N689" s="12"/>
      <c r="O689" s="227" t="s">
        <v>733</v>
      </c>
    </row>
    <row r="690" ht="18.75" customHeight="1">
      <c r="B690" s="59"/>
      <c r="C690" s="59"/>
      <c r="D690" s="59" t="s">
        <v>733</v>
      </c>
      <c r="H690" s="12"/>
      <c r="I690" s="5"/>
      <c r="J690" s="17"/>
      <c r="K690" s="11"/>
      <c r="L690" s="12"/>
      <c r="M690" s="12"/>
      <c r="N690" s="12"/>
      <c r="O690" s="227" t="s">
        <v>733</v>
      </c>
    </row>
    <row r="691" ht="18.75" customHeight="1">
      <c r="B691" s="59"/>
      <c r="C691" s="59"/>
      <c r="D691" s="59" t="s">
        <v>733</v>
      </c>
      <c r="H691" s="12"/>
      <c r="I691" s="5"/>
      <c r="J691" s="17"/>
      <c r="K691" s="11"/>
      <c r="L691" s="12"/>
      <c r="M691" s="12"/>
      <c r="N691" s="12"/>
      <c r="O691" s="227" t="s">
        <v>733</v>
      </c>
    </row>
    <row r="692" ht="18.75" customHeight="1">
      <c r="B692" s="59"/>
      <c r="C692" s="59"/>
      <c r="D692" s="59" t="s">
        <v>733</v>
      </c>
      <c r="H692" s="12"/>
      <c r="I692" s="5"/>
      <c r="J692" s="17"/>
      <c r="K692" s="11"/>
      <c r="L692" s="12"/>
      <c r="M692" s="12"/>
      <c r="N692" s="12"/>
      <c r="O692" s="227" t="s">
        <v>733</v>
      </c>
    </row>
    <row r="693" ht="18.75" customHeight="1">
      <c r="B693" s="59"/>
      <c r="C693" s="59"/>
      <c r="D693" s="59" t="s">
        <v>733</v>
      </c>
      <c r="H693" s="12"/>
      <c r="I693" s="5"/>
      <c r="J693" s="17"/>
      <c r="K693" s="11"/>
      <c r="L693" s="12"/>
      <c r="M693" s="12"/>
      <c r="N693" s="12"/>
      <c r="O693" s="227" t="s">
        <v>733</v>
      </c>
    </row>
    <row r="694" ht="18.75" customHeight="1">
      <c r="B694" s="59"/>
      <c r="C694" s="59"/>
      <c r="D694" s="59" t="s">
        <v>733</v>
      </c>
      <c r="H694" s="12"/>
      <c r="I694" s="5"/>
      <c r="J694" s="17"/>
      <c r="K694" s="11"/>
      <c r="L694" s="12"/>
      <c r="M694" s="12"/>
      <c r="N694" s="12"/>
      <c r="O694" s="227" t="s">
        <v>733</v>
      </c>
    </row>
    <row r="695" ht="18.75" customHeight="1">
      <c r="B695" s="59"/>
      <c r="C695" s="59"/>
      <c r="D695" s="59" t="s">
        <v>733</v>
      </c>
      <c r="H695" s="12"/>
      <c r="I695" s="5"/>
      <c r="J695" s="17"/>
      <c r="K695" s="11"/>
      <c r="L695" s="12"/>
      <c r="M695" s="12"/>
      <c r="N695" s="12"/>
      <c r="O695" s="227" t="s">
        <v>733</v>
      </c>
    </row>
    <row r="696" ht="18.75" customHeight="1">
      <c r="B696" s="59"/>
      <c r="C696" s="59"/>
      <c r="D696" s="59" t="s">
        <v>733</v>
      </c>
      <c r="H696" s="12"/>
      <c r="I696" s="5"/>
      <c r="J696" s="17"/>
      <c r="K696" s="11"/>
      <c r="L696" s="12"/>
      <c r="M696" s="12"/>
      <c r="N696" s="12"/>
      <c r="O696" s="227" t="s">
        <v>733</v>
      </c>
    </row>
    <row r="697" ht="18.75" customHeight="1">
      <c r="B697" s="59"/>
      <c r="C697" s="59"/>
      <c r="D697" s="59" t="s">
        <v>733</v>
      </c>
      <c r="H697" s="12"/>
      <c r="I697" s="5"/>
      <c r="J697" s="17"/>
      <c r="K697" s="11"/>
      <c r="L697" s="12"/>
      <c r="M697" s="12"/>
      <c r="N697" s="12"/>
      <c r="O697" s="227" t="s">
        <v>733</v>
      </c>
    </row>
    <row r="698" ht="18.75" customHeight="1">
      <c r="B698" s="59"/>
      <c r="C698" s="59"/>
      <c r="D698" s="59" t="s">
        <v>733</v>
      </c>
      <c r="H698" s="12"/>
      <c r="I698" s="5"/>
      <c r="J698" s="17"/>
      <c r="K698" s="11"/>
      <c r="L698" s="12"/>
      <c r="M698" s="12"/>
      <c r="N698" s="12"/>
      <c r="O698" s="227" t="s">
        <v>733</v>
      </c>
    </row>
    <row r="699" ht="18.75" customHeight="1">
      <c r="B699" s="59"/>
      <c r="C699" s="59"/>
      <c r="D699" s="59" t="s">
        <v>733</v>
      </c>
      <c r="H699" s="12"/>
      <c r="I699" s="5"/>
      <c r="J699" s="17"/>
      <c r="K699" s="11"/>
      <c r="L699" s="12"/>
      <c r="M699" s="12"/>
      <c r="N699" s="12"/>
      <c r="O699" s="227" t="s">
        <v>733</v>
      </c>
    </row>
    <row r="700" ht="18.75" customHeight="1">
      <c r="B700" s="59"/>
      <c r="C700" s="59"/>
      <c r="D700" s="59" t="s">
        <v>733</v>
      </c>
      <c r="H700" s="12"/>
      <c r="I700" s="5"/>
      <c r="J700" s="17"/>
      <c r="K700" s="11"/>
      <c r="L700" s="12"/>
      <c r="M700" s="12"/>
      <c r="N700" s="12"/>
      <c r="O700" s="227" t="s">
        <v>733</v>
      </c>
    </row>
    <row r="701" ht="18.75" customHeight="1">
      <c r="B701" s="59"/>
      <c r="C701" s="59"/>
      <c r="D701" s="59" t="s">
        <v>733</v>
      </c>
      <c r="H701" s="12"/>
      <c r="I701" s="5"/>
      <c r="J701" s="17"/>
      <c r="K701" s="11"/>
      <c r="L701" s="12"/>
      <c r="M701" s="12"/>
      <c r="N701" s="12"/>
      <c r="O701" s="227" t="s">
        <v>733</v>
      </c>
    </row>
    <row r="702" ht="18.75" customHeight="1">
      <c r="B702" s="59"/>
      <c r="C702" s="59"/>
      <c r="D702" s="59" t="s">
        <v>733</v>
      </c>
      <c r="H702" s="12"/>
      <c r="I702" s="5"/>
      <c r="J702" s="17"/>
      <c r="K702" s="11"/>
      <c r="L702" s="12"/>
      <c r="M702" s="12"/>
      <c r="N702" s="12"/>
      <c r="O702" s="227" t="s">
        <v>733</v>
      </c>
    </row>
    <row r="703" ht="18.75" customHeight="1">
      <c r="B703" s="59"/>
      <c r="C703" s="59"/>
      <c r="D703" s="59" t="s">
        <v>733</v>
      </c>
      <c r="H703" s="12"/>
      <c r="I703" s="5"/>
      <c r="J703" s="17"/>
      <c r="K703" s="11"/>
      <c r="L703" s="12"/>
      <c r="M703" s="12"/>
      <c r="N703" s="12"/>
      <c r="O703" s="227" t="s">
        <v>733</v>
      </c>
    </row>
    <row r="704" ht="18.75" customHeight="1">
      <c r="B704" s="59"/>
      <c r="C704" s="59"/>
      <c r="D704" s="59" t="s">
        <v>733</v>
      </c>
      <c r="H704" s="12"/>
      <c r="I704" s="5"/>
      <c r="J704" s="17"/>
      <c r="K704" s="11"/>
      <c r="L704" s="12"/>
      <c r="M704" s="12"/>
      <c r="N704" s="12"/>
      <c r="O704" s="227" t="s">
        <v>733</v>
      </c>
    </row>
    <row r="705" ht="18.75" customHeight="1">
      <c r="B705" s="59"/>
      <c r="C705" s="59"/>
      <c r="D705" s="59" t="s">
        <v>733</v>
      </c>
      <c r="H705" s="12"/>
      <c r="I705" s="5"/>
      <c r="J705" s="17"/>
      <c r="K705" s="11"/>
      <c r="L705" s="12"/>
      <c r="M705" s="12"/>
      <c r="N705" s="12"/>
      <c r="O705" s="227" t="s">
        <v>733</v>
      </c>
    </row>
    <row r="706" ht="18.75" customHeight="1">
      <c r="B706" s="59"/>
      <c r="C706" s="59"/>
      <c r="D706" s="59" t="s">
        <v>733</v>
      </c>
      <c r="H706" s="12"/>
      <c r="I706" s="5"/>
      <c r="J706" s="17"/>
      <c r="K706" s="11"/>
      <c r="L706" s="12"/>
      <c r="M706" s="12"/>
      <c r="N706" s="12"/>
      <c r="O706" s="227" t="s">
        <v>733</v>
      </c>
    </row>
    <row r="707" ht="18.75" customHeight="1">
      <c r="B707" s="59"/>
      <c r="C707" s="59"/>
      <c r="D707" s="59" t="s">
        <v>733</v>
      </c>
      <c r="H707" s="12"/>
      <c r="I707" s="5"/>
      <c r="J707" s="17"/>
      <c r="K707" s="11"/>
      <c r="L707" s="12"/>
      <c r="M707" s="12"/>
      <c r="N707" s="12"/>
      <c r="O707" s="227" t="s">
        <v>733</v>
      </c>
    </row>
    <row r="708" ht="18.75" customHeight="1">
      <c r="B708" s="59"/>
      <c r="C708" s="59"/>
      <c r="D708" s="59" t="s">
        <v>733</v>
      </c>
      <c r="H708" s="12"/>
      <c r="I708" s="5"/>
      <c r="J708" s="17"/>
      <c r="K708" s="11"/>
      <c r="L708" s="12"/>
      <c r="M708" s="12"/>
      <c r="N708" s="12"/>
      <c r="O708" s="227" t="s">
        <v>733</v>
      </c>
    </row>
    <row r="709" ht="18.75" customHeight="1">
      <c r="B709" s="59"/>
      <c r="C709" s="59"/>
      <c r="D709" s="59" t="s">
        <v>733</v>
      </c>
      <c r="H709" s="12"/>
      <c r="I709" s="5"/>
      <c r="J709" s="17"/>
      <c r="K709" s="11"/>
      <c r="L709" s="12"/>
      <c r="M709" s="12"/>
      <c r="N709" s="12"/>
      <c r="O709" s="227" t="s">
        <v>733</v>
      </c>
    </row>
    <row r="710" ht="18.75" customHeight="1">
      <c r="B710" s="59"/>
      <c r="C710" s="59"/>
      <c r="D710" s="59" t="s">
        <v>733</v>
      </c>
      <c r="H710" s="12"/>
      <c r="I710" s="5"/>
      <c r="J710" s="17"/>
      <c r="K710" s="11"/>
      <c r="L710" s="12"/>
      <c r="M710" s="12"/>
      <c r="N710" s="12"/>
      <c r="O710" s="227" t="s">
        <v>733</v>
      </c>
    </row>
    <row r="711" ht="18.75" customHeight="1">
      <c r="B711" s="59"/>
      <c r="C711" s="59"/>
      <c r="D711" s="59" t="s">
        <v>733</v>
      </c>
      <c r="H711" s="12"/>
      <c r="I711" s="5"/>
      <c r="J711" s="17"/>
      <c r="K711" s="11"/>
      <c r="L711" s="12"/>
      <c r="M711" s="12"/>
      <c r="N711" s="12"/>
      <c r="O711" s="227" t="s">
        <v>733</v>
      </c>
    </row>
    <row r="712" ht="18.75" customHeight="1">
      <c r="B712" s="59"/>
      <c r="C712" s="59"/>
      <c r="D712" s="59" t="s">
        <v>733</v>
      </c>
      <c r="H712" s="12"/>
      <c r="I712" s="5"/>
      <c r="J712" s="17"/>
      <c r="K712" s="11"/>
      <c r="L712" s="12"/>
      <c r="M712" s="12"/>
      <c r="N712" s="12"/>
      <c r="O712" s="227" t="s">
        <v>733</v>
      </c>
    </row>
    <row r="713" ht="18.75" customHeight="1">
      <c r="B713" s="59"/>
      <c r="C713" s="59"/>
      <c r="D713" s="59" t="s">
        <v>733</v>
      </c>
      <c r="H713" s="12"/>
      <c r="I713" s="5"/>
      <c r="J713" s="17"/>
      <c r="K713" s="11"/>
      <c r="L713" s="12"/>
      <c r="M713" s="12"/>
      <c r="N713" s="12"/>
      <c r="O713" s="227" t="s">
        <v>733</v>
      </c>
    </row>
    <row r="714" ht="18.75" customHeight="1">
      <c r="B714" s="59"/>
      <c r="C714" s="59"/>
      <c r="D714" s="59" t="s">
        <v>733</v>
      </c>
      <c r="H714" s="12"/>
      <c r="I714" s="5"/>
      <c r="J714" s="17"/>
      <c r="K714" s="11"/>
      <c r="L714" s="12"/>
      <c r="M714" s="12"/>
      <c r="N714" s="12"/>
      <c r="O714" s="227" t="s">
        <v>733</v>
      </c>
    </row>
    <row r="715" ht="18.75" customHeight="1">
      <c r="B715" s="59"/>
      <c r="C715" s="59"/>
      <c r="D715" s="59" t="s">
        <v>733</v>
      </c>
      <c r="H715" s="12"/>
      <c r="I715" s="5"/>
      <c r="J715" s="17"/>
      <c r="K715" s="11"/>
      <c r="L715" s="12"/>
      <c r="M715" s="12"/>
      <c r="N715" s="12"/>
      <c r="O715" s="227" t="s">
        <v>733</v>
      </c>
    </row>
    <row r="716" ht="18.75" customHeight="1">
      <c r="B716" s="59"/>
      <c r="C716" s="59"/>
      <c r="D716" s="59" t="s">
        <v>733</v>
      </c>
      <c r="H716" s="12"/>
      <c r="I716" s="5"/>
      <c r="J716" s="17"/>
      <c r="K716" s="11"/>
      <c r="L716" s="12"/>
      <c r="M716" s="12"/>
      <c r="N716" s="12"/>
      <c r="O716" s="227" t="s">
        <v>733</v>
      </c>
    </row>
    <row r="717" ht="18.75" customHeight="1">
      <c r="B717" s="59"/>
      <c r="C717" s="59"/>
      <c r="D717" s="59" t="s">
        <v>733</v>
      </c>
      <c r="H717" s="12"/>
      <c r="I717" s="5"/>
      <c r="J717" s="17"/>
      <c r="K717" s="11"/>
      <c r="L717" s="12"/>
      <c r="M717" s="12"/>
      <c r="N717" s="12"/>
      <c r="O717" s="227" t="s">
        <v>733</v>
      </c>
    </row>
    <row r="718" ht="18.75" customHeight="1">
      <c r="B718" s="59"/>
      <c r="C718" s="59"/>
      <c r="D718" s="59" t="s">
        <v>733</v>
      </c>
      <c r="H718" s="12"/>
      <c r="I718" s="5"/>
      <c r="J718" s="17"/>
      <c r="K718" s="11"/>
      <c r="L718" s="12"/>
      <c r="M718" s="12"/>
      <c r="N718" s="12"/>
      <c r="O718" s="227" t="s">
        <v>733</v>
      </c>
    </row>
    <row r="719" ht="18.75" customHeight="1">
      <c r="B719" s="59"/>
      <c r="C719" s="59"/>
      <c r="D719" s="59" t="s">
        <v>733</v>
      </c>
      <c r="H719" s="12"/>
      <c r="I719" s="5"/>
      <c r="J719" s="17"/>
      <c r="K719" s="11"/>
      <c r="L719" s="12"/>
      <c r="M719" s="12"/>
      <c r="N719" s="12"/>
      <c r="O719" s="227" t="s">
        <v>733</v>
      </c>
    </row>
    <row r="720" ht="18.75" customHeight="1">
      <c r="B720" s="59"/>
      <c r="C720" s="59"/>
      <c r="D720" s="59" t="s">
        <v>733</v>
      </c>
      <c r="H720" s="12"/>
      <c r="I720" s="5"/>
      <c r="J720" s="17"/>
      <c r="K720" s="11"/>
      <c r="L720" s="12"/>
      <c r="M720" s="12"/>
      <c r="N720" s="12"/>
      <c r="O720" s="227" t="s">
        <v>733</v>
      </c>
    </row>
    <row r="721" ht="18.75" customHeight="1">
      <c r="B721" s="59"/>
      <c r="C721" s="59"/>
      <c r="D721" s="59" t="s">
        <v>733</v>
      </c>
      <c r="H721" s="12"/>
      <c r="I721" s="5"/>
      <c r="J721" s="17"/>
      <c r="K721" s="11"/>
      <c r="L721" s="12"/>
      <c r="M721" s="12"/>
      <c r="N721" s="12"/>
      <c r="O721" s="227" t="s">
        <v>733</v>
      </c>
    </row>
    <row r="722" ht="18.75" customHeight="1">
      <c r="B722" s="59"/>
      <c r="C722" s="59"/>
      <c r="D722" s="59" t="s">
        <v>733</v>
      </c>
      <c r="H722" s="12"/>
      <c r="I722" s="5"/>
      <c r="J722" s="17"/>
      <c r="K722" s="11"/>
      <c r="L722" s="12"/>
      <c r="M722" s="12"/>
      <c r="N722" s="12"/>
      <c r="O722" s="227" t="s">
        <v>733</v>
      </c>
    </row>
    <row r="723" ht="18.75" customHeight="1">
      <c r="B723" s="59"/>
      <c r="C723" s="59"/>
      <c r="D723" s="59" t="s">
        <v>733</v>
      </c>
      <c r="H723" s="12"/>
      <c r="I723" s="5"/>
      <c r="J723" s="17"/>
      <c r="K723" s="11"/>
      <c r="L723" s="12"/>
      <c r="M723" s="12"/>
      <c r="N723" s="12"/>
      <c r="O723" s="227" t="s">
        <v>733</v>
      </c>
    </row>
    <row r="724" ht="18.75" customHeight="1">
      <c r="B724" s="59"/>
      <c r="C724" s="59"/>
      <c r="D724" s="59" t="s">
        <v>733</v>
      </c>
      <c r="H724" s="12"/>
      <c r="I724" s="5"/>
      <c r="J724" s="17"/>
      <c r="K724" s="11"/>
      <c r="L724" s="12"/>
      <c r="M724" s="12"/>
      <c r="N724" s="12"/>
      <c r="O724" s="227" t="s">
        <v>733</v>
      </c>
    </row>
    <row r="725" ht="18.75" customHeight="1">
      <c r="B725" s="59"/>
      <c r="C725" s="59"/>
      <c r="D725" s="59" t="s">
        <v>733</v>
      </c>
      <c r="H725" s="12"/>
      <c r="I725" s="5"/>
      <c r="J725" s="17"/>
      <c r="K725" s="11"/>
      <c r="L725" s="12"/>
      <c r="M725" s="12"/>
      <c r="N725" s="12"/>
      <c r="O725" s="227" t="s">
        <v>733</v>
      </c>
    </row>
    <row r="726" ht="18.75" customHeight="1">
      <c r="B726" s="59"/>
      <c r="C726" s="59"/>
      <c r="D726" s="59" t="s">
        <v>733</v>
      </c>
      <c r="H726" s="12"/>
      <c r="I726" s="5"/>
      <c r="J726" s="17"/>
      <c r="K726" s="11"/>
      <c r="L726" s="12"/>
      <c r="M726" s="12"/>
      <c r="N726" s="12"/>
      <c r="O726" s="227" t="s">
        <v>733</v>
      </c>
    </row>
    <row r="727" ht="18.75" customHeight="1">
      <c r="B727" s="59"/>
      <c r="C727" s="59"/>
      <c r="D727" s="59" t="s">
        <v>733</v>
      </c>
      <c r="H727" s="12"/>
      <c r="I727" s="5"/>
      <c r="J727" s="17"/>
      <c r="K727" s="11"/>
      <c r="L727" s="12"/>
      <c r="M727" s="12"/>
      <c r="N727" s="12"/>
      <c r="O727" s="227" t="s">
        <v>733</v>
      </c>
    </row>
    <row r="728" ht="18.75" customHeight="1">
      <c r="B728" s="59"/>
      <c r="C728" s="59"/>
      <c r="D728" s="59" t="s">
        <v>733</v>
      </c>
      <c r="H728" s="12"/>
      <c r="I728" s="5"/>
      <c r="J728" s="17"/>
      <c r="K728" s="11"/>
      <c r="L728" s="12"/>
      <c r="M728" s="12"/>
      <c r="N728" s="12"/>
      <c r="O728" s="227" t="s">
        <v>733</v>
      </c>
    </row>
    <row r="729" ht="18.75" customHeight="1">
      <c r="B729" s="59"/>
      <c r="C729" s="59"/>
      <c r="D729" s="59" t="s">
        <v>733</v>
      </c>
      <c r="H729" s="12"/>
      <c r="I729" s="5"/>
      <c r="J729" s="17"/>
      <c r="K729" s="11"/>
      <c r="L729" s="12"/>
      <c r="M729" s="12"/>
      <c r="N729" s="12"/>
      <c r="O729" s="227" t="s">
        <v>733</v>
      </c>
    </row>
    <row r="730" ht="18.75" customHeight="1">
      <c r="B730" s="59"/>
      <c r="C730" s="59"/>
      <c r="D730" s="59" t="s">
        <v>733</v>
      </c>
      <c r="H730" s="12"/>
      <c r="I730" s="5"/>
      <c r="J730" s="17"/>
      <c r="K730" s="11"/>
      <c r="L730" s="12"/>
      <c r="M730" s="12"/>
      <c r="N730" s="12"/>
      <c r="O730" s="227" t="s">
        <v>733</v>
      </c>
    </row>
    <row r="731" ht="18.75" customHeight="1">
      <c r="B731" s="59"/>
      <c r="C731" s="59"/>
      <c r="D731" s="59" t="s">
        <v>733</v>
      </c>
      <c r="H731" s="12"/>
      <c r="I731" s="5"/>
      <c r="J731" s="17"/>
      <c r="K731" s="11"/>
      <c r="L731" s="12"/>
      <c r="M731" s="12"/>
      <c r="N731" s="12"/>
      <c r="O731" s="227" t="s">
        <v>733</v>
      </c>
    </row>
    <row r="732" ht="18.75" customHeight="1">
      <c r="B732" s="59"/>
      <c r="C732" s="59"/>
      <c r="D732" s="59" t="s">
        <v>733</v>
      </c>
      <c r="H732" s="12"/>
      <c r="I732" s="5"/>
      <c r="J732" s="17"/>
      <c r="K732" s="11"/>
      <c r="L732" s="12"/>
      <c r="M732" s="12"/>
      <c r="N732" s="12"/>
      <c r="O732" s="227" t="s">
        <v>733</v>
      </c>
    </row>
    <row r="733" ht="18.75" customHeight="1">
      <c r="B733" s="59"/>
      <c r="C733" s="59"/>
      <c r="D733" s="59" t="s">
        <v>733</v>
      </c>
      <c r="H733" s="12"/>
      <c r="I733" s="5"/>
      <c r="J733" s="17"/>
      <c r="K733" s="11"/>
      <c r="L733" s="12"/>
      <c r="M733" s="12"/>
      <c r="N733" s="12"/>
      <c r="O733" s="227" t="s">
        <v>733</v>
      </c>
    </row>
    <row r="734" ht="18.75" customHeight="1">
      <c r="B734" s="59"/>
      <c r="C734" s="59"/>
      <c r="D734" s="59" t="s">
        <v>733</v>
      </c>
      <c r="H734" s="12"/>
      <c r="I734" s="5"/>
      <c r="J734" s="17"/>
      <c r="K734" s="11"/>
      <c r="L734" s="12"/>
      <c r="M734" s="12"/>
      <c r="N734" s="12"/>
      <c r="O734" s="227" t="s">
        <v>733</v>
      </c>
    </row>
    <row r="735" ht="18.75" customHeight="1">
      <c r="B735" s="59"/>
      <c r="C735" s="59"/>
      <c r="D735" s="59" t="s">
        <v>733</v>
      </c>
      <c r="H735" s="12"/>
      <c r="I735" s="5"/>
      <c r="J735" s="17"/>
      <c r="K735" s="11"/>
      <c r="L735" s="12"/>
      <c r="M735" s="12"/>
      <c r="N735" s="12"/>
      <c r="O735" s="227" t="s">
        <v>733</v>
      </c>
    </row>
    <row r="736" ht="18.75" customHeight="1">
      <c r="B736" s="59"/>
      <c r="C736" s="59"/>
      <c r="D736" s="59" t="s">
        <v>733</v>
      </c>
      <c r="H736" s="12"/>
      <c r="I736" s="5"/>
      <c r="J736" s="17"/>
      <c r="K736" s="11"/>
      <c r="L736" s="12"/>
      <c r="M736" s="12"/>
      <c r="N736" s="12"/>
      <c r="O736" s="227" t="s">
        <v>733</v>
      </c>
    </row>
    <row r="737" ht="18.75" customHeight="1">
      <c r="B737" s="59"/>
      <c r="C737" s="59"/>
      <c r="D737" s="59" t="s">
        <v>733</v>
      </c>
      <c r="H737" s="12"/>
      <c r="I737" s="5"/>
      <c r="J737" s="17"/>
      <c r="K737" s="11"/>
      <c r="L737" s="12"/>
      <c r="M737" s="12"/>
      <c r="N737" s="12"/>
      <c r="O737" s="227" t="s">
        <v>733</v>
      </c>
    </row>
    <row r="738" ht="18.75" customHeight="1">
      <c r="B738" s="59"/>
      <c r="C738" s="59"/>
      <c r="D738" s="59" t="s">
        <v>733</v>
      </c>
      <c r="H738" s="12"/>
      <c r="I738" s="5"/>
      <c r="J738" s="17"/>
      <c r="K738" s="11"/>
      <c r="L738" s="12"/>
      <c r="M738" s="12"/>
      <c r="N738" s="12"/>
      <c r="O738" s="227" t="s">
        <v>733</v>
      </c>
    </row>
    <row r="739" ht="18.75" customHeight="1">
      <c r="B739" s="59"/>
      <c r="C739" s="59"/>
      <c r="D739" s="59" t="s">
        <v>733</v>
      </c>
      <c r="H739" s="12"/>
      <c r="I739" s="5"/>
      <c r="J739" s="17"/>
      <c r="K739" s="11"/>
      <c r="L739" s="12"/>
      <c r="M739" s="12"/>
      <c r="N739" s="12"/>
      <c r="O739" s="227" t="s">
        <v>733</v>
      </c>
    </row>
    <row r="740" ht="18.75" customHeight="1">
      <c r="B740" s="59"/>
      <c r="C740" s="59"/>
      <c r="D740" s="59" t="s">
        <v>733</v>
      </c>
      <c r="H740" s="12"/>
      <c r="I740" s="5"/>
      <c r="J740" s="17"/>
      <c r="K740" s="11"/>
      <c r="L740" s="12"/>
      <c r="M740" s="12"/>
      <c r="N740" s="12"/>
      <c r="O740" s="227" t="s">
        <v>733</v>
      </c>
    </row>
    <row r="741" ht="18.75" customHeight="1">
      <c r="B741" s="59"/>
      <c r="C741" s="59"/>
      <c r="D741" s="59" t="s">
        <v>733</v>
      </c>
      <c r="H741" s="12"/>
      <c r="I741" s="5"/>
      <c r="J741" s="17"/>
      <c r="K741" s="11"/>
      <c r="L741" s="12"/>
      <c r="M741" s="12"/>
      <c r="N741" s="12"/>
      <c r="O741" s="227" t="s">
        <v>733</v>
      </c>
    </row>
    <row r="742" ht="18.75" customHeight="1">
      <c r="B742" s="59"/>
      <c r="C742" s="59"/>
      <c r="D742" s="59" t="s">
        <v>733</v>
      </c>
      <c r="H742" s="12"/>
      <c r="I742" s="5"/>
      <c r="J742" s="17"/>
      <c r="K742" s="11"/>
      <c r="L742" s="12"/>
      <c r="M742" s="12"/>
      <c r="N742" s="12"/>
      <c r="O742" s="227" t="s">
        <v>733</v>
      </c>
    </row>
    <row r="743" ht="18.75" customHeight="1">
      <c r="B743" s="59"/>
      <c r="C743" s="59"/>
      <c r="D743" s="59" t="s">
        <v>733</v>
      </c>
      <c r="H743" s="12"/>
      <c r="I743" s="5"/>
      <c r="J743" s="17"/>
      <c r="K743" s="11"/>
      <c r="L743" s="12"/>
      <c r="M743" s="12"/>
      <c r="N743" s="12"/>
      <c r="O743" s="227" t="s">
        <v>733</v>
      </c>
    </row>
    <row r="744" ht="18.75" customHeight="1">
      <c r="B744" s="59"/>
      <c r="C744" s="59"/>
      <c r="D744" s="59" t="s">
        <v>733</v>
      </c>
      <c r="H744" s="12"/>
      <c r="I744" s="5"/>
      <c r="J744" s="17"/>
      <c r="K744" s="11"/>
      <c r="L744" s="12"/>
      <c r="M744" s="12"/>
      <c r="N744" s="12"/>
      <c r="O744" s="227" t="s">
        <v>733</v>
      </c>
    </row>
    <row r="745" ht="18.75" customHeight="1">
      <c r="B745" s="59"/>
      <c r="C745" s="59"/>
      <c r="D745" s="59" t="s">
        <v>733</v>
      </c>
      <c r="H745" s="12"/>
      <c r="I745" s="5"/>
      <c r="J745" s="17"/>
      <c r="K745" s="11"/>
      <c r="L745" s="12"/>
      <c r="M745" s="12"/>
      <c r="N745" s="12"/>
      <c r="O745" s="227" t="s">
        <v>733</v>
      </c>
    </row>
    <row r="746" ht="18.75" customHeight="1">
      <c r="B746" s="59"/>
      <c r="C746" s="59"/>
      <c r="D746" s="59" t="s">
        <v>733</v>
      </c>
      <c r="H746" s="12"/>
      <c r="I746" s="5"/>
      <c r="J746" s="17"/>
      <c r="K746" s="11"/>
      <c r="L746" s="12"/>
      <c r="M746" s="12"/>
      <c r="N746" s="12"/>
      <c r="O746" s="227" t="s">
        <v>733</v>
      </c>
    </row>
    <row r="747" ht="18.75" customHeight="1">
      <c r="B747" s="59"/>
      <c r="C747" s="59"/>
      <c r="D747" s="59" t="s">
        <v>733</v>
      </c>
      <c r="H747" s="12"/>
      <c r="I747" s="5"/>
      <c r="J747" s="17"/>
      <c r="K747" s="11"/>
      <c r="L747" s="12"/>
      <c r="M747" s="12"/>
      <c r="N747" s="12"/>
      <c r="O747" s="227" t="s">
        <v>733</v>
      </c>
    </row>
    <row r="748" ht="18.75" customHeight="1">
      <c r="B748" s="59"/>
      <c r="C748" s="59"/>
      <c r="D748" s="59" t="s">
        <v>733</v>
      </c>
      <c r="H748" s="12"/>
      <c r="I748" s="5"/>
      <c r="J748" s="17"/>
      <c r="K748" s="11"/>
      <c r="L748" s="12"/>
      <c r="M748" s="12"/>
      <c r="N748" s="12"/>
      <c r="O748" s="227" t="s">
        <v>733</v>
      </c>
    </row>
    <row r="749" ht="18.75" customHeight="1">
      <c r="B749" s="59"/>
      <c r="C749" s="59"/>
      <c r="D749" s="59" t="s">
        <v>733</v>
      </c>
      <c r="H749" s="12"/>
      <c r="I749" s="5"/>
      <c r="J749" s="17"/>
      <c r="K749" s="11"/>
      <c r="L749" s="12"/>
      <c r="M749" s="12"/>
      <c r="N749" s="12"/>
      <c r="O749" s="227" t="s">
        <v>733</v>
      </c>
    </row>
    <row r="750" ht="18.75" customHeight="1">
      <c r="B750" s="59"/>
      <c r="C750" s="59"/>
      <c r="D750" s="59" t="s">
        <v>733</v>
      </c>
      <c r="H750" s="12"/>
      <c r="I750" s="5"/>
      <c r="J750" s="17"/>
      <c r="K750" s="11"/>
      <c r="L750" s="12"/>
      <c r="M750" s="12"/>
      <c r="N750" s="12"/>
      <c r="O750" s="227" t="s">
        <v>733</v>
      </c>
    </row>
    <row r="751" ht="18.75" customHeight="1">
      <c r="B751" s="59"/>
      <c r="C751" s="59"/>
      <c r="D751" s="59" t="s">
        <v>733</v>
      </c>
      <c r="H751" s="12"/>
      <c r="I751" s="5"/>
      <c r="J751" s="17"/>
      <c r="K751" s="11"/>
      <c r="L751" s="12"/>
      <c r="M751" s="12"/>
      <c r="N751" s="12"/>
      <c r="O751" s="227" t="s">
        <v>733</v>
      </c>
    </row>
    <row r="752" ht="18.75" customHeight="1">
      <c r="B752" s="59"/>
      <c r="C752" s="59"/>
      <c r="D752" s="59" t="s">
        <v>733</v>
      </c>
      <c r="H752" s="12"/>
      <c r="I752" s="5"/>
      <c r="J752" s="17"/>
      <c r="K752" s="11"/>
      <c r="L752" s="12"/>
      <c r="M752" s="12"/>
      <c r="N752" s="12"/>
      <c r="O752" s="227" t="s">
        <v>733</v>
      </c>
    </row>
    <row r="753" ht="18.75" customHeight="1">
      <c r="B753" s="59"/>
      <c r="C753" s="59"/>
      <c r="D753" s="59" t="s">
        <v>733</v>
      </c>
      <c r="H753" s="12"/>
      <c r="I753" s="5"/>
      <c r="J753" s="17"/>
      <c r="K753" s="11"/>
      <c r="L753" s="12"/>
      <c r="M753" s="12"/>
      <c r="N753" s="12"/>
      <c r="O753" s="227" t="s">
        <v>733</v>
      </c>
    </row>
    <row r="754" ht="18.75" customHeight="1">
      <c r="B754" s="59"/>
      <c r="C754" s="59"/>
      <c r="D754" s="59" t="s">
        <v>733</v>
      </c>
      <c r="H754" s="12"/>
      <c r="I754" s="5"/>
      <c r="J754" s="17"/>
      <c r="K754" s="11"/>
      <c r="L754" s="12"/>
      <c r="M754" s="12"/>
      <c r="N754" s="12"/>
      <c r="O754" s="227" t="s">
        <v>733</v>
      </c>
    </row>
    <row r="755" ht="18.75" customHeight="1">
      <c r="B755" s="59"/>
      <c r="C755" s="59"/>
      <c r="D755" s="59" t="s">
        <v>733</v>
      </c>
      <c r="H755" s="12"/>
      <c r="I755" s="5"/>
      <c r="J755" s="17"/>
      <c r="K755" s="11"/>
      <c r="L755" s="12"/>
      <c r="M755" s="12"/>
      <c r="N755" s="12"/>
      <c r="O755" s="227" t="s">
        <v>733</v>
      </c>
    </row>
    <row r="756" ht="18.75" customHeight="1">
      <c r="B756" s="59"/>
      <c r="C756" s="59"/>
      <c r="D756" s="59" t="s">
        <v>733</v>
      </c>
      <c r="H756" s="12"/>
      <c r="I756" s="5"/>
      <c r="J756" s="17"/>
      <c r="K756" s="11"/>
      <c r="L756" s="12"/>
      <c r="M756" s="12"/>
      <c r="N756" s="12"/>
      <c r="O756" s="227" t="s">
        <v>733</v>
      </c>
    </row>
    <row r="757" ht="18.75" customHeight="1">
      <c r="B757" s="59"/>
      <c r="C757" s="59"/>
      <c r="D757" s="59" t="s">
        <v>733</v>
      </c>
      <c r="H757" s="12"/>
      <c r="I757" s="5"/>
      <c r="J757" s="17"/>
      <c r="K757" s="11"/>
      <c r="L757" s="12"/>
      <c r="M757" s="12"/>
      <c r="N757" s="12"/>
      <c r="O757" s="227" t="s">
        <v>733</v>
      </c>
    </row>
    <row r="758" ht="18.75" customHeight="1">
      <c r="B758" s="59"/>
      <c r="C758" s="59"/>
      <c r="D758" s="59" t="s">
        <v>733</v>
      </c>
      <c r="H758" s="12"/>
      <c r="I758" s="5"/>
      <c r="J758" s="17"/>
      <c r="K758" s="11"/>
      <c r="L758" s="12"/>
      <c r="M758" s="12"/>
      <c r="N758" s="12"/>
      <c r="O758" s="227" t="s">
        <v>733</v>
      </c>
    </row>
    <row r="759" ht="18.75" customHeight="1">
      <c r="B759" s="59"/>
      <c r="C759" s="59"/>
      <c r="D759" s="59" t="s">
        <v>733</v>
      </c>
      <c r="H759" s="12"/>
      <c r="I759" s="5"/>
      <c r="J759" s="17"/>
      <c r="K759" s="11"/>
      <c r="L759" s="12"/>
      <c r="M759" s="12"/>
      <c r="N759" s="12"/>
      <c r="O759" s="227" t="s">
        <v>733</v>
      </c>
    </row>
    <row r="760" ht="18.75" customHeight="1">
      <c r="B760" s="59"/>
      <c r="C760" s="59"/>
      <c r="D760" s="59" t="s">
        <v>733</v>
      </c>
      <c r="H760" s="12"/>
      <c r="I760" s="5"/>
      <c r="J760" s="17"/>
      <c r="K760" s="11"/>
      <c r="L760" s="12"/>
      <c r="M760" s="12"/>
      <c r="N760" s="12"/>
      <c r="O760" s="227" t="s">
        <v>733</v>
      </c>
    </row>
    <row r="761" ht="18.75" customHeight="1">
      <c r="B761" s="59"/>
      <c r="C761" s="59"/>
      <c r="D761" s="59" t="s">
        <v>733</v>
      </c>
      <c r="H761" s="12"/>
      <c r="I761" s="5"/>
      <c r="J761" s="17"/>
      <c r="K761" s="11"/>
      <c r="L761" s="12"/>
      <c r="M761" s="12"/>
      <c r="N761" s="12"/>
      <c r="O761" s="227" t="s">
        <v>733</v>
      </c>
    </row>
    <row r="762" ht="18.75" customHeight="1">
      <c r="B762" s="59"/>
      <c r="C762" s="59"/>
      <c r="D762" s="59" t="s">
        <v>733</v>
      </c>
      <c r="H762" s="12"/>
      <c r="I762" s="5"/>
      <c r="J762" s="17"/>
      <c r="K762" s="11"/>
      <c r="L762" s="12"/>
      <c r="M762" s="12"/>
      <c r="N762" s="12"/>
      <c r="O762" s="227" t="s">
        <v>733</v>
      </c>
    </row>
    <row r="763" ht="18.75" customHeight="1">
      <c r="B763" s="59"/>
      <c r="C763" s="59"/>
      <c r="D763" s="59" t="s">
        <v>733</v>
      </c>
      <c r="H763" s="12"/>
      <c r="I763" s="5"/>
      <c r="J763" s="17"/>
      <c r="K763" s="11"/>
      <c r="L763" s="12"/>
      <c r="M763" s="12"/>
      <c r="N763" s="12"/>
      <c r="O763" s="227" t="s">
        <v>733</v>
      </c>
    </row>
    <row r="764" ht="18.75" customHeight="1">
      <c r="B764" s="59"/>
      <c r="C764" s="59"/>
      <c r="D764" s="59" t="s">
        <v>733</v>
      </c>
      <c r="H764" s="12"/>
      <c r="I764" s="5"/>
      <c r="J764" s="17"/>
      <c r="K764" s="11"/>
      <c r="L764" s="12"/>
      <c r="M764" s="12"/>
      <c r="N764" s="12"/>
      <c r="O764" s="227" t="s">
        <v>733</v>
      </c>
    </row>
    <row r="765" ht="18.75" customHeight="1">
      <c r="B765" s="59"/>
      <c r="C765" s="59"/>
      <c r="D765" s="59" t="s">
        <v>733</v>
      </c>
      <c r="H765" s="12"/>
      <c r="I765" s="5"/>
      <c r="J765" s="17"/>
      <c r="K765" s="11"/>
      <c r="L765" s="12"/>
      <c r="M765" s="12"/>
      <c r="N765" s="12"/>
      <c r="O765" s="227" t="s">
        <v>733</v>
      </c>
    </row>
    <row r="766" ht="18.75" customHeight="1">
      <c r="B766" s="59"/>
      <c r="C766" s="59"/>
      <c r="D766" s="59" t="s">
        <v>733</v>
      </c>
      <c r="H766" s="12"/>
      <c r="I766" s="5"/>
      <c r="J766" s="17"/>
      <c r="K766" s="11"/>
      <c r="L766" s="12"/>
      <c r="M766" s="12"/>
      <c r="N766" s="12"/>
      <c r="O766" s="227" t="s">
        <v>733</v>
      </c>
    </row>
    <row r="767" ht="18.75" customHeight="1">
      <c r="B767" s="59"/>
      <c r="C767" s="59"/>
      <c r="D767" s="59" t="s">
        <v>733</v>
      </c>
      <c r="H767" s="12"/>
      <c r="I767" s="5"/>
      <c r="J767" s="17"/>
      <c r="K767" s="11"/>
      <c r="L767" s="12"/>
      <c r="M767" s="12"/>
      <c r="N767" s="12"/>
      <c r="O767" s="227" t="s">
        <v>733</v>
      </c>
    </row>
    <row r="768" ht="18.75" customHeight="1">
      <c r="B768" s="59"/>
      <c r="C768" s="59"/>
      <c r="D768" s="59" t="s">
        <v>733</v>
      </c>
      <c r="H768" s="12"/>
      <c r="I768" s="5"/>
      <c r="J768" s="17"/>
      <c r="K768" s="11"/>
      <c r="L768" s="12"/>
      <c r="M768" s="12"/>
      <c r="N768" s="12"/>
      <c r="O768" s="227" t="s">
        <v>733</v>
      </c>
    </row>
    <row r="769" ht="18.75" customHeight="1">
      <c r="B769" s="59"/>
      <c r="C769" s="59"/>
      <c r="D769" s="59" t="s">
        <v>733</v>
      </c>
      <c r="H769" s="12"/>
      <c r="I769" s="5"/>
      <c r="J769" s="17"/>
      <c r="K769" s="11"/>
      <c r="L769" s="12"/>
      <c r="M769" s="12"/>
      <c r="N769" s="12"/>
      <c r="O769" s="227" t="s">
        <v>733</v>
      </c>
    </row>
    <row r="770" ht="18.75" customHeight="1">
      <c r="B770" s="59"/>
      <c r="C770" s="59"/>
      <c r="D770" s="59" t="s">
        <v>733</v>
      </c>
      <c r="H770" s="12"/>
      <c r="I770" s="5"/>
      <c r="J770" s="17"/>
      <c r="K770" s="11"/>
      <c r="L770" s="12"/>
      <c r="M770" s="12"/>
      <c r="N770" s="12"/>
      <c r="O770" s="227" t="s">
        <v>733</v>
      </c>
    </row>
    <row r="771" ht="18.75" customHeight="1">
      <c r="B771" s="59"/>
      <c r="C771" s="59"/>
      <c r="D771" s="59" t="s">
        <v>733</v>
      </c>
      <c r="H771" s="12"/>
      <c r="I771" s="5"/>
      <c r="J771" s="17"/>
      <c r="K771" s="11"/>
      <c r="L771" s="12"/>
      <c r="M771" s="12"/>
      <c r="N771" s="12"/>
      <c r="O771" s="227" t="s">
        <v>733</v>
      </c>
    </row>
    <row r="772" ht="18.75" customHeight="1">
      <c r="B772" s="59"/>
      <c r="C772" s="59"/>
      <c r="D772" s="59" t="s">
        <v>733</v>
      </c>
      <c r="H772" s="12"/>
      <c r="I772" s="5"/>
      <c r="J772" s="17"/>
      <c r="K772" s="11"/>
      <c r="L772" s="12"/>
      <c r="M772" s="12"/>
      <c r="N772" s="12"/>
      <c r="O772" s="227" t="s">
        <v>733</v>
      </c>
    </row>
    <row r="773" ht="18.75" customHeight="1">
      <c r="B773" s="59"/>
      <c r="C773" s="59"/>
      <c r="D773" s="59" t="s">
        <v>733</v>
      </c>
      <c r="H773" s="12"/>
      <c r="I773" s="5"/>
      <c r="J773" s="17"/>
      <c r="K773" s="11"/>
      <c r="L773" s="12"/>
      <c r="M773" s="12"/>
      <c r="N773" s="12"/>
      <c r="O773" s="227" t="s">
        <v>733</v>
      </c>
    </row>
    <row r="774" ht="18.75" customHeight="1">
      <c r="B774" s="59"/>
      <c r="C774" s="59"/>
      <c r="D774" s="59" t="s">
        <v>733</v>
      </c>
      <c r="H774" s="12"/>
      <c r="I774" s="5"/>
      <c r="J774" s="17"/>
      <c r="K774" s="11"/>
      <c r="L774" s="12"/>
      <c r="M774" s="12"/>
      <c r="N774" s="12"/>
      <c r="O774" s="227" t="s">
        <v>733</v>
      </c>
    </row>
    <row r="775" ht="18.75" customHeight="1">
      <c r="B775" s="59"/>
      <c r="C775" s="59"/>
      <c r="D775" s="59" t="s">
        <v>733</v>
      </c>
      <c r="H775" s="12"/>
      <c r="I775" s="5"/>
      <c r="J775" s="17"/>
      <c r="K775" s="11"/>
      <c r="L775" s="12"/>
      <c r="M775" s="12"/>
      <c r="N775" s="12"/>
      <c r="O775" s="227" t="s">
        <v>733</v>
      </c>
    </row>
    <row r="776" ht="18.75" customHeight="1">
      <c r="B776" s="59"/>
      <c r="C776" s="59"/>
      <c r="D776" s="59" t="s">
        <v>733</v>
      </c>
      <c r="H776" s="12"/>
      <c r="I776" s="5"/>
      <c r="J776" s="17"/>
      <c r="K776" s="11"/>
      <c r="L776" s="12"/>
      <c r="M776" s="12"/>
      <c r="N776" s="12"/>
      <c r="O776" s="227" t="s">
        <v>733</v>
      </c>
    </row>
    <row r="777" ht="18.75" customHeight="1">
      <c r="B777" s="59"/>
      <c r="C777" s="59"/>
      <c r="D777" s="59" t="s">
        <v>733</v>
      </c>
      <c r="H777" s="12"/>
      <c r="I777" s="5"/>
      <c r="J777" s="17"/>
      <c r="K777" s="11"/>
      <c r="L777" s="12"/>
      <c r="M777" s="12"/>
      <c r="N777" s="12"/>
      <c r="O777" s="227" t="s">
        <v>733</v>
      </c>
    </row>
    <row r="778" ht="18.75" customHeight="1">
      <c r="B778" s="59"/>
      <c r="C778" s="59"/>
      <c r="D778" s="59" t="s">
        <v>733</v>
      </c>
      <c r="H778" s="12"/>
      <c r="I778" s="5"/>
      <c r="J778" s="17"/>
      <c r="K778" s="11"/>
      <c r="L778" s="12"/>
      <c r="M778" s="12"/>
      <c r="N778" s="12"/>
      <c r="O778" s="227" t="s">
        <v>733</v>
      </c>
    </row>
    <row r="779" ht="18.75" customHeight="1">
      <c r="B779" s="59"/>
      <c r="C779" s="59"/>
      <c r="D779" s="59" t="s">
        <v>733</v>
      </c>
      <c r="H779" s="12"/>
      <c r="I779" s="5"/>
      <c r="J779" s="17"/>
      <c r="K779" s="11"/>
      <c r="L779" s="12"/>
      <c r="M779" s="12"/>
      <c r="N779" s="12"/>
      <c r="O779" s="227" t="s">
        <v>733</v>
      </c>
    </row>
    <row r="780" ht="18.75" customHeight="1">
      <c r="B780" s="59"/>
      <c r="C780" s="59"/>
      <c r="D780" s="59" t="s">
        <v>733</v>
      </c>
      <c r="H780" s="12"/>
      <c r="I780" s="5"/>
      <c r="J780" s="17"/>
      <c r="K780" s="11"/>
      <c r="L780" s="12"/>
      <c r="M780" s="12"/>
      <c r="N780" s="12"/>
      <c r="O780" s="227" t="s">
        <v>733</v>
      </c>
    </row>
    <row r="781" ht="18.75" customHeight="1">
      <c r="B781" s="59"/>
      <c r="C781" s="59"/>
      <c r="D781" s="59" t="s">
        <v>733</v>
      </c>
      <c r="H781" s="12"/>
      <c r="I781" s="5"/>
      <c r="J781" s="17"/>
      <c r="K781" s="11"/>
      <c r="L781" s="12"/>
      <c r="M781" s="12"/>
      <c r="N781" s="12"/>
      <c r="O781" s="227" t="s">
        <v>733</v>
      </c>
    </row>
    <row r="782" ht="18.75" customHeight="1">
      <c r="B782" s="59"/>
      <c r="C782" s="59"/>
      <c r="D782" s="59" t="s">
        <v>733</v>
      </c>
      <c r="H782" s="12"/>
      <c r="I782" s="5"/>
      <c r="J782" s="17"/>
      <c r="K782" s="11"/>
      <c r="L782" s="12"/>
      <c r="M782" s="12"/>
      <c r="N782" s="12"/>
      <c r="O782" s="227" t="s">
        <v>733</v>
      </c>
    </row>
    <row r="783" ht="18.75" customHeight="1">
      <c r="B783" s="59"/>
      <c r="C783" s="59"/>
      <c r="D783" s="59" t="s">
        <v>733</v>
      </c>
      <c r="H783" s="12"/>
      <c r="I783" s="5"/>
      <c r="J783" s="17"/>
      <c r="K783" s="11"/>
      <c r="L783" s="12"/>
      <c r="M783" s="12"/>
      <c r="N783" s="12"/>
      <c r="O783" s="227" t="s">
        <v>733</v>
      </c>
    </row>
    <row r="784" ht="18.75" customHeight="1">
      <c r="B784" s="59"/>
      <c r="C784" s="59"/>
      <c r="D784" s="59" t="s">
        <v>733</v>
      </c>
      <c r="H784" s="12"/>
      <c r="I784" s="5"/>
      <c r="J784" s="17"/>
      <c r="K784" s="11"/>
      <c r="L784" s="12"/>
      <c r="M784" s="12"/>
      <c r="N784" s="12"/>
      <c r="O784" s="227" t="s">
        <v>733</v>
      </c>
    </row>
    <row r="785" ht="18.75" customHeight="1">
      <c r="B785" s="59"/>
      <c r="C785" s="59"/>
      <c r="D785" s="59" t="s">
        <v>733</v>
      </c>
      <c r="H785" s="12"/>
      <c r="I785" s="5"/>
      <c r="J785" s="17"/>
      <c r="K785" s="11"/>
      <c r="L785" s="12"/>
      <c r="M785" s="12"/>
      <c r="N785" s="12"/>
      <c r="O785" s="227" t="s">
        <v>733</v>
      </c>
    </row>
    <row r="786" ht="18.75" customHeight="1">
      <c r="B786" s="59"/>
      <c r="C786" s="59"/>
      <c r="D786" s="59" t="s">
        <v>733</v>
      </c>
      <c r="H786" s="12"/>
      <c r="I786" s="5"/>
      <c r="J786" s="17"/>
      <c r="K786" s="11"/>
      <c r="L786" s="12"/>
      <c r="M786" s="12"/>
      <c r="N786" s="12"/>
      <c r="O786" s="227" t="s">
        <v>733</v>
      </c>
    </row>
    <row r="787" ht="18.75" customHeight="1">
      <c r="B787" s="59"/>
      <c r="C787" s="59"/>
      <c r="D787" s="59" t="s">
        <v>733</v>
      </c>
      <c r="H787" s="12"/>
      <c r="I787" s="5"/>
      <c r="J787" s="17"/>
      <c r="K787" s="11"/>
      <c r="L787" s="12"/>
      <c r="M787" s="12"/>
      <c r="N787" s="12"/>
      <c r="O787" s="227" t="s">
        <v>733</v>
      </c>
    </row>
    <row r="788" ht="18.75" customHeight="1">
      <c r="B788" s="59"/>
      <c r="C788" s="59"/>
      <c r="D788" s="59" t="s">
        <v>733</v>
      </c>
      <c r="H788" s="12"/>
      <c r="I788" s="5"/>
      <c r="J788" s="17"/>
      <c r="K788" s="11"/>
      <c r="L788" s="12"/>
      <c r="M788" s="12"/>
      <c r="N788" s="12"/>
      <c r="O788" s="227" t="s">
        <v>733</v>
      </c>
    </row>
    <row r="789" ht="18.75" customHeight="1">
      <c r="B789" s="59"/>
      <c r="C789" s="59"/>
      <c r="D789" s="59" t="s">
        <v>733</v>
      </c>
      <c r="H789" s="12"/>
      <c r="I789" s="5"/>
      <c r="J789" s="17"/>
      <c r="K789" s="11"/>
      <c r="L789" s="12"/>
      <c r="M789" s="12"/>
      <c r="N789" s="12"/>
      <c r="O789" s="227" t="s">
        <v>733</v>
      </c>
    </row>
    <row r="790" ht="18.75" customHeight="1">
      <c r="B790" s="59"/>
      <c r="C790" s="59"/>
      <c r="D790" s="59" t="s">
        <v>733</v>
      </c>
      <c r="H790" s="12"/>
      <c r="I790" s="5"/>
      <c r="J790" s="17"/>
      <c r="K790" s="11"/>
      <c r="L790" s="12"/>
      <c r="M790" s="12"/>
      <c r="N790" s="12"/>
      <c r="O790" s="227" t="s">
        <v>733</v>
      </c>
    </row>
    <row r="791" ht="18.75" customHeight="1">
      <c r="B791" s="59"/>
      <c r="C791" s="59"/>
      <c r="D791" s="59" t="s">
        <v>733</v>
      </c>
      <c r="H791" s="12"/>
      <c r="I791" s="5"/>
      <c r="J791" s="17"/>
      <c r="K791" s="11"/>
      <c r="L791" s="12"/>
      <c r="M791" s="12"/>
      <c r="N791" s="12"/>
      <c r="O791" s="227" t="s">
        <v>733</v>
      </c>
    </row>
    <row r="792" ht="18.75" customHeight="1">
      <c r="B792" s="59"/>
      <c r="C792" s="59"/>
      <c r="D792" s="59" t="s">
        <v>733</v>
      </c>
      <c r="H792" s="12"/>
      <c r="I792" s="5"/>
      <c r="J792" s="17"/>
      <c r="K792" s="11"/>
      <c r="L792" s="12"/>
      <c r="M792" s="12"/>
      <c r="N792" s="12"/>
      <c r="O792" s="227" t="s">
        <v>733</v>
      </c>
    </row>
    <row r="793" ht="18.75" customHeight="1">
      <c r="B793" s="59"/>
      <c r="C793" s="59"/>
      <c r="D793" s="59" t="s">
        <v>733</v>
      </c>
      <c r="H793" s="12"/>
      <c r="I793" s="5"/>
      <c r="J793" s="17"/>
      <c r="K793" s="11"/>
      <c r="L793" s="12"/>
      <c r="M793" s="12"/>
      <c r="N793" s="12"/>
      <c r="O793" s="227" t="s">
        <v>733</v>
      </c>
    </row>
    <row r="794" ht="18.75" customHeight="1">
      <c r="B794" s="59"/>
      <c r="C794" s="59"/>
      <c r="D794" s="59" t="s">
        <v>733</v>
      </c>
      <c r="H794" s="12"/>
      <c r="I794" s="5"/>
      <c r="J794" s="17"/>
      <c r="K794" s="11"/>
      <c r="L794" s="12"/>
      <c r="M794" s="12"/>
      <c r="N794" s="12"/>
      <c r="O794" s="227" t="s">
        <v>733</v>
      </c>
    </row>
    <row r="795" ht="18.75" customHeight="1">
      <c r="B795" s="59"/>
      <c r="C795" s="59"/>
      <c r="D795" s="59" t="s">
        <v>733</v>
      </c>
      <c r="H795" s="12"/>
      <c r="I795" s="5"/>
      <c r="J795" s="17"/>
      <c r="K795" s="11"/>
      <c r="L795" s="12"/>
      <c r="M795" s="12"/>
      <c r="N795" s="12"/>
      <c r="O795" s="227" t="s">
        <v>733</v>
      </c>
    </row>
    <row r="796" ht="18.75" customHeight="1">
      <c r="B796" s="59"/>
      <c r="C796" s="59"/>
      <c r="D796" s="59" t="s">
        <v>733</v>
      </c>
      <c r="H796" s="12"/>
      <c r="I796" s="5"/>
      <c r="J796" s="17"/>
      <c r="K796" s="11"/>
      <c r="L796" s="12"/>
      <c r="M796" s="12"/>
      <c r="N796" s="12"/>
      <c r="O796" s="227" t="s">
        <v>733</v>
      </c>
    </row>
    <row r="797" ht="18.75" customHeight="1">
      <c r="B797" s="59"/>
      <c r="C797" s="59"/>
      <c r="D797" s="59" t="s">
        <v>733</v>
      </c>
      <c r="H797" s="12"/>
      <c r="I797" s="5"/>
      <c r="J797" s="17"/>
      <c r="K797" s="11"/>
      <c r="L797" s="12"/>
      <c r="M797" s="12"/>
      <c r="N797" s="12"/>
      <c r="O797" s="227" t="s">
        <v>733</v>
      </c>
    </row>
    <row r="798" ht="18.75" customHeight="1">
      <c r="B798" s="59"/>
      <c r="C798" s="59"/>
      <c r="D798" s="59" t="s">
        <v>733</v>
      </c>
      <c r="H798" s="12"/>
      <c r="I798" s="5"/>
      <c r="J798" s="17"/>
      <c r="K798" s="11"/>
      <c r="L798" s="12"/>
      <c r="M798" s="12"/>
      <c r="N798" s="12"/>
      <c r="O798" s="227" t="s">
        <v>733</v>
      </c>
    </row>
    <row r="799" ht="18.75" customHeight="1">
      <c r="B799" s="59"/>
      <c r="C799" s="59"/>
      <c r="D799" s="59" t="s">
        <v>733</v>
      </c>
      <c r="H799" s="12"/>
      <c r="I799" s="5"/>
      <c r="J799" s="17"/>
      <c r="K799" s="11"/>
      <c r="L799" s="12"/>
      <c r="M799" s="12"/>
      <c r="N799" s="12"/>
      <c r="O799" s="227" t="s">
        <v>733</v>
      </c>
    </row>
    <row r="800" ht="18.75" customHeight="1">
      <c r="B800" s="59"/>
      <c r="C800" s="59"/>
      <c r="D800" s="59" t="s">
        <v>733</v>
      </c>
      <c r="H800" s="12"/>
      <c r="I800" s="5"/>
      <c r="J800" s="17"/>
      <c r="K800" s="11"/>
      <c r="L800" s="12"/>
      <c r="M800" s="12"/>
      <c r="N800" s="12"/>
      <c r="O800" s="227" t="s">
        <v>733</v>
      </c>
    </row>
    <row r="801" ht="18.75" customHeight="1">
      <c r="B801" s="59"/>
      <c r="C801" s="59"/>
      <c r="D801" s="59" t="s">
        <v>733</v>
      </c>
      <c r="H801" s="12"/>
      <c r="I801" s="5"/>
      <c r="J801" s="17"/>
      <c r="K801" s="11"/>
      <c r="L801" s="12"/>
      <c r="M801" s="12"/>
      <c r="N801" s="12"/>
      <c r="O801" s="227" t="s">
        <v>733</v>
      </c>
    </row>
    <row r="802" ht="18.75" customHeight="1">
      <c r="B802" s="59"/>
      <c r="C802" s="59"/>
      <c r="D802" s="59" t="s">
        <v>733</v>
      </c>
      <c r="H802" s="12"/>
      <c r="I802" s="5"/>
      <c r="J802" s="17"/>
      <c r="K802" s="11"/>
      <c r="L802" s="12"/>
      <c r="M802" s="12"/>
      <c r="N802" s="12"/>
      <c r="O802" s="227" t="s">
        <v>733</v>
      </c>
    </row>
    <row r="803" ht="18.75" customHeight="1">
      <c r="B803" s="59"/>
      <c r="C803" s="59"/>
      <c r="D803" s="59" t="s">
        <v>733</v>
      </c>
      <c r="H803" s="12"/>
      <c r="I803" s="5"/>
      <c r="J803" s="17"/>
      <c r="K803" s="11"/>
      <c r="L803" s="12"/>
      <c r="M803" s="12"/>
      <c r="N803" s="12"/>
      <c r="O803" s="227" t="s">
        <v>733</v>
      </c>
    </row>
    <row r="804" ht="18.75" customHeight="1">
      <c r="B804" s="59"/>
      <c r="C804" s="59"/>
      <c r="D804" s="59" t="s">
        <v>733</v>
      </c>
      <c r="H804" s="12"/>
      <c r="I804" s="5"/>
      <c r="J804" s="17"/>
      <c r="K804" s="11"/>
      <c r="L804" s="12"/>
      <c r="M804" s="12"/>
      <c r="N804" s="12"/>
      <c r="O804" s="227" t="s">
        <v>733</v>
      </c>
    </row>
    <row r="805" ht="18.75" customHeight="1">
      <c r="B805" s="59"/>
      <c r="C805" s="59"/>
      <c r="D805" s="59" t="s">
        <v>733</v>
      </c>
      <c r="H805" s="12"/>
      <c r="I805" s="5"/>
      <c r="J805" s="17"/>
      <c r="K805" s="11"/>
      <c r="L805" s="12"/>
      <c r="M805" s="12"/>
      <c r="N805" s="12"/>
      <c r="O805" s="227" t="s">
        <v>733</v>
      </c>
    </row>
    <row r="806" ht="18.75" customHeight="1">
      <c r="B806" s="59"/>
      <c r="C806" s="59"/>
      <c r="D806" s="59" t="s">
        <v>733</v>
      </c>
      <c r="H806" s="12"/>
      <c r="I806" s="5"/>
      <c r="J806" s="17"/>
      <c r="K806" s="11"/>
      <c r="L806" s="12"/>
      <c r="M806" s="12"/>
      <c r="N806" s="12"/>
      <c r="O806" s="227" t="s">
        <v>733</v>
      </c>
    </row>
    <row r="807" ht="18.75" customHeight="1">
      <c r="B807" s="59"/>
      <c r="C807" s="59"/>
      <c r="D807" s="59" t="s">
        <v>733</v>
      </c>
      <c r="H807" s="12"/>
      <c r="I807" s="5"/>
      <c r="J807" s="17"/>
      <c r="K807" s="11"/>
      <c r="L807" s="12"/>
      <c r="M807" s="12"/>
      <c r="N807" s="12"/>
      <c r="O807" s="227" t="s">
        <v>733</v>
      </c>
    </row>
    <row r="808" ht="18.75" customHeight="1">
      <c r="B808" s="59"/>
      <c r="C808" s="59"/>
      <c r="D808" s="59" t="s">
        <v>733</v>
      </c>
      <c r="H808" s="12"/>
      <c r="I808" s="5"/>
      <c r="J808" s="17"/>
      <c r="K808" s="11"/>
      <c r="L808" s="12"/>
      <c r="M808" s="12"/>
      <c r="N808" s="12"/>
      <c r="O808" s="227" t="s">
        <v>733</v>
      </c>
    </row>
    <row r="809" ht="18.75" customHeight="1">
      <c r="B809" s="59"/>
      <c r="C809" s="59"/>
      <c r="D809" s="59" t="s">
        <v>733</v>
      </c>
      <c r="H809" s="12"/>
      <c r="I809" s="5"/>
      <c r="J809" s="17"/>
      <c r="K809" s="11"/>
      <c r="L809" s="12"/>
      <c r="M809" s="12"/>
      <c r="N809" s="12"/>
      <c r="O809" s="227" t="s">
        <v>733</v>
      </c>
    </row>
    <row r="810" ht="18.75" customHeight="1">
      <c r="B810" s="59"/>
      <c r="C810" s="59"/>
      <c r="D810" s="59" t="s">
        <v>733</v>
      </c>
      <c r="H810" s="12"/>
      <c r="I810" s="5"/>
      <c r="J810" s="17"/>
      <c r="K810" s="11"/>
      <c r="L810" s="12"/>
      <c r="M810" s="12"/>
      <c r="N810" s="12"/>
      <c r="O810" s="227" t="s">
        <v>733</v>
      </c>
    </row>
    <row r="811" ht="18.75" customHeight="1">
      <c r="B811" s="59"/>
      <c r="C811" s="59"/>
      <c r="D811" s="59" t="s">
        <v>733</v>
      </c>
      <c r="H811" s="12"/>
      <c r="I811" s="5"/>
      <c r="J811" s="17"/>
      <c r="K811" s="11"/>
      <c r="L811" s="12"/>
      <c r="M811" s="12"/>
      <c r="N811" s="12"/>
      <c r="O811" s="227" t="s">
        <v>733</v>
      </c>
    </row>
    <row r="812" ht="18.75" customHeight="1">
      <c r="B812" s="59"/>
      <c r="C812" s="59"/>
      <c r="D812" s="59" t="s">
        <v>733</v>
      </c>
      <c r="H812" s="12"/>
      <c r="I812" s="5"/>
      <c r="J812" s="17"/>
      <c r="K812" s="11"/>
      <c r="L812" s="12"/>
      <c r="M812" s="12"/>
      <c r="N812" s="12"/>
      <c r="O812" s="227" t="s">
        <v>733</v>
      </c>
    </row>
    <row r="813" ht="18.75" customHeight="1">
      <c r="B813" s="59"/>
      <c r="C813" s="59"/>
      <c r="D813" s="59" t="s">
        <v>733</v>
      </c>
      <c r="H813" s="12"/>
      <c r="I813" s="5"/>
      <c r="J813" s="17"/>
      <c r="K813" s="11"/>
      <c r="L813" s="12"/>
      <c r="M813" s="12"/>
      <c r="N813" s="12"/>
      <c r="O813" s="227" t="s">
        <v>733</v>
      </c>
    </row>
    <row r="814" ht="18.75" customHeight="1">
      <c r="B814" s="59"/>
      <c r="C814" s="59"/>
      <c r="D814" s="59" t="s">
        <v>733</v>
      </c>
      <c r="H814" s="12"/>
      <c r="I814" s="5"/>
      <c r="J814" s="17"/>
      <c r="K814" s="11"/>
      <c r="L814" s="12"/>
      <c r="M814" s="12"/>
      <c r="N814" s="12"/>
      <c r="O814" s="227" t="s">
        <v>733</v>
      </c>
    </row>
    <row r="815" ht="18.75" customHeight="1">
      <c r="B815" s="59"/>
      <c r="C815" s="59"/>
      <c r="D815" s="59" t="s">
        <v>733</v>
      </c>
      <c r="H815" s="12"/>
      <c r="I815" s="5"/>
      <c r="J815" s="17"/>
      <c r="K815" s="11"/>
      <c r="L815" s="12"/>
      <c r="M815" s="12"/>
      <c r="N815" s="12"/>
      <c r="O815" s="227" t="s">
        <v>733</v>
      </c>
    </row>
    <row r="816" ht="18.75" customHeight="1">
      <c r="B816" s="59"/>
      <c r="C816" s="59"/>
      <c r="D816" s="59" t="s">
        <v>733</v>
      </c>
      <c r="H816" s="12"/>
      <c r="I816" s="5"/>
      <c r="J816" s="17"/>
      <c r="K816" s="11"/>
      <c r="L816" s="12"/>
      <c r="M816" s="12"/>
      <c r="N816" s="12"/>
      <c r="O816" s="227" t="s">
        <v>733</v>
      </c>
    </row>
    <row r="817" ht="18.75" customHeight="1">
      <c r="B817" s="59"/>
      <c r="C817" s="59"/>
      <c r="D817" s="59" t="s">
        <v>733</v>
      </c>
      <c r="H817" s="12"/>
      <c r="I817" s="5"/>
      <c r="J817" s="17"/>
      <c r="K817" s="11"/>
      <c r="L817" s="12"/>
      <c r="M817" s="12"/>
      <c r="N817" s="12"/>
      <c r="O817" s="227" t="s">
        <v>733</v>
      </c>
    </row>
    <row r="818" ht="18.75" customHeight="1">
      <c r="B818" s="59"/>
      <c r="C818" s="59"/>
      <c r="D818" s="59" t="s">
        <v>733</v>
      </c>
      <c r="H818" s="12"/>
      <c r="I818" s="5"/>
      <c r="J818" s="17"/>
      <c r="K818" s="11"/>
      <c r="L818" s="12"/>
      <c r="M818" s="12"/>
      <c r="N818" s="12"/>
      <c r="O818" s="227" t="s">
        <v>733</v>
      </c>
    </row>
    <row r="819" ht="18.75" customHeight="1">
      <c r="B819" s="59"/>
      <c r="C819" s="59"/>
      <c r="D819" s="59" t="s">
        <v>733</v>
      </c>
      <c r="H819" s="12"/>
      <c r="I819" s="5"/>
      <c r="J819" s="17"/>
      <c r="K819" s="11"/>
      <c r="L819" s="12"/>
      <c r="M819" s="12"/>
      <c r="N819" s="12"/>
      <c r="O819" s="227" t="s">
        <v>733</v>
      </c>
    </row>
    <row r="820" ht="18.75" customHeight="1">
      <c r="B820" s="59"/>
      <c r="C820" s="59"/>
      <c r="D820" s="59" t="s">
        <v>733</v>
      </c>
      <c r="H820" s="12"/>
      <c r="I820" s="5"/>
      <c r="J820" s="17"/>
      <c r="K820" s="11"/>
      <c r="L820" s="12"/>
      <c r="M820" s="12"/>
      <c r="N820" s="12"/>
      <c r="O820" s="227" t="s">
        <v>733</v>
      </c>
    </row>
    <row r="821" ht="18.75" customHeight="1">
      <c r="B821" s="59"/>
      <c r="C821" s="59"/>
      <c r="D821" s="59" t="s">
        <v>733</v>
      </c>
      <c r="H821" s="12"/>
      <c r="I821" s="5"/>
      <c r="J821" s="17"/>
      <c r="K821" s="11"/>
      <c r="L821" s="12"/>
      <c r="M821" s="12"/>
      <c r="N821" s="12"/>
      <c r="O821" s="227" t="s">
        <v>733</v>
      </c>
    </row>
    <row r="822" ht="18.75" customHeight="1">
      <c r="B822" s="59"/>
      <c r="C822" s="59"/>
      <c r="D822" s="59" t="s">
        <v>733</v>
      </c>
      <c r="H822" s="12"/>
      <c r="I822" s="5"/>
      <c r="J822" s="17"/>
      <c r="K822" s="11"/>
      <c r="L822" s="12"/>
      <c r="M822" s="12"/>
      <c r="N822" s="12"/>
      <c r="O822" s="227" t="s">
        <v>733</v>
      </c>
    </row>
    <row r="823" ht="18.75" customHeight="1">
      <c r="B823" s="59"/>
      <c r="C823" s="59"/>
      <c r="D823" s="59" t="s">
        <v>733</v>
      </c>
      <c r="H823" s="12"/>
      <c r="I823" s="5"/>
      <c r="J823" s="17"/>
      <c r="K823" s="11"/>
      <c r="L823" s="12"/>
      <c r="M823" s="12"/>
      <c r="N823" s="12"/>
      <c r="O823" s="227" t="s">
        <v>733</v>
      </c>
    </row>
    <row r="824" ht="18.75" customHeight="1">
      <c r="B824" s="59"/>
      <c r="C824" s="59"/>
      <c r="D824" s="59" t="s">
        <v>733</v>
      </c>
      <c r="H824" s="12"/>
      <c r="I824" s="5"/>
      <c r="J824" s="17"/>
      <c r="K824" s="11"/>
      <c r="L824" s="12"/>
      <c r="M824" s="12"/>
      <c r="N824" s="12"/>
      <c r="O824" s="227" t="s">
        <v>733</v>
      </c>
    </row>
    <row r="825" ht="18.75" customHeight="1">
      <c r="B825" s="59"/>
      <c r="C825" s="59"/>
      <c r="D825" s="59" t="s">
        <v>733</v>
      </c>
      <c r="H825" s="12"/>
      <c r="I825" s="5"/>
      <c r="J825" s="17"/>
      <c r="K825" s="11"/>
      <c r="L825" s="12"/>
      <c r="M825" s="12"/>
      <c r="N825" s="12"/>
      <c r="O825" s="227" t="s">
        <v>733</v>
      </c>
    </row>
    <row r="826" ht="18.75" customHeight="1">
      <c r="B826" s="59"/>
      <c r="C826" s="59"/>
      <c r="D826" s="59" t="s">
        <v>733</v>
      </c>
      <c r="H826" s="12"/>
      <c r="I826" s="5"/>
      <c r="J826" s="17"/>
      <c r="K826" s="11"/>
      <c r="L826" s="12"/>
      <c r="M826" s="12"/>
      <c r="N826" s="12"/>
      <c r="O826" s="227" t="s">
        <v>733</v>
      </c>
    </row>
    <row r="827" ht="18.75" customHeight="1">
      <c r="B827" s="59"/>
      <c r="C827" s="59"/>
      <c r="D827" s="59" t="s">
        <v>733</v>
      </c>
      <c r="H827" s="12"/>
      <c r="I827" s="5"/>
      <c r="J827" s="17"/>
      <c r="K827" s="11"/>
      <c r="L827" s="12"/>
      <c r="M827" s="12"/>
      <c r="N827" s="12"/>
      <c r="O827" s="227" t="s">
        <v>733</v>
      </c>
    </row>
    <row r="828" ht="18.75" customHeight="1">
      <c r="B828" s="59"/>
      <c r="C828" s="59"/>
      <c r="D828" s="59" t="s">
        <v>733</v>
      </c>
      <c r="H828" s="12"/>
      <c r="I828" s="5"/>
      <c r="J828" s="17"/>
      <c r="K828" s="11"/>
      <c r="L828" s="12"/>
      <c r="M828" s="12"/>
      <c r="N828" s="12"/>
      <c r="O828" s="227" t="s">
        <v>733</v>
      </c>
    </row>
    <row r="829" ht="18.75" customHeight="1">
      <c r="B829" s="59"/>
      <c r="C829" s="59"/>
      <c r="D829" s="59" t="s">
        <v>733</v>
      </c>
      <c r="H829" s="12"/>
      <c r="I829" s="5"/>
      <c r="J829" s="17"/>
      <c r="K829" s="11"/>
      <c r="L829" s="12"/>
      <c r="M829" s="12"/>
      <c r="N829" s="12"/>
      <c r="O829" s="227" t="s">
        <v>733</v>
      </c>
    </row>
    <row r="830" ht="18.75" customHeight="1">
      <c r="B830" s="59"/>
      <c r="C830" s="59"/>
      <c r="D830" s="59" t="s">
        <v>733</v>
      </c>
      <c r="H830" s="12"/>
      <c r="I830" s="5"/>
      <c r="J830" s="17"/>
      <c r="K830" s="11"/>
      <c r="L830" s="12"/>
      <c r="M830" s="12"/>
      <c r="N830" s="12"/>
      <c r="O830" s="227" t="s">
        <v>733</v>
      </c>
    </row>
    <row r="831" ht="18.75" customHeight="1">
      <c r="B831" s="59"/>
      <c r="C831" s="59"/>
      <c r="D831" s="59" t="s">
        <v>733</v>
      </c>
      <c r="H831" s="12"/>
      <c r="I831" s="5"/>
      <c r="J831" s="17"/>
      <c r="K831" s="11"/>
      <c r="L831" s="12"/>
      <c r="M831" s="12"/>
      <c r="N831" s="12"/>
      <c r="O831" s="227" t="s">
        <v>733</v>
      </c>
    </row>
    <row r="832" ht="18.75" customHeight="1">
      <c r="B832" s="59"/>
      <c r="C832" s="59"/>
      <c r="D832" s="59" t="s">
        <v>733</v>
      </c>
      <c r="H832" s="12"/>
      <c r="I832" s="5"/>
      <c r="J832" s="17"/>
      <c r="K832" s="11"/>
      <c r="L832" s="12"/>
      <c r="M832" s="12"/>
      <c r="N832" s="12"/>
      <c r="O832" s="227" t="s">
        <v>733</v>
      </c>
    </row>
    <row r="833" ht="18.75" customHeight="1">
      <c r="B833" s="59"/>
      <c r="C833" s="59"/>
      <c r="D833" s="59" t="s">
        <v>733</v>
      </c>
      <c r="H833" s="12"/>
      <c r="I833" s="5"/>
      <c r="J833" s="17"/>
      <c r="K833" s="11"/>
      <c r="L833" s="12"/>
      <c r="M833" s="12"/>
      <c r="N833" s="12"/>
      <c r="O833" s="227" t="s">
        <v>733</v>
      </c>
    </row>
    <row r="834" ht="18.75" customHeight="1">
      <c r="B834" s="59"/>
      <c r="C834" s="59"/>
      <c r="D834" s="59" t="s">
        <v>733</v>
      </c>
      <c r="H834" s="12"/>
      <c r="I834" s="5"/>
      <c r="J834" s="17"/>
      <c r="K834" s="11"/>
      <c r="L834" s="12"/>
      <c r="M834" s="12"/>
      <c r="N834" s="12"/>
      <c r="O834" s="227" t="s">
        <v>733</v>
      </c>
    </row>
    <row r="835" ht="18.75" customHeight="1">
      <c r="B835" s="59"/>
      <c r="C835" s="59"/>
      <c r="D835" s="59" t="s">
        <v>733</v>
      </c>
      <c r="H835" s="12"/>
      <c r="I835" s="5"/>
      <c r="J835" s="17"/>
      <c r="K835" s="11"/>
      <c r="L835" s="12"/>
      <c r="M835" s="12"/>
      <c r="N835" s="12"/>
      <c r="O835" s="227" t="s">
        <v>733</v>
      </c>
    </row>
    <row r="836" ht="18.75" customHeight="1">
      <c r="B836" s="59"/>
      <c r="C836" s="59"/>
      <c r="D836" s="59" t="s">
        <v>733</v>
      </c>
      <c r="H836" s="12"/>
      <c r="I836" s="5"/>
      <c r="J836" s="17"/>
      <c r="K836" s="11"/>
      <c r="L836" s="12"/>
      <c r="M836" s="12"/>
      <c r="N836" s="12"/>
      <c r="O836" s="227" t="s">
        <v>733</v>
      </c>
    </row>
    <row r="837" ht="18.75" customHeight="1">
      <c r="B837" s="59"/>
      <c r="C837" s="59"/>
      <c r="D837" s="59" t="s">
        <v>733</v>
      </c>
      <c r="H837" s="12"/>
      <c r="I837" s="5"/>
      <c r="J837" s="17"/>
      <c r="K837" s="11"/>
      <c r="L837" s="12"/>
      <c r="M837" s="12"/>
      <c r="N837" s="12"/>
      <c r="O837" s="227" t="s">
        <v>733</v>
      </c>
    </row>
    <row r="838" ht="18.75" customHeight="1">
      <c r="B838" s="59"/>
      <c r="C838" s="59"/>
      <c r="D838" s="59" t="s">
        <v>733</v>
      </c>
      <c r="H838" s="12"/>
      <c r="I838" s="5"/>
      <c r="J838" s="17"/>
      <c r="K838" s="11"/>
      <c r="L838" s="12"/>
      <c r="M838" s="12"/>
      <c r="N838" s="12"/>
      <c r="O838" s="227" t="s">
        <v>733</v>
      </c>
    </row>
    <row r="839" ht="18.75" customHeight="1">
      <c r="B839" s="59"/>
      <c r="C839" s="59"/>
      <c r="D839" s="59" t="s">
        <v>733</v>
      </c>
      <c r="H839" s="12"/>
      <c r="I839" s="5"/>
      <c r="J839" s="17"/>
      <c r="K839" s="11"/>
      <c r="L839" s="12"/>
      <c r="M839" s="12"/>
      <c r="N839" s="12"/>
      <c r="O839" s="227" t="s">
        <v>733</v>
      </c>
    </row>
    <row r="840" ht="18.75" customHeight="1">
      <c r="B840" s="59"/>
      <c r="C840" s="59"/>
      <c r="D840" s="59" t="s">
        <v>733</v>
      </c>
      <c r="H840" s="12"/>
      <c r="I840" s="5"/>
      <c r="J840" s="17"/>
      <c r="K840" s="11"/>
      <c r="L840" s="12"/>
      <c r="M840" s="12"/>
      <c r="N840" s="12"/>
      <c r="O840" s="227" t="s">
        <v>733</v>
      </c>
    </row>
    <row r="841" ht="18.75" customHeight="1">
      <c r="B841" s="59"/>
      <c r="C841" s="59"/>
      <c r="D841" s="59" t="s">
        <v>733</v>
      </c>
      <c r="H841" s="12"/>
      <c r="I841" s="5"/>
      <c r="J841" s="17"/>
      <c r="K841" s="11"/>
      <c r="L841" s="12"/>
      <c r="M841" s="12"/>
      <c r="N841" s="12"/>
      <c r="O841" s="227" t="s">
        <v>733</v>
      </c>
    </row>
    <row r="842" ht="18.75" customHeight="1">
      <c r="B842" s="59"/>
      <c r="C842" s="59"/>
      <c r="D842" s="59" t="s">
        <v>733</v>
      </c>
      <c r="H842" s="12"/>
      <c r="I842" s="5"/>
      <c r="J842" s="17"/>
      <c r="K842" s="11"/>
      <c r="L842" s="12"/>
      <c r="M842" s="12"/>
      <c r="N842" s="12"/>
      <c r="O842" s="227" t="s">
        <v>733</v>
      </c>
    </row>
    <row r="843" ht="18.75" customHeight="1">
      <c r="B843" s="59"/>
      <c r="C843" s="59"/>
      <c r="D843" s="59" t="s">
        <v>733</v>
      </c>
      <c r="H843" s="12"/>
      <c r="I843" s="5"/>
      <c r="J843" s="17"/>
      <c r="K843" s="11"/>
      <c r="L843" s="12"/>
      <c r="M843" s="12"/>
      <c r="N843" s="12"/>
      <c r="O843" s="227" t="s">
        <v>733</v>
      </c>
    </row>
    <row r="844" ht="18.75" customHeight="1">
      <c r="B844" s="59"/>
      <c r="C844" s="59"/>
      <c r="D844" s="59" t="s">
        <v>733</v>
      </c>
      <c r="H844" s="12"/>
      <c r="I844" s="5"/>
      <c r="J844" s="17"/>
      <c r="K844" s="11"/>
      <c r="L844" s="12"/>
      <c r="M844" s="12"/>
      <c r="N844" s="12"/>
      <c r="O844" s="227" t="s">
        <v>733</v>
      </c>
    </row>
    <row r="845" ht="18.75" customHeight="1">
      <c r="B845" s="59"/>
      <c r="C845" s="59"/>
      <c r="D845" s="59" t="s">
        <v>733</v>
      </c>
      <c r="H845" s="12"/>
      <c r="I845" s="5"/>
      <c r="J845" s="17"/>
      <c r="K845" s="11"/>
      <c r="L845" s="12"/>
      <c r="M845" s="12"/>
      <c r="N845" s="12"/>
      <c r="O845" s="227" t="s">
        <v>733</v>
      </c>
    </row>
    <row r="846" ht="18.75" customHeight="1">
      <c r="B846" s="59"/>
      <c r="C846" s="59"/>
      <c r="D846" s="59" t="s">
        <v>733</v>
      </c>
      <c r="H846" s="12"/>
      <c r="I846" s="5"/>
      <c r="J846" s="17"/>
      <c r="K846" s="11"/>
      <c r="L846" s="12"/>
      <c r="M846" s="12"/>
      <c r="N846" s="12"/>
      <c r="O846" s="227" t="s">
        <v>733</v>
      </c>
    </row>
    <row r="847" ht="18.75" customHeight="1">
      <c r="B847" s="59"/>
      <c r="C847" s="59"/>
      <c r="D847" s="59" t="s">
        <v>733</v>
      </c>
      <c r="H847" s="12"/>
      <c r="I847" s="5"/>
      <c r="J847" s="17"/>
      <c r="K847" s="11"/>
      <c r="L847" s="12"/>
      <c r="M847" s="12"/>
      <c r="N847" s="12"/>
      <c r="O847" s="227" t="s">
        <v>733</v>
      </c>
    </row>
    <row r="848" ht="18.75" customHeight="1">
      <c r="B848" s="59"/>
      <c r="C848" s="59"/>
      <c r="D848" s="59" t="s">
        <v>733</v>
      </c>
      <c r="H848" s="12"/>
      <c r="I848" s="5"/>
      <c r="J848" s="17"/>
      <c r="K848" s="11"/>
      <c r="L848" s="12"/>
      <c r="M848" s="12"/>
      <c r="N848" s="12"/>
      <c r="O848" s="227" t="s">
        <v>733</v>
      </c>
    </row>
    <row r="849" ht="18.75" customHeight="1">
      <c r="B849" s="59"/>
      <c r="C849" s="59"/>
      <c r="D849" s="59" t="s">
        <v>733</v>
      </c>
      <c r="H849" s="12"/>
      <c r="I849" s="5"/>
      <c r="J849" s="17"/>
      <c r="K849" s="11"/>
      <c r="L849" s="12"/>
      <c r="M849" s="12"/>
      <c r="N849" s="12"/>
      <c r="O849" s="227" t="s">
        <v>733</v>
      </c>
    </row>
    <row r="850" ht="18.75" customHeight="1">
      <c r="B850" s="59"/>
      <c r="C850" s="59"/>
      <c r="D850" s="59" t="s">
        <v>733</v>
      </c>
      <c r="H850" s="12"/>
      <c r="I850" s="5"/>
      <c r="J850" s="17"/>
      <c r="K850" s="11"/>
      <c r="L850" s="12"/>
      <c r="M850" s="12"/>
      <c r="N850" s="12"/>
      <c r="O850" s="227" t="s">
        <v>733</v>
      </c>
    </row>
    <row r="851" ht="18.75" customHeight="1">
      <c r="B851" s="59"/>
      <c r="C851" s="59"/>
      <c r="D851" s="59" t="s">
        <v>733</v>
      </c>
      <c r="H851" s="12"/>
      <c r="I851" s="5"/>
      <c r="J851" s="17"/>
      <c r="K851" s="11"/>
      <c r="L851" s="12"/>
      <c r="M851" s="12"/>
      <c r="N851" s="12"/>
      <c r="O851" s="227" t="s">
        <v>733</v>
      </c>
    </row>
    <row r="852" ht="18.75" customHeight="1">
      <c r="B852" s="59"/>
      <c r="C852" s="59"/>
      <c r="D852" s="59" t="s">
        <v>733</v>
      </c>
      <c r="H852" s="12"/>
      <c r="I852" s="5"/>
      <c r="J852" s="17"/>
      <c r="K852" s="11"/>
      <c r="L852" s="12"/>
      <c r="M852" s="12"/>
      <c r="N852" s="12"/>
      <c r="O852" s="227" t="s">
        <v>733</v>
      </c>
    </row>
    <row r="853" ht="18.75" customHeight="1">
      <c r="B853" s="59"/>
      <c r="C853" s="59"/>
      <c r="D853" s="59" t="s">
        <v>733</v>
      </c>
      <c r="H853" s="12"/>
      <c r="I853" s="5"/>
      <c r="J853" s="17"/>
      <c r="K853" s="11"/>
      <c r="L853" s="12"/>
      <c r="M853" s="12"/>
      <c r="N853" s="12"/>
      <c r="O853" s="227" t="s">
        <v>733</v>
      </c>
    </row>
    <row r="854" ht="18.75" customHeight="1">
      <c r="B854" s="59"/>
      <c r="C854" s="59"/>
      <c r="D854" s="59" t="s">
        <v>733</v>
      </c>
      <c r="H854" s="12"/>
      <c r="I854" s="5"/>
      <c r="J854" s="17"/>
      <c r="K854" s="11"/>
      <c r="L854" s="12"/>
      <c r="M854" s="12"/>
      <c r="N854" s="12"/>
      <c r="O854" s="227" t="s">
        <v>733</v>
      </c>
    </row>
    <row r="855" ht="18.75" customHeight="1">
      <c r="B855" s="59"/>
      <c r="C855" s="59"/>
      <c r="D855" s="59" t="s">
        <v>733</v>
      </c>
      <c r="H855" s="12"/>
      <c r="I855" s="5"/>
      <c r="J855" s="17"/>
      <c r="K855" s="11"/>
      <c r="L855" s="12"/>
      <c r="M855" s="12"/>
      <c r="N855" s="12"/>
      <c r="O855" s="227" t="s">
        <v>733</v>
      </c>
    </row>
    <row r="856" ht="18.75" customHeight="1">
      <c r="B856" s="59"/>
      <c r="C856" s="59"/>
      <c r="D856" s="59" t="s">
        <v>733</v>
      </c>
      <c r="H856" s="12"/>
      <c r="I856" s="5"/>
      <c r="J856" s="17"/>
      <c r="K856" s="11"/>
      <c r="L856" s="12"/>
      <c r="M856" s="12"/>
      <c r="N856" s="12"/>
      <c r="O856" s="227" t="s">
        <v>733</v>
      </c>
    </row>
    <row r="857" ht="18.75" customHeight="1">
      <c r="B857" s="59"/>
      <c r="C857" s="59"/>
      <c r="D857" s="59" t="s">
        <v>733</v>
      </c>
      <c r="H857" s="12"/>
      <c r="I857" s="5"/>
      <c r="J857" s="17"/>
      <c r="K857" s="11"/>
      <c r="L857" s="12"/>
      <c r="M857" s="12"/>
      <c r="N857" s="12"/>
      <c r="O857" s="227" t="s">
        <v>733</v>
      </c>
    </row>
    <row r="858" ht="18.75" customHeight="1">
      <c r="B858" s="59"/>
      <c r="C858" s="59"/>
      <c r="D858" s="59" t="s">
        <v>733</v>
      </c>
      <c r="H858" s="12"/>
      <c r="I858" s="5"/>
      <c r="J858" s="17"/>
      <c r="K858" s="11"/>
      <c r="L858" s="12"/>
      <c r="M858" s="12"/>
      <c r="N858" s="12"/>
      <c r="O858" s="227" t="s">
        <v>733</v>
      </c>
    </row>
    <row r="859" ht="18.75" customHeight="1">
      <c r="B859" s="59"/>
      <c r="C859" s="59"/>
      <c r="D859" s="59" t="s">
        <v>733</v>
      </c>
      <c r="H859" s="12"/>
      <c r="I859" s="5"/>
      <c r="J859" s="17"/>
      <c r="K859" s="11"/>
      <c r="L859" s="12"/>
      <c r="M859" s="12"/>
      <c r="N859" s="12"/>
      <c r="O859" s="227" t="s">
        <v>733</v>
      </c>
    </row>
    <row r="860" ht="18.75" customHeight="1">
      <c r="B860" s="59"/>
      <c r="C860" s="59"/>
      <c r="D860" s="59" t="s">
        <v>733</v>
      </c>
      <c r="H860" s="12"/>
      <c r="I860" s="5"/>
      <c r="J860" s="17"/>
      <c r="K860" s="11"/>
      <c r="L860" s="12"/>
      <c r="M860" s="12"/>
      <c r="N860" s="12"/>
      <c r="O860" s="227" t="s">
        <v>733</v>
      </c>
    </row>
    <row r="861" ht="18.75" customHeight="1">
      <c r="B861" s="59"/>
      <c r="C861" s="59"/>
      <c r="D861" s="59" t="s">
        <v>733</v>
      </c>
      <c r="H861" s="12"/>
      <c r="I861" s="5"/>
      <c r="J861" s="17"/>
      <c r="K861" s="11"/>
      <c r="L861" s="12"/>
      <c r="M861" s="12"/>
      <c r="N861" s="12"/>
      <c r="O861" s="227" t="s">
        <v>733</v>
      </c>
    </row>
    <row r="862" ht="18.75" customHeight="1">
      <c r="B862" s="59"/>
      <c r="C862" s="59"/>
      <c r="D862" s="59" t="s">
        <v>733</v>
      </c>
      <c r="H862" s="12"/>
      <c r="I862" s="5"/>
      <c r="J862" s="17"/>
      <c r="K862" s="11"/>
      <c r="L862" s="12"/>
      <c r="M862" s="12"/>
      <c r="N862" s="12"/>
      <c r="O862" s="227" t="s">
        <v>733</v>
      </c>
    </row>
    <row r="863" ht="18.75" customHeight="1">
      <c r="B863" s="59"/>
      <c r="C863" s="59"/>
      <c r="D863" s="59" t="s">
        <v>733</v>
      </c>
      <c r="H863" s="12"/>
      <c r="I863" s="5"/>
      <c r="J863" s="17"/>
      <c r="K863" s="11"/>
      <c r="L863" s="12"/>
      <c r="M863" s="12"/>
      <c r="N863" s="12"/>
      <c r="O863" s="227" t="s">
        <v>733</v>
      </c>
    </row>
    <row r="864" ht="18.75" customHeight="1">
      <c r="B864" s="59"/>
      <c r="C864" s="59"/>
      <c r="D864" s="59" t="s">
        <v>733</v>
      </c>
      <c r="H864" s="12"/>
      <c r="I864" s="5"/>
      <c r="J864" s="17"/>
      <c r="K864" s="11"/>
      <c r="L864" s="12"/>
      <c r="M864" s="12"/>
      <c r="N864" s="12"/>
      <c r="O864" s="227" t="s">
        <v>733</v>
      </c>
    </row>
    <row r="865" ht="18.75" customHeight="1">
      <c r="B865" s="59"/>
      <c r="C865" s="59"/>
      <c r="D865" s="59" t="s">
        <v>733</v>
      </c>
      <c r="H865" s="12"/>
      <c r="I865" s="5"/>
      <c r="J865" s="17"/>
      <c r="K865" s="11"/>
      <c r="L865" s="12"/>
      <c r="M865" s="12"/>
      <c r="N865" s="12"/>
      <c r="O865" s="227" t="s">
        <v>733</v>
      </c>
    </row>
    <row r="866" ht="18.75" customHeight="1">
      <c r="B866" s="59"/>
      <c r="C866" s="59"/>
      <c r="D866" s="59" t="s">
        <v>733</v>
      </c>
      <c r="H866" s="12"/>
      <c r="I866" s="5"/>
      <c r="J866" s="17"/>
      <c r="K866" s="11"/>
      <c r="L866" s="12"/>
      <c r="M866" s="12"/>
      <c r="N866" s="12"/>
      <c r="O866" s="227" t="s">
        <v>733</v>
      </c>
    </row>
    <row r="867" ht="18.75" customHeight="1">
      <c r="B867" s="59"/>
      <c r="C867" s="59"/>
      <c r="D867" s="59" t="s">
        <v>733</v>
      </c>
      <c r="H867" s="12"/>
      <c r="I867" s="5"/>
      <c r="J867" s="17"/>
      <c r="K867" s="11"/>
      <c r="L867" s="12"/>
      <c r="M867" s="12"/>
      <c r="N867" s="12"/>
      <c r="O867" s="227" t="s">
        <v>733</v>
      </c>
    </row>
    <row r="868" ht="18.75" customHeight="1">
      <c r="B868" s="59"/>
      <c r="C868" s="59"/>
      <c r="D868" s="59" t="s">
        <v>733</v>
      </c>
      <c r="H868" s="12"/>
      <c r="I868" s="5"/>
      <c r="J868" s="17"/>
      <c r="K868" s="11"/>
      <c r="L868" s="12"/>
      <c r="M868" s="12"/>
      <c r="N868" s="12"/>
      <c r="O868" s="227" t="s">
        <v>733</v>
      </c>
    </row>
    <row r="869" ht="18.75" customHeight="1">
      <c r="B869" s="59"/>
      <c r="C869" s="59"/>
      <c r="D869" s="59" t="s">
        <v>733</v>
      </c>
      <c r="H869" s="12"/>
      <c r="I869" s="5"/>
      <c r="J869" s="17"/>
      <c r="K869" s="11"/>
      <c r="L869" s="12"/>
      <c r="M869" s="12"/>
      <c r="N869" s="12"/>
      <c r="O869" s="227" t="s">
        <v>733</v>
      </c>
    </row>
    <row r="870" ht="18.75" customHeight="1">
      <c r="B870" s="59"/>
      <c r="C870" s="59"/>
      <c r="D870" s="59" t="s">
        <v>733</v>
      </c>
      <c r="H870" s="12"/>
      <c r="I870" s="5"/>
      <c r="J870" s="17"/>
      <c r="K870" s="11"/>
      <c r="L870" s="12"/>
      <c r="M870" s="12"/>
      <c r="N870" s="12"/>
      <c r="O870" s="227" t="s">
        <v>733</v>
      </c>
    </row>
    <row r="871" ht="18.75" customHeight="1">
      <c r="B871" s="59"/>
      <c r="C871" s="59"/>
      <c r="D871" s="59" t="s">
        <v>733</v>
      </c>
      <c r="H871" s="12"/>
      <c r="I871" s="5"/>
      <c r="J871" s="17"/>
      <c r="K871" s="11"/>
      <c r="L871" s="12"/>
      <c r="M871" s="12"/>
      <c r="N871" s="12"/>
      <c r="O871" s="227" t="s">
        <v>733</v>
      </c>
    </row>
    <row r="872" ht="18.75" customHeight="1">
      <c r="B872" s="59"/>
      <c r="C872" s="59"/>
      <c r="D872" s="59" t="s">
        <v>733</v>
      </c>
      <c r="H872" s="12"/>
      <c r="I872" s="5"/>
      <c r="J872" s="17"/>
      <c r="K872" s="11"/>
      <c r="L872" s="12"/>
      <c r="M872" s="12"/>
      <c r="N872" s="12"/>
      <c r="O872" s="227" t="s">
        <v>733</v>
      </c>
    </row>
    <row r="873" ht="18.75" customHeight="1">
      <c r="B873" s="59"/>
      <c r="C873" s="59"/>
      <c r="D873" s="59" t="s">
        <v>733</v>
      </c>
      <c r="H873" s="12"/>
      <c r="I873" s="5"/>
      <c r="J873" s="17"/>
      <c r="K873" s="11"/>
      <c r="L873" s="12"/>
      <c r="M873" s="12"/>
      <c r="N873" s="12"/>
      <c r="O873" s="227" t="s">
        <v>733</v>
      </c>
    </row>
    <row r="874" ht="18.75" customHeight="1">
      <c r="B874" s="59"/>
      <c r="C874" s="59"/>
      <c r="D874" s="59" t="s">
        <v>733</v>
      </c>
      <c r="H874" s="12"/>
      <c r="I874" s="5"/>
      <c r="J874" s="17"/>
      <c r="K874" s="11"/>
      <c r="L874" s="12"/>
      <c r="M874" s="12"/>
      <c r="N874" s="12"/>
      <c r="O874" s="227" t="s">
        <v>733</v>
      </c>
    </row>
    <row r="875" ht="18.75" customHeight="1">
      <c r="B875" s="59"/>
      <c r="C875" s="59"/>
      <c r="D875" s="59" t="s">
        <v>733</v>
      </c>
      <c r="H875" s="12"/>
      <c r="I875" s="5"/>
      <c r="J875" s="17"/>
      <c r="K875" s="11"/>
      <c r="L875" s="12"/>
      <c r="M875" s="12"/>
      <c r="N875" s="12"/>
      <c r="O875" s="227" t="s">
        <v>733</v>
      </c>
    </row>
    <row r="876" ht="18.75" customHeight="1">
      <c r="B876" s="59"/>
      <c r="C876" s="59"/>
      <c r="D876" s="59" t="s">
        <v>733</v>
      </c>
      <c r="H876" s="12"/>
      <c r="I876" s="5"/>
      <c r="J876" s="17"/>
      <c r="K876" s="11"/>
      <c r="L876" s="12"/>
      <c r="M876" s="12"/>
      <c r="N876" s="12"/>
      <c r="O876" s="227" t="s">
        <v>733</v>
      </c>
    </row>
    <row r="877" ht="18.75" customHeight="1">
      <c r="B877" s="59"/>
      <c r="C877" s="59"/>
      <c r="D877" s="59" t="s">
        <v>733</v>
      </c>
      <c r="H877" s="12"/>
      <c r="I877" s="5"/>
      <c r="J877" s="17"/>
      <c r="K877" s="11"/>
      <c r="L877" s="12"/>
      <c r="M877" s="12"/>
      <c r="N877" s="12"/>
      <c r="O877" s="227" t="s">
        <v>733</v>
      </c>
    </row>
    <row r="878" ht="18.75" customHeight="1">
      <c r="B878" s="59"/>
      <c r="C878" s="59"/>
      <c r="D878" s="59" t="s">
        <v>733</v>
      </c>
      <c r="H878" s="12"/>
      <c r="I878" s="5"/>
      <c r="J878" s="17"/>
      <c r="K878" s="11"/>
      <c r="L878" s="12"/>
      <c r="M878" s="12"/>
      <c r="N878" s="12"/>
      <c r="O878" s="227" t="s">
        <v>733</v>
      </c>
    </row>
    <row r="879" ht="18.75" customHeight="1">
      <c r="B879" s="59"/>
      <c r="C879" s="59"/>
      <c r="D879" s="59" t="s">
        <v>733</v>
      </c>
      <c r="H879" s="12"/>
      <c r="I879" s="5"/>
      <c r="J879" s="17"/>
      <c r="K879" s="11"/>
      <c r="L879" s="12"/>
      <c r="M879" s="12"/>
      <c r="N879" s="12"/>
      <c r="O879" s="227" t="s">
        <v>733</v>
      </c>
    </row>
    <row r="880" ht="18.75" customHeight="1">
      <c r="B880" s="59"/>
      <c r="C880" s="59"/>
      <c r="D880" s="59" t="s">
        <v>733</v>
      </c>
      <c r="H880" s="12"/>
      <c r="I880" s="5"/>
      <c r="J880" s="17"/>
      <c r="K880" s="11"/>
      <c r="L880" s="12"/>
      <c r="M880" s="12"/>
      <c r="N880" s="12"/>
      <c r="O880" s="227" t="s">
        <v>733</v>
      </c>
    </row>
    <row r="881" ht="18.75" customHeight="1">
      <c r="B881" s="59"/>
      <c r="C881" s="59"/>
      <c r="D881" s="59" t="s">
        <v>733</v>
      </c>
      <c r="H881" s="12"/>
      <c r="I881" s="5"/>
      <c r="J881" s="17"/>
      <c r="K881" s="11"/>
      <c r="L881" s="12"/>
      <c r="M881" s="12"/>
      <c r="N881" s="12"/>
      <c r="O881" s="227" t="s">
        <v>733</v>
      </c>
    </row>
    <row r="882" ht="18.75" customHeight="1">
      <c r="B882" s="59"/>
      <c r="C882" s="59"/>
      <c r="D882" s="59" t="s">
        <v>733</v>
      </c>
      <c r="H882" s="12"/>
      <c r="I882" s="5"/>
      <c r="J882" s="17"/>
      <c r="K882" s="11"/>
      <c r="L882" s="12"/>
      <c r="M882" s="12"/>
      <c r="N882" s="12"/>
      <c r="O882" s="227" t="s">
        <v>733</v>
      </c>
    </row>
    <row r="883" ht="18.75" customHeight="1">
      <c r="B883" s="59"/>
      <c r="C883" s="59"/>
      <c r="D883" s="59" t="s">
        <v>733</v>
      </c>
      <c r="H883" s="12"/>
      <c r="I883" s="5"/>
      <c r="J883" s="17"/>
      <c r="K883" s="11"/>
      <c r="L883" s="12"/>
      <c r="M883" s="12"/>
      <c r="N883" s="12"/>
      <c r="O883" s="227" t="s">
        <v>733</v>
      </c>
    </row>
    <row r="884" ht="18.75" customHeight="1">
      <c r="B884" s="59"/>
      <c r="C884" s="59"/>
      <c r="D884" s="59" t="s">
        <v>733</v>
      </c>
      <c r="H884" s="12"/>
      <c r="I884" s="5"/>
      <c r="J884" s="17"/>
      <c r="K884" s="11"/>
      <c r="L884" s="12"/>
      <c r="M884" s="12"/>
      <c r="N884" s="12"/>
      <c r="O884" s="227" t="s">
        <v>733</v>
      </c>
    </row>
    <row r="885" ht="18.75" customHeight="1">
      <c r="B885" s="59"/>
      <c r="C885" s="59"/>
      <c r="D885" s="59" t="s">
        <v>733</v>
      </c>
      <c r="H885" s="12"/>
      <c r="I885" s="5"/>
      <c r="J885" s="17"/>
      <c r="K885" s="11"/>
      <c r="L885" s="12"/>
      <c r="M885" s="12"/>
      <c r="N885" s="12"/>
      <c r="O885" s="227" t="s">
        <v>733</v>
      </c>
    </row>
    <row r="886" ht="18.75" customHeight="1">
      <c r="B886" s="59"/>
      <c r="C886" s="59"/>
      <c r="D886" s="59" t="s">
        <v>733</v>
      </c>
      <c r="H886" s="12"/>
      <c r="I886" s="5"/>
      <c r="J886" s="17"/>
      <c r="K886" s="11"/>
      <c r="L886" s="12"/>
      <c r="M886" s="12"/>
      <c r="N886" s="12"/>
      <c r="O886" s="227" t="s">
        <v>733</v>
      </c>
    </row>
    <row r="887" ht="18.75" customHeight="1">
      <c r="B887" s="59"/>
      <c r="C887" s="59"/>
      <c r="D887" s="59" t="s">
        <v>733</v>
      </c>
      <c r="H887" s="12"/>
      <c r="I887" s="5"/>
      <c r="J887" s="17"/>
      <c r="K887" s="11"/>
      <c r="L887" s="12"/>
      <c r="M887" s="12"/>
      <c r="N887" s="12"/>
      <c r="O887" s="227" t="s">
        <v>733</v>
      </c>
    </row>
    <row r="888" ht="18.75" customHeight="1">
      <c r="B888" s="59"/>
      <c r="C888" s="59"/>
      <c r="D888" s="59" t="s">
        <v>733</v>
      </c>
      <c r="H888" s="12"/>
      <c r="I888" s="5"/>
      <c r="J888" s="17"/>
      <c r="K888" s="11"/>
      <c r="L888" s="12"/>
      <c r="M888" s="12"/>
      <c r="N888" s="12"/>
      <c r="O888" s="227" t="s">
        <v>733</v>
      </c>
    </row>
    <row r="889" ht="18.75" customHeight="1">
      <c r="B889" s="59"/>
      <c r="C889" s="59"/>
      <c r="D889" s="59" t="s">
        <v>733</v>
      </c>
      <c r="H889" s="12"/>
      <c r="I889" s="5"/>
      <c r="J889" s="17"/>
      <c r="K889" s="11"/>
      <c r="L889" s="12"/>
      <c r="M889" s="12"/>
      <c r="N889" s="12"/>
      <c r="O889" s="227" t="s">
        <v>733</v>
      </c>
    </row>
    <row r="890" ht="18.75" customHeight="1">
      <c r="B890" s="59"/>
      <c r="C890" s="59"/>
      <c r="D890" s="59" t="s">
        <v>733</v>
      </c>
      <c r="H890" s="12"/>
      <c r="I890" s="5"/>
      <c r="J890" s="17"/>
      <c r="K890" s="11"/>
      <c r="L890" s="12"/>
      <c r="M890" s="12"/>
      <c r="N890" s="12"/>
      <c r="O890" s="227" t="s">
        <v>733</v>
      </c>
    </row>
    <row r="891" ht="18.75" customHeight="1">
      <c r="B891" s="59"/>
      <c r="C891" s="59"/>
      <c r="D891" s="59" t="s">
        <v>733</v>
      </c>
      <c r="H891" s="12"/>
      <c r="I891" s="5"/>
      <c r="J891" s="17"/>
      <c r="K891" s="11"/>
      <c r="L891" s="12"/>
      <c r="M891" s="12"/>
      <c r="N891" s="12"/>
      <c r="O891" s="227" t="s">
        <v>733</v>
      </c>
    </row>
    <row r="892" ht="18.75" customHeight="1">
      <c r="B892" s="59"/>
      <c r="C892" s="59"/>
      <c r="D892" s="59" t="s">
        <v>733</v>
      </c>
      <c r="H892" s="12"/>
      <c r="I892" s="5"/>
      <c r="J892" s="17"/>
      <c r="K892" s="11"/>
      <c r="L892" s="12"/>
      <c r="M892" s="12"/>
      <c r="N892" s="12"/>
      <c r="O892" s="227" t="s">
        <v>733</v>
      </c>
    </row>
    <row r="893" ht="18.75" customHeight="1">
      <c r="B893" s="59"/>
      <c r="C893" s="59"/>
      <c r="D893" s="59" t="s">
        <v>733</v>
      </c>
      <c r="H893" s="12"/>
      <c r="I893" s="5"/>
      <c r="J893" s="17"/>
      <c r="K893" s="11"/>
      <c r="L893" s="12"/>
      <c r="M893" s="12"/>
      <c r="N893" s="12"/>
      <c r="O893" s="227" t="s">
        <v>733</v>
      </c>
    </row>
    <row r="894" ht="18.75" customHeight="1">
      <c r="B894" s="59"/>
      <c r="C894" s="59"/>
      <c r="D894" s="59" t="s">
        <v>733</v>
      </c>
      <c r="H894" s="12"/>
      <c r="I894" s="5"/>
      <c r="J894" s="17"/>
      <c r="K894" s="11"/>
      <c r="L894" s="12"/>
      <c r="M894" s="12"/>
      <c r="N894" s="12"/>
      <c r="O894" s="227" t="s">
        <v>733</v>
      </c>
    </row>
    <row r="895" ht="18.75" customHeight="1">
      <c r="B895" s="59"/>
      <c r="C895" s="59"/>
      <c r="D895" s="59" t="s">
        <v>733</v>
      </c>
      <c r="H895" s="12"/>
      <c r="I895" s="5"/>
      <c r="J895" s="17"/>
      <c r="K895" s="11"/>
      <c r="L895" s="12"/>
      <c r="M895" s="12"/>
      <c r="N895" s="12"/>
      <c r="O895" s="227" t="s">
        <v>733</v>
      </c>
    </row>
    <row r="896" ht="18.75" customHeight="1">
      <c r="B896" s="59"/>
      <c r="C896" s="59"/>
      <c r="D896" s="59" t="s">
        <v>733</v>
      </c>
      <c r="H896" s="12"/>
      <c r="I896" s="5"/>
      <c r="J896" s="17"/>
      <c r="K896" s="11"/>
      <c r="L896" s="12"/>
      <c r="M896" s="12"/>
      <c r="N896" s="12"/>
      <c r="O896" s="227" t="s">
        <v>733</v>
      </c>
    </row>
    <row r="897" ht="18.75" customHeight="1">
      <c r="B897" s="59"/>
      <c r="C897" s="59"/>
      <c r="D897" s="59" t="s">
        <v>733</v>
      </c>
      <c r="H897" s="12"/>
      <c r="I897" s="5"/>
      <c r="J897" s="17"/>
      <c r="K897" s="11"/>
      <c r="L897" s="12"/>
      <c r="M897" s="12"/>
      <c r="N897" s="12"/>
      <c r="O897" s="227" t="s">
        <v>733</v>
      </c>
    </row>
    <row r="898" ht="18.75" customHeight="1">
      <c r="B898" s="59"/>
      <c r="C898" s="59"/>
      <c r="D898" s="59" t="s">
        <v>733</v>
      </c>
      <c r="H898" s="12"/>
      <c r="I898" s="5"/>
      <c r="J898" s="17"/>
      <c r="K898" s="11"/>
      <c r="L898" s="12"/>
      <c r="M898" s="12"/>
      <c r="N898" s="12"/>
      <c r="O898" s="227" t="s">
        <v>733</v>
      </c>
    </row>
    <row r="899" ht="18.75" customHeight="1">
      <c r="B899" s="59"/>
      <c r="C899" s="59"/>
      <c r="D899" s="59" t="s">
        <v>733</v>
      </c>
      <c r="H899" s="12"/>
      <c r="I899" s="5"/>
      <c r="J899" s="17"/>
      <c r="K899" s="11"/>
      <c r="L899" s="12"/>
      <c r="M899" s="12"/>
      <c r="N899" s="12"/>
      <c r="O899" s="227" t="s">
        <v>733</v>
      </c>
    </row>
    <row r="900" ht="18.75" customHeight="1">
      <c r="B900" s="59"/>
      <c r="C900" s="59"/>
      <c r="D900" s="59" t="s">
        <v>733</v>
      </c>
      <c r="H900" s="12"/>
      <c r="I900" s="5"/>
      <c r="J900" s="17"/>
      <c r="K900" s="11"/>
      <c r="L900" s="12"/>
      <c r="M900" s="12"/>
      <c r="N900" s="12"/>
      <c r="O900" s="227" t="s">
        <v>733</v>
      </c>
    </row>
    <row r="901" ht="18.75" customHeight="1">
      <c r="B901" s="59"/>
      <c r="C901" s="59"/>
      <c r="D901" s="59" t="s">
        <v>733</v>
      </c>
      <c r="H901" s="12"/>
      <c r="I901" s="5"/>
      <c r="J901" s="17"/>
      <c r="K901" s="11"/>
      <c r="L901" s="12"/>
      <c r="M901" s="12"/>
      <c r="N901" s="12"/>
      <c r="O901" s="227" t="s">
        <v>733</v>
      </c>
    </row>
    <row r="902" ht="18.75" customHeight="1">
      <c r="B902" s="59"/>
      <c r="C902" s="59"/>
      <c r="D902" s="59" t="s">
        <v>733</v>
      </c>
      <c r="H902" s="12"/>
      <c r="I902" s="5"/>
      <c r="J902" s="17"/>
      <c r="K902" s="11"/>
      <c r="L902" s="12"/>
      <c r="M902" s="12"/>
      <c r="N902" s="12"/>
      <c r="O902" s="227" t="s">
        <v>733</v>
      </c>
    </row>
    <row r="903" ht="18.75" customHeight="1">
      <c r="B903" s="59"/>
      <c r="C903" s="59"/>
      <c r="D903" s="59" t="s">
        <v>733</v>
      </c>
      <c r="H903" s="12"/>
      <c r="I903" s="5"/>
      <c r="J903" s="17"/>
      <c r="K903" s="11"/>
      <c r="L903" s="12"/>
      <c r="M903" s="12"/>
      <c r="N903" s="12"/>
      <c r="O903" s="227" t="s">
        <v>733</v>
      </c>
    </row>
    <row r="904" ht="18.75" customHeight="1">
      <c r="B904" s="59"/>
      <c r="C904" s="59"/>
      <c r="D904" s="59" t="s">
        <v>733</v>
      </c>
      <c r="H904" s="12"/>
      <c r="I904" s="5"/>
      <c r="J904" s="17"/>
      <c r="K904" s="11"/>
      <c r="L904" s="12"/>
      <c r="M904" s="12"/>
      <c r="N904" s="12"/>
      <c r="O904" s="227" t="s">
        <v>733</v>
      </c>
    </row>
    <row r="905" ht="18.75" customHeight="1">
      <c r="B905" s="59"/>
      <c r="C905" s="59"/>
      <c r="D905" s="59" t="s">
        <v>733</v>
      </c>
      <c r="H905" s="12"/>
      <c r="I905" s="5"/>
      <c r="J905" s="17"/>
      <c r="K905" s="11"/>
      <c r="L905" s="12"/>
      <c r="M905" s="12"/>
      <c r="N905" s="12"/>
      <c r="O905" s="227" t="s">
        <v>733</v>
      </c>
    </row>
    <row r="906" ht="18.75" customHeight="1">
      <c r="B906" s="59"/>
      <c r="C906" s="59"/>
      <c r="D906" s="59" t="s">
        <v>733</v>
      </c>
      <c r="H906" s="12"/>
      <c r="I906" s="5"/>
      <c r="J906" s="17"/>
      <c r="K906" s="11"/>
      <c r="L906" s="12"/>
      <c r="M906" s="12"/>
      <c r="N906" s="12"/>
      <c r="O906" s="227" t="s">
        <v>733</v>
      </c>
    </row>
    <row r="907" ht="18.75" customHeight="1">
      <c r="B907" s="59"/>
      <c r="C907" s="59"/>
      <c r="D907" s="59" t="s">
        <v>733</v>
      </c>
      <c r="H907" s="12"/>
      <c r="I907" s="5"/>
      <c r="J907" s="17"/>
      <c r="K907" s="11"/>
      <c r="L907" s="12"/>
      <c r="M907" s="12"/>
      <c r="N907" s="12"/>
      <c r="O907" s="227" t="s">
        <v>733</v>
      </c>
    </row>
    <row r="908" ht="18.75" customHeight="1">
      <c r="B908" s="59"/>
      <c r="C908" s="59"/>
      <c r="D908" s="59" t="s">
        <v>733</v>
      </c>
      <c r="H908" s="12"/>
      <c r="I908" s="5"/>
      <c r="J908" s="17"/>
      <c r="K908" s="11"/>
      <c r="L908" s="12"/>
      <c r="M908" s="12"/>
      <c r="N908" s="12"/>
      <c r="O908" s="227" t="s">
        <v>733</v>
      </c>
    </row>
    <row r="909" ht="18.75" customHeight="1">
      <c r="B909" s="59"/>
      <c r="C909" s="59"/>
      <c r="D909" s="59" t="s">
        <v>733</v>
      </c>
      <c r="H909" s="12"/>
      <c r="I909" s="5"/>
      <c r="J909" s="17"/>
      <c r="K909" s="11"/>
      <c r="L909" s="12"/>
      <c r="M909" s="12"/>
      <c r="N909" s="12"/>
      <c r="O909" s="227" t="s">
        <v>733</v>
      </c>
    </row>
    <row r="910" ht="18.75" customHeight="1">
      <c r="B910" s="59"/>
      <c r="C910" s="59"/>
      <c r="D910" s="59" t="s">
        <v>733</v>
      </c>
      <c r="H910" s="12"/>
      <c r="I910" s="5"/>
      <c r="J910" s="17"/>
      <c r="K910" s="11"/>
      <c r="L910" s="12"/>
      <c r="M910" s="12"/>
      <c r="N910" s="12"/>
      <c r="O910" s="227" t="s">
        <v>733</v>
      </c>
    </row>
    <row r="911" ht="18.75" customHeight="1">
      <c r="B911" s="59"/>
      <c r="C911" s="59"/>
      <c r="D911" s="59" t="s">
        <v>733</v>
      </c>
      <c r="H911" s="12"/>
      <c r="I911" s="5"/>
      <c r="J911" s="17"/>
      <c r="K911" s="11"/>
      <c r="L911" s="12"/>
      <c r="M911" s="12"/>
      <c r="N911" s="12"/>
      <c r="O911" s="227" t="s">
        <v>733</v>
      </c>
    </row>
    <row r="912" ht="18.75" customHeight="1">
      <c r="B912" s="59"/>
      <c r="C912" s="59"/>
      <c r="D912" s="59" t="s">
        <v>733</v>
      </c>
      <c r="H912" s="12"/>
      <c r="I912" s="5"/>
      <c r="J912" s="17"/>
      <c r="K912" s="11"/>
      <c r="L912" s="12"/>
      <c r="M912" s="12"/>
      <c r="N912" s="12"/>
      <c r="O912" s="227" t="s">
        <v>733</v>
      </c>
    </row>
    <row r="913" ht="18.75" customHeight="1">
      <c r="B913" s="59"/>
      <c r="C913" s="59"/>
      <c r="D913" s="59" t="s">
        <v>733</v>
      </c>
      <c r="H913" s="12"/>
      <c r="I913" s="5"/>
      <c r="J913" s="17"/>
      <c r="K913" s="11"/>
      <c r="L913" s="12"/>
      <c r="M913" s="12"/>
      <c r="N913" s="12"/>
      <c r="O913" s="227" t="s">
        <v>733</v>
      </c>
    </row>
    <row r="914" ht="18.75" customHeight="1">
      <c r="B914" s="59"/>
      <c r="C914" s="59"/>
      <c r="D914" s="59" t="s">
        <v>733</v>
      </c>
      <c r="H914" s="12"/>
      <c r="I914" s="5"/>
      <c r="J914" s="17"/>
      <c r="K914" s="11"/>
      <c r="L914" s="12"/>
      <c r="M914" s="12"/>
      <c r="N914" s="12"/>
      <c r="O914" s="227" t="s">
        <v>733</v>
      </c>
    </row>
    <row r="915" ht="18.75" customHeight="1">
      <c r="B915" s="59"/>
      <c r="C915" s="59"/>
      <c r="D915" s="59" t="s">
        <v>733</v>
      </c>
      <c r="H915" s="12"/>
      <c r="I915" s="5"/>
      <c r="J915" s="17"/>
      <c r="K915" s="11"/>
      <c r="L915" s="12"/>
      <c r="M915" s="12"/>
      <c r="N915" s="12"/>
      <c r="O915" s="227" t="s">
        <v>733</v>
      </c>
    </row>
    <row r="916" ht="18.75" customHeight="1">
      <c r="B916" s="59"/>
      <c r="C916" s="59"/>
      <c r="D916" s="59" t="s">
        <v>733</v>
      </c>
      <c r="H916" s="12"/>
      <c r="I916" s="5"/>
      <c r="J916" s="17"/>
      <c r="K916" s="11"/>
      <c r="L916" s="12"/>
      <c r="M916" s="12"/>
      <c r="N916" s="12"/>
      <c r="O916" s="227" t="s">
        <v>733</v>
      </c>
    </row>
    <row r="917" ht="18.75" customHeight="1">
      <c r="B917" s="59"/>
      <c r="C917" s="59"/>
      <c r="D917" s="59" t="s">
        <v>733</v>
      </c>
      <c r="H917" s="12"/>
      <c r="I917" s="5"/>
      <c r="J917" s="17"/>
      <c r="K917" s="11"/>
      <c r="L917" s="12"/>
      <c r="M917" s="12"/>
      <c r="N917" s="12"/>
      <c r="O917" s="227" t="s">
        <v>733</v>
      </c>
    </row>
    <row r="918" ht="18.75" customHeight="1">
      <c r="B918" s="59"/>
      <c r="C918" s="59"/>
      <c r="D918" s="59" t="s">
        <v>733</v>
      </c>
      <c r="H918" s="12"/>
      <c r="I918" s="5"/>
      <c r="J918" s="17"/>
      <c r="K918" s="11"/>
      <c r="L918" s="12"/>
      <c r="M918" s="12"/>
      <c r="N918" s="12"/>
      <c r="O918" s="227" t="s">
        <v>733</v>
      </c>
    </row>
    <row r="919" ht="18.75" customHeight="1">
      <c r="B919" s="59"/>
      <c r="C919" s="59"/>
      <c r="D919" s="59" t="s">
        <v>733</v>
      </c>
      <c r="H919" s="12"/>
      <c r="I919" s="5"/>
      <c r="J919" s="17"/>
      <c r="K919" s="11"/>
      <c r="L919" s="12"/>
      <c r="M919" s="12"/>
      <c r="N919" s="12"/>
      <c r="O919" s="227" t="s">
        <v>733</v>
      </c>
    </row>
    <row r="920" ht="18.75" customHeight="1">
      <c r="B920" s="59"/>
      <c r="C920" s="59"/>
      <c r="D920" s="59" t="s">
        <v>733</v>
      </c>
      <c r="H920" s="12"/>
      <c r="I920" s="5"/>
      <c r="J920" s="17"/>
      <c r="K920" s="11"/>
      <c r="L920" s="12"/>
      <c r="M920" s="12"/>
      <c r="N920" s="12"/>
      <c r="O920" s="227" t="s">
        <v>733</v>
      </c>
    </row>
    <row r="921" ht="18.75" customHeight="1">
      <c r="B921" s="59"/>
      <c r="C921" s="59"/>
      <c r="D921" s="59" t="s">
        <v>733</v>
      </c>
      <c r="H921" s="12"/>
      <c r="I921" s="5"/>
      <c r="J921" s="17"/>
      <c r="K921" s="11"/>
      <c r="L921" s="12"/>
      <c r="M921" s="12"/>
      <c r="N921" s="12"/>
      <c r="O921" s="227" t="s">
        <v>733</v>
      </c>
    </row>
    <row r="922" ht="18.75" customHeight="1">
      <c r="B922" s="59"/>
      <c r="C922" s="59"/>
      <c r="D922" s="59" t="s">
        <v>733</v>
      </c>
      <c r="H922" s="12"/>
      <c r="I922" s="5"/>
      <c r="J922" s="17"/>
      <c r="K922" s="11"/>
      <c r="L922" s="12"/>
      <c r="M922" s="12"/>
      <c r="N922" s="12"/>
      <c r="O922" s="227" t="s">
        <v>733</v>
      </c>
    </row>
    <row r="923" ht="18.75" customHeight="1">
      <c r="B923" s="59"/>
      <c r="C923" s="59"/>
      <c r="D923" s="59" t="s">
        <v>733</v>
      </c>
      <c r="H923" s="12"/>
      <c r="I923" s="5"/>
      <c r="J923" s="17"/>
      <c r="K923" s="11"/>
      <c r="L923" s="12"/>
      <c r="M923" s="12"/>
      <c r="N923" s="12"/>
      <c r="O923" s="227" t="s">
        <v>733</v>
      </c>
    </row>
    <row r="924" ht="18.75" customHeight="1">
      <c r="B924" s="59"/>
      <c r="C924" s="59"/>
      <c r="D924" s="59" t="s">
        <v>733</v>
      </c>
      <c r="H924" s="12"/>
      <c r="I924" s="5"/>
      <c r="J924" s="17"/>
      <c r="K924" s="11"/>
      <c r="L924" s="12"/>
      <c r="M924" s="12"/>
      <c r="N924" s="12"/>
      <c r="O924" s="227" t="s">
        <v>733</v>
      </c>
    </row>
    <row r="925" ht="18.75" customHeight="1">
      <c r="B925" s="59"/>
      <c r="C925" s="59"/>
      <c r="D925" s="59" t="s">
        <v>733</v>
      </c>
      <c r="H925" s="12"/>
      <c r="I925" s="5"/>
      <c r="J925" s="17"/>
      <c r="K925" s="11"/>
      <c r="L925" s="12"/>
      <c r="M925" s="12"/>
      <c r="N925" s="12"/>
      <c r="O925" s="227" t="s">
        <v>733</v>
      </c>
    </row>
    <row r="926" ht="18.75" customHeight="1">
      <c r="B926" s="59"/>
      <c r="C926" s="59"/>
      <c r="D926" s="59" t="s">
        <v>733</v>
      </c>
      <c r="H926" s="12"/>
      <c r="I926" s="5"/>
      <c r="J926" s="17"/>
      <c r="K926" s="11"/>
      <c r="L926" s="12"/>
      <c r="M926" s="12"/>
      <c r="N926" s="12"/>
      <c r="O926" s="227" t="s">
        <v>733</v>
      </c>
    </row>
    <row r="927" ht="18.75" customHeight="1">
      <c r="B927" s="59"/>
      <c r="C927" s="59"/>
      <c r="D927" s="59" t="s">
        <v>733</v>
      </c>
      <c r="H927" s="12"/>
      <c r="I927" s="5"/>
      <c r="J927" s="17"/>
      <c r="K927" s="11"/>
      <c r="L927" s="12"/>
      <c r="M927" s="12"/>
      <c r="N927" s="12"/>
      <c r="O927" s="227" t="s">
        <v>733</v>
      </c>
    </row>
    <row r="928" ht="18.75" customHeight="1">
      <c r="B928" s="59"/>
      <c r="C928" s="59"/>
      <c r="D928" s="59" t="s">
        <v>733</v>
      </c>
      <c r="H928" s="12"/>
      <c r="I928" s="5"/>
      <c r="J928" s="17"/>
      <c r="K928" s="11"/>
      <c r="L928" s="12"/>
      <c r="M928" s="12"/>
      <c r="N928" s="12"/>
      <c r="O928" s="227" t="s">
        <v>733</v>
      </c>
    </row>
    <row r="929" ht="18.75" customHeight="1">
      <c r="B929" s="59"/>
      <c r="C929" s="59"/>
      <c r="D929" s="59" t="s">
        <v>733</v>
      </c>
      <c r="H929" s="12"/>
      <c r="I929" s="5"/>
      <c r="J929" s="17"/>
      <c r="K929" s="11"/>
      <c r="L929" s="12"/>
      <c r="M929" s="12"/>
      <c r="N929" s="12"/>
      <c r="O929" s="227" t="s">
        <v>733</v>
      </c>
    </row>
    <row r="930" ht="18.75" customHeight="1">
      <c r="B930" s="59"/>
      <c r="C930" s="59"/>
      <c r="D930" s="59" t="s">
        <v>733</v>
      </c>
      <c r="H930" s="12"/>
      <c r="I930" s="5"/>
      <c r="J930" s="17"/>
      <c r="K930" s="11"/>
      <c r="L930" s="12"/>
      <c r="M930" s="12"/>
      <c r="N930" s="12"/>
      <c r="O930" s="227" t="s">
        <v>733</v>
      </c>
    </row>
    <row r="931" ht="18.75" customHeight="1">
      <c r="B931" s="59"/>
      <c r="C931" s="59"/>
      <c r="D931" s="59" t="s">
        <v>733</v>
      </c>
      <c r="H931" s="12"/>
      <c r="I931" s="5"/>
      <c r="J931" s="17"/>
      <c r="K931" s="11"/>
      <c r="L931" s="12"/>
      <c r="M931" s="12"/>
      <c r="N931" s="12"/>
      <c r="O931" s="227" t="s">
        <v>733</v>
      </c>
    </row>
    <row r="932" ht="18.75" customHeight="1">
      <c r="B932" s="59"/>
      <c r="C932" s="59"/>
      <c r="D932" s="59" t="s">
        <v>733</v>
      </c>
      <c r="H932" s="12"/>
      <c r="I932" s="5"/>
      <c r="J932" s="17"/>
      <c r="K932" s="11"/>
      <c r="L932" s="12"/>
      <c r="M932" s="12"/>
      <c r="N932" s="12"/>
      <c r="O932" s="227" t="s">
        <v>733</v>
      </c>
    </row>
    <row r="933" ht="18.75" customHeight="1">
      <c r="B933" s="59"/>
      <c r="C933" s="59"/>
      <c r="D933" s="59" t="s">
        <v>733</v>
      </c>
      <c r="H933" s="12"/>
      <c r="I933" s="5"/>
      <c r="J933" s="17"/>
      <c r="K933" s="11"/>
      <c r="L933" s="12"/>
      <c r="M933" s="12"/>
      <c r="N933" s="12"/>
      <c r="O933" s="227" t="s">
        <v>733</v>
      </c>
    </row>
    <row r="934" ht="18.75" customHeight="1">
      <c r="B934" s="59"/>
      <c r="C934" s="59"/>
      <c r="D934" s="59" t="s">
        <v>733</v>
      </c>
      <c r="H934" s="12"/>
      <c r="I934" s="5"/>
      <c r="J934" s="17"/>
      <c r="K934" s="11"/>
      <c r="L934" s="12"/>
      <c r="M934" s="12"/>
      <c r="N934" s="12"/>
      <c r="O934" s="227" t="s">
        <v>733</v>
      </c>
    </row>
    <row r="935" ht="18.75" customHeight="1">
      <c r="B935" s="59"/>
      <c r="C935" s="59"/>
      <c r="D935" s="59" t="s">
        <v>733</v>
      </c>
      <c r="H935" s="12"/>
      <c r="I935" s="5"/>
      <c r="J935" s="17"/>
      <c r="K935" s="11"/>
      <c r="L935" s="12"/>
      <c r="M935" s="12"/>
      <c r="N935" s="12"/>
      <c r="O935" s="227" t="s">
        <v>733</v>
      </c>
    </row>
    <row r="936" ht="18.75" customHeight="1">
      <c r="B936" s="59"/>
      <c r="C936" s="59"/>
      <c r="D936" s="59" t="s">
        <v>733</v>
      </c>
      <c r="H936" s="12"/>
      <c r="I936" s="5"/>
      <c r="J936" s="17"/>
      <c r="K936" s="11"/>
      <c r="L936" s="12"/>
      <c r="M936" s="12"/>
      <c r="N936" s="12"/>
      <c r="O936" s="227" t="s">
        <v>733</v>
      </c>
    </row>
    <row r="937" ht="18.75" customHeight="1">
      <c r="B937" s="59"/>
      <c r="C937" s="59"/>
      <c r="D937" s="59" t="s">
        <v>733</v>
      </c>
      <c r="H937" s="12"/>
      <c r="I937" s="5"/>
      <c r="J937" s="17"/>
      <c r="K937" s="11"/>
      <c r="L937" s="12"/>
      <c r="M937" s="12"/>
      <c r="N937" s="12"/>
      <c r="O937" s="227" t="s">
        <v>733</v>
      </c>
    </row>
    <row r="938" ht="18.75" customHeight="1">
      <c r="B938" s="59"/>
      <c r="C938" s="59"/>
      <c r="D938" s="59" t="s">
        <v>733</v>
      </c>
      <c r="H938" s="12"/>
      <c r="I938" s="5"/>
      <c r="J938" s="17"/>
      <c r="K938" s="11"/>
      <c r="L938" s="12"/>
      <c r="M938" s="12"/>
      <c r="N938" s="12"/>
      <c r="O938" s="227" t="s">
        <v>733</v>
      </c>
    </row>
    <row r="939" ht="18.75" customHeight="1">
      <c r="B939" s="59"/>
      <c r="C939" s="59"/>
      <c r="D939" s="59" t="s">
        <v>733</v>
      </c>
      <c r="H939" s="12"/>
      <c r="I939" s="5"/>
      <c r="J939" s="17"/>
      <c r="K939" s="11"/>
      <c r="L939" s="12"/>
      <c r="M939" s="12"/>
      <c r="N939" s="12"/>
      <c r="O939" s="227" t="s">
        <v>733</v>
      </c>
    </row>
    <row r="940" ht="18.75" customHeight="1">
      <c r="B940" s="59"/>
      <c r="C940" s="59"/>
      <c r="D940" s="59" t="s">
        <v>733</v>
      </c>
      <c r="H940" s="12"/>
      <c r="I940" s="5"/>
      <c r="J940" s="17"/>
      <c r="K940" s="11"/>
      <c r="L940" s="12"/>
      <c r="M940" s="12"/>
      <c r="N940" s="12"/>
      <c r="O940" s="227" t="s">
        <v>733</v>
      </c>
    </row>
    <row r="941" ht="18.75" customHeight="1">
      <c r="B941" s="59"/>
      <c r="C941" s="59"/>
      <c r="D941" s="59" t="s">
        <v>733</v>
      </c>
      <c r="H941" s="12"/>
      <c r="I941" s="5"/>
      <c r="J941" s="17"/>
      <c r="K941" s="11"/>
      <c r="L941" s="12"/>
      <c r="M941" s="12"/>
      <c r="N941" s="12"/>
      <c r="O941" s="227" t="s">
        <v>733</v>
      </c>
    </row>
    <row r="942" ht="18.75" customHeight="1">
      <c r="B942" s="59"/>
      <c r="C942" s="59"/>
      <c r="D942" s="59" t="s">
        <v>733</v>
      </c>
      <c r="H942" s="12"/>
      <c r="I942" s="5"/>
      <c r="J942" s="17"/>
      <c r="K942" s="11"/>
      <c r="L942" s="12"/>
      <c r="M942" s="12"/>
      <c r="N942" s="12"/>
      <c r="O942" s="227" t="s">
        <v>733</v>
      </c>
    </row>
    <row r="943" ht="18.75" customHeight="1">
      <c r="B943" s="59"/>
      <c r="C943" s="59"/>
      <c r="D943" s="59" t="s">
        <v>733</v>
      </c>
      <c r="H943" s="12"/>
      <c r="I943" s="5"/>
      <c r="J943" s="17"/>
      <c r="K943" s="11"/>
      <c r="L943" s="12"/>
      <c r="M943" s="12"/>
      <c r="N943" s="12"/>
      <c r="O943" s="227" t="s">
        <v>733</v>
      </c>
    </row>
    <row r="944" ht="18.75" customHeight="1">
      <c r="B944" s="59"/>
      <c r="C944" s="59"/>
      <c r="D944" s="59" t="s">
        <v>733</v>
      </c>
      <c r="H944" s="12"/>
      <c r="I944" s="5"/>
      <c r="J944" s="17"/>
      <c r="K944" s="11"/>
      <c r="L944" s="12"/>
      <c r="M944" s="12"/>
      <c r="N944" s="12"/>
      <c r="O944" s="227" t="s">
        <v>733</v>
      </c>
    </row>
    <row r="945" ht="18.75" customHeight="1">
      <c r="B945" s="59"/>
      <c r="C945" s="59"/>
      <c r="D945" s="59" t="s">
        <v>733</v>
      </c>
      <c r="H945" s="12"/>
      <c r="I945" s="5"/>
      <c r="J945" s="17"/>
      <c r="K945" s="11"/>
      <c r="L945" s="12"/>
      <c r="M945" s="12"/>
      <c r="N945" s="12"/>
      <c r="O945" s="227" t="s">
        <v>733</v>
      </c>
    </row>
    <row r="946" ht="18.75" customHeight="1">
      <c r="B946" s="59"/>
      <c r="C946" s="59"/>
      <c r="D946" s="59" t="s">
        <v>733</v>
      </c>
      <c r="H946" s="12"/>
      <c r="I946" s="5"/>
      <c r="J946" s="17"/>
      <c r="K946" s="11"/>
      <c r="L946" s="12"/>
      <c r="M946" s="12"/>
      <c r="N946" s="12"/>
      <c r="O946" s="227" t="s">
        <v>733</v>
      </c>
    </row>
    <row r="947" ht="18.75" customHeight="1">
      <c r="B947" s="59"/>
      <c r="C947" s="59"/>
      <c r="D947" s="59" t="s">
        <v>733</v>
      </c>
      <c r="H947" s="12"/>
      <c r="I947" s="5"/>
      <c r="J947" s="17"/>
      <c r="K947" s="11"/>
      <c r="L947" s="12"/>
      <c r="M947" s="12"/>
      <c r="N947" s="12"/>
      <c r="O947" s="227" t="s">
        <v>733</v>
      </c>
    </row>
    <row r="948" ht="18.75" customHeight="1">
      <c r="B948" s="59"/>
      <c r="C948" s="59"/>
      <c r="D948" s="59" t="s">
        <v>733</v>
      </c>
      <c r="H948" s="12"/>
      <c r="I948" s="5"/>
      <c r="J948" s="17"/>
      <c r="K948" s="11"/>
      <c r="L948" s="12"/>
      <c r="M948" s="12"/>
      <c r="N948" s="12"/>
      <c r="O948" s="227" t="s">
        <v>733</v>
      </c>
    </row>
    <row r="949" ht="18.75" customHeight="1">
      <c r="B949" s="59"/>
      <c r="C949" s="59"/>
      <c r="D949" s="59" t="s">
        <v>733</v>
      </c>
      <c r="H949" s="12"/>
      <c r="I949" s="5"/>
      <c r="J949" s="17"/>
      <c r="K949" s="11"/>
      <c r="L949" s="12"/>
      <c r="M949" s="12"/>
      <c r="N949" s="12"/>
      <c r="O949" s="227" t="s">
        <v>733</v>
      </c>
    </row>
    <row r="950" ht="18.75" customHeight="1">
      <c r="B950" s="59"/>
      <c r="C950" s="59"/>
      <c r="D950" s="59" t="s">
        <v>733</v>
      </c>
      <c r="H950" s="12"/>
      <c r="I950" s="5"/>
      <c r="J950" s="17"/>
      <c r="K950" s="11"/>
      <c r="L950" s="12"/>
      <c r="M950" s="12"/>
      <c r="N950" s="12"/>
      <c r="O950" s="227" t="s">
        <v>733</v>
      </c>
    </row>
    <row r="951" ht="18.75" customHeight="1">
      <c r="B951" s="59"/>
      <c r="C951" s="59"/>
      <c r="D951" s="59" t="s">
        <v>733</v>
      </c>
      <c r="H951" s="12"/>
      <c r="I951" s="5"/>
      <c r="J951" s="17"/>
      <c r="K951" s="11"/>
      <c r="L951" s="12"/>
      <c r="M951" s="12"/>
      <c r="N951" s="12"/>
      <c r="O951" s="227" t="s">
        <v>733</v>
      </c>
    </row>
    <row r="952" ht="18.75" customHeight="1">
      <c r="B952" s="59"/>
      <c r="C952" s="59"/>
      <c r="D952" s="59" t="s">
        <v>733</v>
      </c>
      <c r="H952" s="12"/>
      <c r="I952" s="5"/>
      <c r="J952" s="17"/>
      <c r="K952" s="11"/>
      <c r="L952" s="12"/>
      <c r="M952" s="12"/>
      <c r="N952" s="12"/>
      <c r="O952" s="227" t="s">
        <v>733</v>
      </c>
    </row>
    <row r="953" ht="18.75" customHeight="1">
      <c r="B953" s="59"/>
      <c r="C953" s="59"/>
      <c r="D953" s="59" t="s">
        <v>733</v>
      </c>
      <c r="H953" s="12"/>
      <c r="I953" s="5"/>
      <c r="J953" s="17"/>
      <c r="K953" s="11"/>
      <c r="L953" s="12"/>
      <c r="M953" s="12"/>
      <c r="N953" s="12"/>
      <c r="O953" s="227" t="s">
        <v>733</v>
      </c>
    </row>
    <row r="954" ht="18.75" customHeight="1">
      <c r="B954" s="59"/>
      <c r="C954" s="59"/>
      <c r="D954" s="59" t="s">
        <v>733</v>
      </c>
      <c r="H954" s="12"/>
      <c r="I954" s="5"/>
      <c r="J954" s="17"/>
      <c r="K954" s="11"/>
      <c r="L954" s="12"/>
      <c r="M954" s="12"/>
      <c r="N954" s="12"/>
      <c r="O954" s="227" t="s">
        <v>733</v>
      </c>
    </row>
    <row r="955" ht="18.75" customHeight="1">
      <c r="B955" s="59"/>
      <c r="C955" s="59"/>
      <c r="D955" s="59" t="s">
        <v>733</v>
      </c>
      <c r="H955" s="12"/>
      <c r="I955" s="5"/>
      <c r="J955" s="17"/>
      <c r="K955" s="11"/>
      <c r="L955" s="12"/>
      <c r="M955" s="12"/>
      <c r="N955" s="12"/>
      <c r="O955" s="227" t="s">
        <v>733</v>
      </c>
    </row>
    <row r="956" ht="18.75" customHeight="1">
      <c r="B956" s="59"/>
      <c r="C956" s="59"/>
      <c r="D956" s="59" t="s">
        <v>733</v>
      </c>
      <c r="H956" s="12"/>
      <c r="I956" s="5"/>
      <c r="J956" s="17"/>
      <c r="K956" s="11"/>
      <c r="L956" s="12"/>
      <c r="M956" s="12"/>
      <c r="N956" s="12"/>
      <c r="O956" s="227" t="s">
        <v>733</v>
      </c>
    </row>
    <row r="957" ht="18.75" customHeight="1">
      <c r="B957" s="59"/>
      <c r="C957" s="59"/>
      <c r="D957" s="59" t="s">
        <v>733</v>
      </c>
      <c r="H957" s="12"/>
      <c r="I957" s="5"/>
      <c r="J957" s="17"/>
      <c r="K957" s="11"/>
      <c r="L957" s="12"/>
      <c r="M957" s="12"/>
      <c r="N957" s="12"/>
      <c r="O957" s="227" t="s">
        <v>733</v>
      </c>
    </row>
    <row r="958" ht="18.75" customHeight="1">
      <c r="B958" s="59"/>
      <c r="C958" s="59"/>
      <c r="D958" s="59" t="s">
        <v>733</v>
      </c>
      <c r="H958" s="12"/>
      <c r="I958" s="5"/>
      <c r="J958" s="17"/>
      <c r="K958" s="11"/>
      <c r="L958" s="12"/>
      <c r="M958" s="12"/>
      <c r="N958" s="12"/>
      <c r="O958" s="227" t="s">
        <v>733</v>
      </c>
    </row>
    <row r="959" ht="18.75" customHeight="1">
      <c r="B959" s="59"/>
      <c r="C959" s="59"/>
      <c r="D959" s="59" t="s">
        <v>733</v>
      </c>
      <c r="H959" s="12"/>
      <c r="I959" s="5"/>
      <c r="J959" s="17"/>
      <c r="K959" s="11"/>
      <c r="L959" s="12"/>
      <c r="M959" s="12"/>
      <c r="N959" s="12"/>
      <c r="O959" s="227" t="s">
        <v>733</v>
      </c>
    </row>
    <row r="960" ht="18.75" customHeight="1">
      <c r="B960" s="59"/>
      <c r="C960" s="59"/>
      <c r="D960" s="59" t="s">
        <v>733</v>
      </c>
      <c r="H960" s="12"/>
      <c r="I960" s="5"/>
      <c r="J960" s="17"/>
      <c r="K960" s="11"/>
      <c r="L960" s="12"/>
      <c r="M960" s="12"/>
      <c r="N960" s="12"/>
      <c r="O960" s="227" t="s">
        <v>733</v>
      </c>
    </row>
    <row r="961" ht="18.75" customHeight="1">
      <c r="B961" s="59"/>
      <c r="C961" s="59"/>
      <c r="D961" s="59" t="s">
        <v>733</v>
      </c>
      <c r="H961" s="12"/>
      <c r="I961" s="5"/>
      <c r="J961" s="17"/>
      <c r="K961" s="11"/>
      <c r="L961" s="12"/>
      <c r="M961" s="12"/>
      <c r="N961" s="12"/>
      <c r="O961" s="227" t="s">
        <v>733</v>
      </c>
    </row>
    <row r="962" ht="18.75" customHeight="1">
      <c r="B962" s="59"/>
      <c r="C962" s="59"/>
      <c r="D962" s="59" t="s">
        <v>733</v>
      </c>
      <c r="H962" s="12"/>
      <c r="I962" s="5"/>
      <c r="J962" s="17"/>
      <c r="K962" s="11"/>
      <c r="L962" s="12"/>
      <c r="M962" s="12"/>
      <c r="N962" s="12"/>
      <c r="O962" s="227" t="s">
        <v>733</v>
      </c>
    </row>
    <row r="963" ht="18.75" customHeight="1">
      <c r="B963" s="59"/>
      <c r="C963" s="59"/>
      <c r="D963" s="59" t="s">
        <v>733</v>
      </c>
      <c r="H963" s="12"/>
      <c r="I963" s="5"/>
      <c r="J963" s="17"/>
      <c r="K963" s="11"/>
      <c r="L963" s="12"/>
      <c r="M963" s="12"/>
      <c r="N963" s="12"/>
      <c r="O963" s="227" t="s">
        <v>733</v>
      </c>
    </row>
    <row r="964" ht="18.75" customHeight="1">
      <c r="B964" s="59"/>
      <c r="C964" s="59"/>
      <c r="D964" s="59" t="s">
        <v>733</v>
      </c>
      <c r="H964" s="12"/>
      <c r="I964" s="5"/>
      <c r="J964" s="17"/>
      <c r="K964" s="11"/>
      <c r="L964" s="12"/>
      <c r="M964" s="12"/>
      <c r="N964" s="12"/>
      <c r="O964" s="227" t="s">
        <v>733</v>
      </c>
    </row>
    <row r="965" ht="18.75" customHeight="1">
      <c r="B965" s="59"/>
      <c r="C965" s="59"/>
      <c r="D965" s="59" t="s">
        <v>733</v>
      </c>
      <c r="H965" s="12"/>
      <c r="I965" s="5"/>
      <c r="J965" s="17"/>
      <c r="K965" s="11"/>
      <c r="L965" s="12"/>
      <c r="M965" s="12"/>
      <c r="N965" s="12"/>
      <c r="O965" s="227" t="s">
        <v>733</v>
      </c>
    </row>
    <row r="966" ht="18.75" customHeight="1">
      <c r="B966" s="59"/>
      <c r="C966" s="59"/>
      <c r="D966" s="59" t="s">
        <v>733</v>
      </c>
      <c r="H966" s="12"/>
      <c r="I966" s="5"/>
      <c r="J966" s="17"/>
      <c r="K966" s="11"/>
      <c r="L966" s="12"/>
      <c r="M966" s="12"/>
      <c r="N966" s="12"/>
      <c r="O966" s="227" t="s">
        <v>733</v>
      </c>
    </row>
    <row r="967" ht="18.75" customHeight="1">
      <c r="B967" s="59"/>
      <c r="C967" s="59"/>
      <c r="D967" s="59" t="s">
        <v>733</v>
      </c>
      <c r="H967" s="12"/>
      <c r="I967" s="5"/>
      <c r="J967" s="17"/>
      <c r="K967" s="11"/>
      <c r="L967" s="12"/>
      <c r="M967" s="12"/>
      <c r="N967" s="12"/>
      <c r="O967" s="227" t="s">
        <v>733</v>
      </c>
    </row>
    <row r="968" ht="18.75" customHeight="1">
      <c r="B968" s="59"/>
      <c r="C968" s="59"/>
      <c r="D968" s="59" t="s">
        <v>733</v>
      </c>
      <c r="H968" s="12"/>
      <c r="I968" s="5"/>
      <c r="J968" s="17"/>
      <c r="K968" s="11"/>
      <c r="L968" s="12"/>
      <c r="M968" s="12"/>
      <c r="N968" s="12"/>
      <c r="O968" s="227" t="s">
        <v>733</v>
      </c>
    </row>
    <row r="969" ht="18.75" customHeight="1">
      <c r="B969" s="59"/>
      <c r="C969" s="59"/>
      <c r="D969" s="59" t="s">
        <v>733</v>
      </c>
      <c r="H969" s="12"/>
      <c r="I969" s="5"/>
      <c r="J969" s="17"/>
      <c r="K969" s="11"/>
      <c r="L969" s="12"/>
      <c r="M969" s="12"/>
      <c r="N969" s="12"/>
      <c r="O969" s="227" t="s">
        <v>733</v>
      </c>
    </row>
    <row r="970" ht="18.75" customHeight="1">
      <c r="B970" s="59"/>
      <c r="C970" s="59"/>
      <c r="D970" s="59" t="s">
        <v>733</v>
      </c>
      <c r="H970" s="12"/>
      <c r="I970" s="5"/>
      <c r="J970" s="17"/>
      <c r="K970" s="11"/>
      <c r="L970" s="12"/>
      <c r="M970" s="12"/>
      <c r="N970" s="12"/>
      <c r="O970" s="227" t="s">
        <v>733</v>
      </c>
    </row>
    <row r="971" ht="18.75" customHeight="1">
      <c r="B971" s="59"/>
      <c r="C971" s="59"/>
      <c r="D971" s="59" t="s">
        <v>733</v>
      </c>
      <c r="H971" s="12"/>
      <c r="I971" s="5"/>
      <c r="J971" s="17"/>
      <c r="K971" s="11"/>
      <c r="L971" s="12"/>
      <c r="M971" s="12"/>
      <c r="N971" s="12"/>
      <c r="O971" s="227" t="s">
        <v>733</v>
      </c>
    </row>
    <row r="972" ht="18.75" customHeight="1">
      <c r="B972" s="59"/>
      <c r="C972" s="59"/>
      <c r="D972" s="59" t="s">
        <v>733</v>
      </c>
      <c r="H972" s="12"/>
      <c r="I972" s="5"/>
      <c r="J972" s="17"/>
      <c r="K972" s="11"/>
      <c r="L972" s="12"/>
      <c r="M972" s="12"/>
      <c r="N972" s="12"/>
      <c r="O972" s="227" t="s">
        <v>733</v>
      </c>
    </row>
    <row r="973" ht="18.75" customHeight="1">
      <c r="B973" s="59"/>
      <c r="C973" s="59"/>
      <c r="D973" s="59" t="s">
        <v>733</v>
      </c>
      <c r="H973" s="12"/>
      <c r="I973" s="5"/>
      <c r="J973" s="17"/>
      <c r="K973" s="11"/>
      <c r="L973" s="12"/>
      <c r="M973" s="12"/>
      <c r="N973" s="12"/>
      <c r="O973" s="227" t="s">
        <v>733</v>
      </c>
    </row>
    <row r="974" ht="18.75" customHeight="1">
      <c r="B974" s="59"/>
      <c r="C974" s="59"/>
      <c r="D974" s="59" t="s">
        <v>733</v>
      </c>
      <c r="H974" s="12"/>
      <c r="I974" s="5"/>
      <c r="J974" s="17"/>
      <c r="K974" s="11"/>
      <c r="L974" s="12"/>
      <c r="M974" s="12"/>
      <c r="N974" s="12"/>
      <c r="O974" s="227" t="s">
        <v>733</v>
      </c>
    </row>
    <row r="975" ht="18.75" customHeight="1">
      <c r="B975" s="59"/>
      <c r="C975" s="59"/>
      <c r="D975" s="59" t="s">
        <v>733</v>
      </c>
      <c r="H975" s="12"/>
      <c r="I975" s="5"/>
      <c r="J975" s="17"/>
      <c r="K975" s="11"/>
      <c r="L975" s="12"/>
      <c r="M975" s="12"/>
      <c r="N975" s="12"/>
      <c r="O975" s="227" t="s">
        <v>733</v>
      </c>
    </row>
    <row r="976" ht="18.75" customHeight="1">
      <c r="B976" s="59"/>
      <c r="C976" s="59"/>
      <c r="D976" s="59" t="s">
        <v>733</v>
      </c>
      <c r="H976" s="12"/>
      <c r="I976" s="5"/>
      <c r="J976" s="17"/>
      <c r="K976" s="11"/>
      <c r="L976" s="12"/>
      <c r="M976" s="12"/>
      <c r="N976" s="12"/>
      <c r="O976" s="227" t="s">
        <v>733</v>
      </c>
    </row>
    <row r="977" ht="18.75" customHeight="1">
      <c r="B977" s="59"/>
      <c r="C977" s="59"/>
      <c r="D977" s="59" t="s">
        <v>733</v>
      </c>
      <c r="H977" s="12"/>
      <c r="I977" s="5"/>
      <c r="J977" s="17"/>
      <c r="K977" s="11"/>
      <c r="L977" s="12"/>
      <c r="M977" s="12"/>
      <c r="N977" s="12"/>
      <c r="O977" s="227" t="s">
        <v>733</v>
      </c>
    </row>
    <row r="978" ht="18.75" customHeight="1">
      <c r="B978" s="59"/>
      <c r="C978" s="59"/>
      <c r="D978" s="59" t="s">
        <v>733</v>
      </c>
      <c r="H978" s="12"/>
      <c r="I978" s="5"/>
      <c r="J978" s="17"/>
      <c r="K978" s="11"/>
      <c r="L978" s="12"/>
      <c r="M978" s="12"/>
      <c r="N978" s="12"/>
      <c r="O978" s="227" t="s">
        <v>733</v>
      </c>
    </row>
    <row r="979" ht="18.75" customHeight="1">
      <c r="B979" s="59"/>
      <c r="C979" s="59"/>
      <c r="D979" s="59" t="s">
        <v>733</v>
      </c>
      <c r="H979" s="12"/>
      <c r="I979" s="5"/>
      <c r="J979" s="17"/>
      <c r="K979" s="11"/>
      <c r="L979" s="12"/>
      <c r="M979" s="12"/>
      <c r="N979" s="12"/>
      <c r="O979" s="227" t="s">
        <v>733</v>
      </c>
    </row>
    <row r="980" ht="18.75" customHeight="1">
      <c r="B980" s="59"/>
      <c r="C980" s="59"/>
      <c r="D980" s="59" t="s">
        <v>733</v>
      </c>
      <c r="H980" s="12"/>
      <c r="I980" s="5"/>
      <c r="J980" s="17"/>
      <c r="K980" s="11"/>
      <c r="L980" s="12"/>
      <c r="M980" s="12"/>
      <c r="N980" s="12"/>
      <c r="O980" s="227" t="s">
        <v>733</v>
      </c>
    </row>
    <row r="981" ht="18.75" customHeight="1">
      <c r="B981" s="59"/>
      <c r="C981" s="59"/>
      <c r="D981" s="59" t="s">
        <v>733</v>
      </c>
      <c r="H981" s="12"/>
      <c r="I981" s="5"/>
      <c r="J981" s="17"/>
      <c r="K981" s="11"/>
      <c r="L981" s="12"/>
      <c r="M981" s="12"/>
      <c r="N981" s="12"/>
      <c r="O981" s="227" t="s">
        <v>733</v>
      </c>
    </row>
    <row r="982" ht="18.75" customHeight="1">
      <c r="B982" s="59"/>
      <c r="C982" s="59"/>
      <c r="D982" s="59" t="s">
        <v>733</v>
      </c>
      <c r="H982" s="12"/>
      <c r="I982" s="5"/>
      <c r="J982" s="17"/>
      <c r="K982" s="11"/>
      <c r="L982" s="12"/>
      <c r="M982" s="12"/>
      <c r="N982" s="12"/>
      <c r="O982" s="227" t="s">
        <v>733</v>
      </c>
    </row>
    <row r="983" ht="18.75" customHeight="1">
      <c r="B983" s="59"/>
      <c r="C983" s="59"/>
      <c r="D983" s="59" t="s">
        <v>733</v>
      </c>
      <c r="H983" s="12"/>
      <c r="I983" s="5"/>
      <c r="J983" s="17"/>
      <c r="K983" s="11"/>
      <c r="L983" s="12"/>
      <c r="M983" s="12"/>
      <c r="N983" s="12"/>
      <c r="O983" s="227" t="s">
        <v>733</v>
      </c>
    </row>
    <row r="984" ht="18.75" customHeight="1">
      <c r="B984" s="59"/>
      <c r="C984" s="59"/>
      <c r="D984" s="59" t="s">
        <v>733</v>
      </c>
      <c r="H984" s="12"/>
      <c r="I984" s="5"/>
      <c r="J984" s="17"/>
      <c r="K984" s="11"/>
      <c r="L984" s="12"/>
      <c r="M984" s="12"/>
      <c r="N984" s="12"/>
      <c r="O984" s="227" t="s">
        <v>733</v>
      </c>
    </row>
    <row r="985" ht="18.75" customHeight="1">
      <c r="B985" s="59"/>
      <c r="C985" s="59"/>
      <c r="D985" s="59" t="s">
        <v>733</v>
      </c>
      <c r="H985" s="12"/>
      <c r="I985" s="5"/>
      <c r="J985" s="17"/>
      <c r="K985" s="11"/>
      <c r="L985" s="12"/>
      <c r="M985" s="12"/>
      <c r="N985" s="12"/>
      <c r="O985" s="227" t="s">
        <v>733</v>
      </c>
    </row>
    <row r="986" ht="18.75" customHeight="1">
      <c r="B986" s="59"/>
      <c r="C986" s="59"/>
      <c r="D986" s="59" t="s">
        <v>733</v>
      </c>
      <c r="H986" s="12"/>
      <c r="I986" s="5"/>
      <c r="J986" s="17"/>
      <c r="K986" s="11"/>
      <c r="L986" s="12"/>
      <c r="M986" s="12"/>
      <c r="N986" s="12"/>
      <c r="O986" s="227" t="s">
        <v>733</v>
      </c>
    </row>
    <row r="987" ht="18.75" customHeight="1">
      <c r="B987" s="59"/>
      <c r="C987" s="59"/>
      <c r="D987" s="59" t="s">
        <v>733</v>
      </c>
      <c r="H987" s="12"/>
      <c r="I987" s="5"/>
      <c r="J987" s="17"/>
      <c r="K987" s="11"/>
      <c r="L987" s="12"/>
      <c r="M987" s="12"/>
      <c r="N987" s="12"/>
      <c r="O987" s="227" t="s">
        <v>733</v>
      </c>
    </row>
    <row r="988" ht="18.75" customHeight="1">
      <c r="B988" s="59"/>
      <c r="C988" s="59"/>
      <c r="D988" s="59" t="s">
        <v>733</v>
      </c>
      <c r="H988" s="12"/>
      <c r="I988" s="5"/>
      <c r="J988" s="17"/>
      <c r="K988" s="11"/>
      <c r="L988" s="12"/>
      <c r="M988" s="12"/>
      <c r="N988" s="12"/>
      <c r="O988" s="227" t="s">
        <v>733</v>
      </c>
    </row>
    <row r="989" ht="18.75" customHeight="1">
      <c r="B989" s="59"/>
      <c r="C989" s="59"/>
      <c r="D989" s="59" t="s">
        <v>733</v>
      </c>
      <c r="H989" s="12"/>
      <c r="I989" s="5"/>
      <c r="J989" s="17"/>
      <c r="K989" s="11"/>
      <c r="L989" s="12"/>
      <c r="M989" s="12"/>
      <c r="N989" s="12"/>
      <c r="O989" s="227" t="s">
        <v>733</v>
      </c>
    </row>
    <row r="990" ht="18.75" customHeight="1">
      <c r="B990" s="59"/>
      <c r="C990" s="59"/>
      <c r="D990" s="59" t="s">
        <v>733</v>
      </c>
      <c r="H990" s="12"/>
      <c r="I990" s="5"/>
      <c r="J990" s="17"/>
      <c r="K990" s="11"/>
      <c r="L990" s="12"/>
      <c r="M990" s="12"/>
      <c r="N990" s="12"/>
      <c r="O990" s="227" t="s">
        <v>733</v>
      </c>
    </row>
    <row r="991" ht="18.75" customHeight="1">
      <c r="B991" s="59"/>
      <c r="C991" s="59"/>
      <c r="D991" s="59" t="s">
        <v>733</v>
      </c>
      <c r="H991" s="12"/>
      <c r="I991" s="5"/>
      <c r="J991" s="17"/>
      <c r="K991" s="11"/>
      <c r="L991" s="12"/>
      <c r="M991" s="12"/>
      <c r="N991" s="12"/>
      <c r="O991" s="227" t="s">
        <v>733</v>
      </c>
    </row>
    <row r="992" ht="18.75" customHeight="1">
      <c r="B992" s="59"/>
      <c r="C992" s="59"/>
      <c r="D992" s="59" t="s">
        <v>733</v>
      </c>
      <c r="H992" s="12"/>
      <c r="I992" s="5"/>
      <c r="J992" s="17"/>
      <c r="K992" s="11"/>
      <c r="L992" s="12"/>
      <c r="M992" s="12"/>
      <c r="N992" s="12"/>
      <c r="O992" s="227" t="s">
        <v>733</v>
      </c>
    </row>
    <row r="993" ht="18.75" customHeight="1">
      <c r="B993" s="59"/>
      <c r="C993" s="59"/>
      <c r="D993" s="59" t="s">
        <v>733</v>
      </c>
      <c r="H993" s="12"/>
      <c r="I993" s="5"/>
      <c r="J993" s="17"/>
      <c r="K993" s="11"/>
      <c r="L993" s="12"/>
      <c r="M993" s="12"/>
      <c r="N993" s="12"/>
      <c r="O993" s="227" t="s">
        <v>733</v>
      </c>
    </row>
    <row r="994" ht="18.75" customHeight="1">
      <c r="B994" s="59"/>
      <c r="C994" s="59"/>
      <c r="D994" s="59" t="s">
        <v>733</v>
      </c>
      <c r="H994" s="12"/>
      <c r="I994" s="5"/>
      <c r="J994" s="17"/>
      <c r="K994" s="11"/>
      <c r="L994" s="12"/>
      <c r="M994" s="12"/>
      <c r="N994" s="12"/>
      <c r="O994" s="227" t="s">
        <v>733</v>
      </c>
    </row>
    <row r="995" ht="18.75" customHeight="1">
      <c r="B995" s="59"/>
      <c r="C995" s="59"/>
      <c r="D995" s="59" t="s">
        <v>733</v>
      </c>
      <c r="H995" s="12"/>
      <c r="I995" s="5"/>
      <c r="J995" s="17"/>
      <c r="K995" s="11"/>
      <c r="L995" s="12"/>
      <c r="M995" s="12"/>
      <c r="N995" s="12"/>
      <c r="O995" s="227" t="s">
        <v>733</v>
      </c>
    </row>
    <row r="996" ht="18.75" customHeight="1">
      <c r="B996" s="59"/>
      <c r="C996" s="59"/>
      <c r="D996" s="59" t="s">
        <v>733</v>
      </c>
      <c r="H996" s="12"/>
      <c r="I996" s="5"/>
      <c r="J996" s="17"/>
      <c r="K996" s="11"/>
      <c r="L996" s="12"/>
      <c r="M996" s="12"/>
      <c r="N996" s="12"/>
      <c r="O996" s="227" t="s">
        <v>733</v>
      </c>
    </row>
    <row r="997" ht="18.75" customHeight="1">
      <c r="B997" s="59"/>
      <c r="C997" s="59"/>
      <c r="D997" s="59" t="s">
        <v>733</v>
      </c>
      <c r="H997" s="12"/>
      <c r="I997" s="5"/>
      <c r="J997" s="17"/>
      <c r="K997" s="11"/>
      <c r="L997" s="12"/>
      <c r="M997" s="12"/>
      <c r="N997" s="12"/>
      <c r="O997" s="227" t="s">
        <v>733</v>
      </c>
    </row>
    <row r="998" ht="18.75" customHeight="1">
      <c r="B998" s="59"/>
      <c r="C998" s="59"/>
      <c r="D998" s="59" t="s">
        <v>733</v>
      </c>
      <c r="H998" s="12"/>
      <c r="I998" s="5"/>
      <c r="J998" s="17"/>
      <c r="K998" s="11"/>
      <c r="L998" s="12"/>
      <c r="M998" s="12"/>
      <c r="N998" s="12"/>
      <c r="O998" s="227" t="s">
        <v>733</v>
      </c>
    </row>
    <row r="999" ht="18.75" customHeight="1">
      <c r="B999" s="59"/>
      <c r="C999" s="59"/>
      <c r="D999" s="59" t="s">
        <v>733</v>
      </c>
      <c r="H999" s="12"/>
      <c r="I999" s="5"/>
      <c r="J999" s="17"/>
      <c r="K999" s="11"/>
      <c r="L999" s="12"/>
      <c r="M999" s="12"/>
      <c r="N999" s="12"/>
      <c r="O999" s="227" t="s">
        <v>733</v>
      </c>
    </row>
    <row r="1000" ht="18.75" customHeight="1">
      <c r="B1000" s="59"/>
      <c r="C1000" s="59"/>
      <c r="D1000" s="59" t="s">
        <v>733</v>
      </c>
      <c r="H1000" s="12"/>
      <c r="I1000" s="5"/>
      <c r="J1000" s="17"/>
      <c r="K1000" s="11"/>
      <c r="L1000" s="12"/>
      <c r="M1000" s="12"/>
      <c r="N1000" s="12"/>
      <c r="O1000" s="227" t="s">
        <v>733</v>
      </c>
    </row>
    <row r="1001" ht="18.75" customHeight="1">
      <c r="B1001" s="59"/>
      <c r="C1001" s="59"/>
      <c r="D1001" s="59" t="s">
        <v>733</v>
      </c>
      <c r="H1001" s="12"/>
      <c r="I1001" s="5"/>
      <c r="J1001" s="17"/>
      <c r="K1001" s="11"/>
      <c r="L1001" s="12"/>
      <c r="M1001" s="12"/>
      <c r="N1001" s="12"/>
      <c r="O1001" s="227" t="s">
        <v>733</v>
      </c>
    </row>
    <row r="1002" ht="18.75" customHeight="1">
      <c r="B1002" s="59"/>
      <c r="C1002" s="59"/>
      <c r="D1002" s="59" t="s">
        <v>733</v>
      </c>
      <c r="H1002" s="12"/>
      <c r="I1002" s="5"/>
      <c r="J1002" s="17"/>
      <c r="K1002" s="11"/>
      <c r="L1002" s="12"/>
      <c r="M1002" s="12"/>
      <c r="N1002" s="12"/>
      <c r="O1002" s="227" t="s">
        <v>733</v>
      </c>
    </row>
    <row r="1003" ht="18.75" customHeight="1">
      <c r="B1003" s="59"/>
      <c r="C1003" s="59"/>
      <c r="D1003" s="59" t="s">
        <v>733</v>
      </c>
      <c r="H1003" s="12"/>
      <c r="I1003" s="5"/>
      <c r="J1003" s="17"/>
      <c r="K1003" s="11"/>
      <c r="L1003" s="12"/>
      <c r="M1003" s="12"/>
      <c r="N1003" s="12"/>
      <c r="O1003" s="227" t="s">
        <v>733</v>
      </c>
    </row>
    <row r="1004" ht="18.75" customHeight="1">
      <c r="B1004" s="59"/>
      <c r="C1004" s="59"/>
      <c r="D1004" s="59" t="s">
        <v>733</v>
      </c>
      <c r="H1004" s="12"/>
      <c r="I1004" s="5"/>
      <c r="J1004" s="17"/>
      <c r="K1004" s="11"/>
      <c r="L1004" s="12"/>
      <c r="M1004" s="12"/>
      <c r="N1004" s="12"/>
      <c r="O1004" s="227" t="s">
        <v>733</v>
      </c>
    </row>
    <row r="1005" ht="18.75" customHeight="1">
      <c r="B1005" s="59"/>
      <c r="C1005" s="59"/>
      <c r="D1005" s="59" t="s">
        <v>733</v>
      </c>
      <c r="H1005" s="12"/>
      <c r="I1005" s="5"/>
      <c r="J1005" s="17"/>
      <c r="K1005" s="11"/>
      <c r="L1005" s="12"/>
      <c r="M1005" s="12"/>
      <c r="N1005" s="12"/>
      <c r="O1005" s="227" t="s">
        <v>733</v>
      </c>
    </row>
    <row r="1006" ht="18.75" customHeight="1">
      <c r="B1006" s="59"/>
      <c r="C1006" s="59"/>
      <c r="D1006" s="59" t="s">
        <v>733</v>
      </c>
      <c r="H1006" s="12"/>
      <c r="I1006" s="5"/>
      <c r="J1006" s="17"/>
      <c r="K1006" s="11"/>
      <c r="L1006" s="12"/>
      <c r="M1006" s="12"/>
      <c r="N1006" s="12"/>
      <c r="O1006" s="227" t="s">
        <v>733</v>
      </c>
    </row>
    <row r="1007" ht="18.75" customHeight="1">
      <c r="B1007" s="59"/>
      <c r="C1007" s="59"/>
      <c r="D1007" s="59" t="s">
        <v>733</v>
      </c>
      <c r="H1007" s="12"/>
      <c r="I1007" s="5"/>
      <c r="J1007" s="17"/>
      <c r="K1007" s="11"/>
      <c r="L1007" s="12"/>
      <c r="M1007" s="12"/>
      <c r="N1007" s="12"/>
      <c r="O1007" s="227" t="s">
        <v>733</v>
      </c>
    </row>
    <row r="1008" ht="18.75" customHeight="1">
      <c r="B1008" s="59"/>
      <c r="C1008" s="59"/>
      <c r="D1008" s="59" t="s">
        <v>733</v>
      </c>
      <c r="H1008" s="12"/>
      <c r="I1008" s="5"/>
      <c r="J1008" s="17"/>
      <c r="K1008" s="11"/>
      <c r="L1008" s="12"/>
      <c r="M1008" s="12"/>
      <c r="N1008" s="12"/>
      <c r="O1008" s="227" t="s">
        <v>733</v>
      </c>
    </row>
    <row r="1009" ht="18.75" customHeight="1">
      <c r="B1009" s="59"/>
      <c r="C1009" s="59"/>
      <c r="D1009" s="59" t="s">
        <v>733</v>
      </c>
      <c r="H1009" s="12"/>
      <c r="I1009" s="5"/>
      <c r="J1009" s="17"/>
      <c r="K1009" s="11"/>
      <c r="L1009" s="12"/>
      <c r="M1009" s="12"/>
      <c r="N1009" s="12"/>
      <c r="O1009" s="227" t="s">
        <v>733</v>
      </c>
    </row>
    <row r="1010" ht="18.75" customHeight="1">
      <c r="B1010" s="59"/>
      <c r="C1010" s="59"/>
      <c r="D1010" s="59" t="s">
        <v>733</v>
      </c>
      <c r="H1010" s="12"/>
      <c r="I1010" s="5"/>
      <c r="J1010" s="17"/>
      <c r="K1010" s="11"/>
      <c r="L1010" s="12"/>
      <c r="M1010" s="12"/>
      <c r="N1010" s="12"/>
      <c r="O1010" s="227" t="s">
        <v>733</v>
      </c>
    </row>
    <row r="1011" ht="18.75" customHeight="1">
      <c r="B1011" s="59"/>
      <c r="C1011" s="59"/>
      <c r="D1011" s="59" t="s">
        <v>733</v>
      </c>
      <c r="H1011" s="12"/>
      <c r="I1011" s="5"/>
      <c r="J1011" s="17"/>
      <c r="K1011" s="11"/>
      <c r="L1011" s="12"/>
      <c r="M1011" s="12"/>
      <c r="N1011" s="12"/>
      <c r="O1011" s="227" t="s">
        <v>733</v>
      </c>
    </row>
    <row r="1012" ht="18.75" customHeight="1">
      <c r="B1012" s="59"/>
      <c r="C1012" s="59"/>
      <c r="D1012" s="59" t="s">
        <v>733</v>
      </c>
      <c r="H1012" s="12"/>
      <c r="I1012" s="5"/>
      <c r="J1012" s="17"/>
      <c r="K1012" s="11"/>
      <c r="L1012" s="12"/>
      <c r="M1012" s="12"/>
      <c r="N1012" s="12"/>
      <c r="O1012" s="227" t="s">
        <v>733</v>
      </c>
    </row>
    <row r="1013" ht="18.75" customHeight="1">
      <c r="B1013" s="59"/>
      <c r="C1013" s="59"/>
      <c r="D1013" s="59" t="s">
        <v>733</v>
      </c>
      <c r="H1013" s="12"/>
      <c r="I1013" s="5"/>
      <c r="J1013" s="17"/>
      <c r="K1013" s="11"/>
      <c r="L1013" s="12"/>
      <c r="M1013" s="12"/>
      <c r="N1013" s="12"/>
      <c r="O1013" s="227" t="s">
        <v>733</v>
      </c>
    </row>
    <row r="1014" ht="18.75" customHeight="1">
      <c r="B1014" s="59"/>
      <c r="C1014" s="59"/>
      <c r="D1014" s="59" t="s">
        <v>733</v>
      </c>
      <c r="H1014" s="12"/>
      <c r="I1014" s="5"/>
      <c r="J1014" s="17"/>
      <c r="K1014" s="11"/>
      <c r="L1014" s="12"/>
      <c r="M1014" s="12"/>
      <c r="N1014" s="12"/>
      <c r="O1014" s="227" t="s">
        <v>733</v>
      </c>
    </row>
    <row r="1015" ht="18.75" customHeight="1">
      <c r="B1015" s="59"/>
      <c r="C1015" s="59"/>
      <c r="D1015" s="59" t="s">
        <v>733</v>
      </c>
      <c r="H1015" s="12"/>
      <c r="I1015" s="5"/>
      <c r="J1015" s="17"/>
      <c r="K1015" s="11"/>
      <c r="L1015" s="12"/>
      <c r="M1015" s="12"/>
      <c r="N1015" s="12"/>
      <c r="O1015" s="227" t="s">
        <v>733</v>
      </c>
    </row>
    <row r="1016" ht="18.75" customHeight="1">
      <c r="B1016" s="59"/>
      <c r="C1016" s="59"/>
      <c r="D1016" s="59" t="s">
        <v>733</v>
      </c>
      <c r="H1016" s="12"/>
      <c r="I1016" s="5"/>
      <c r="J1016" s="17"/>
      <c r="K1016" s="11"/>
      <c r="L1016" s="12"/>
      <c r="M1016" s="12"/>
      <c r="N1016" s="12"/>
      <c r="O1016" s="227" t="s">
        <v>733</v>
      </c>
    </row>
    <row r="1017" ht="18.75" customHeight="1">
      <c r="B1017" s="59"/>
      <c r="C1017" s="59"/>
      <c r="D1017" s="59" t="s">
        <v>733</v>
      </c>
      <c r="H1017" s="12"/>
      <c r="I1017" s="5"/>
      <c r="J1017" s="17"/>
      <c r="K1017" s="11"/>
      <c r="L1017" s="12"/>
      <c r="M1017" s="12"/>
      <c r="N1017" s="12"/>
      <c r="O1017" s="227" t="s">
        <v>733</v>
      </c>
    </row>
    <row r="1018" ht="18.75" customHeight="1">
      <c r="B1018" s="59"/>
      <c r="C1018" s="59"/>
      <c r="D1018" s="59" t="s">
        <v>733</v>
      </c>
      <c r="H1018" s="12"/>
      <c r="I1018" s="5"/>
      <c r="J1018" s="17"/>
      <c r="K1018" s="11"/>
      <c r="L1018" s="12"/>
      <c r="M1018" s="12"/>
      <c r="N1018" s="12"/>
      <c r="O1018" s="227" t="s">
        <v>733</v>
      </c>
    </row>
    <row r="1019" ht="18.75" customHeight="1">
      <c r="B1019" s="59"/>
      <c r="C1019" s="59"/>
      <c r="D1019" s="59" t="s">
        <v>733</v>
      </c>
      <c r="H1019" s="12"/>
      <c r="I1019" s="5"/>
      <c r="J1019" s="17"/>
      <c r="K1019" s="11"/>
      <c r="L1019" s="12"/>
      <c r="M1019" s="12"/>
      <c r="N1019" s="12"/>
      <c r="O1019" s="227" t="s">
        <v>733</v>
      </c>
    </row>
    <row r="1020" ht="18.75" customHeight="1">
      <c r="B1020" s="59"/>
      <c r="C1020" s="59"/>
      <c r="D1020" s="59" t="s">
        <v>733</v>
      </c>
      <c r="H1020" s="12"/>
      <c r="I1020" s="5"/>
      <c r="J1020" s="17"/>
      <c r="K1020" s="11"/>
      <c r="L1020" s="12"/>
      <c r="M1020" s="12"/>
      <c r="N1020" s="12"/>
      <c r="O1020" s="227" t="s">
        <v>733</v>
      </c>
    </row>
    <row r="1021" ht="18.75" customHeight="1">
      <c r="B1021" s="59"/>
      <c r="C1021" s="59"/>
      <c r="D1021" s="59" t="s">
        <v>733</v>
      </c>
      <c r="H1021" s="12"/>
      <c r="I1021" s="5"/>
      <c r="J1021" s="17"/>
      <c r="K1021" s="11"/>
      <c r="L1021" s="12"/>
      <c r="M1021" s="12"/>
      <c r="N1021" s="12"/>
      <c r="O1021" s="227" t="s">
        <v>733</v>
      </c>
    </row>
    <row r="1022" ht="18.75" customHeight="1">
      <c r="B1022" s="59"/>
      <c r="C1022" s="59"/>
      <c r="D1022" s="59" t="s">
        <v>733</v>
      </c>
      <c r="H1022" s="12"/>
      <c r="I1022" s="5"/>
      <c r="J1022" s="17"/>
      <c r="K1022" s="11"/>
      <c r="L1022" s="12"/>
      <c r="M1022" s="12"/>
      <c r="N1022" s="12"/>
      <c r="O1022" s="227" t="s">
        <v>733</v>
      </c>
    </row>
    <row r="1023" ht="18.75" customHeight="1">
      <c r="B1023" s="59"/>
      <c r="C1023" s="59"/>
      <c r="D1023" s="59" t="s">
        <v>733</v>
      </c>
      <c r="H1023" s="12"/>
      <c r="I1023" s="5"/>
      <c r="J1023" s="17"/>
      <c r="K1023" s="11"/>
      <c r="L1023" s="12"/>
      <c r="M1023" s="12"/>
      <c r="N1023" s="12"/>
      <c r="O1023" s="227" t="s">
        <v>733</v>
      </c>
    </row>
    <row r="1024" ht="18.75" customHeight="1">
      <c r="B1024" s="59"/>
      <c r="C1024" s="59"/>
      <c r="D1024" s="59" t="s">
        <v>733</v>
      </c>
      <c r="H1024" s="12"/>
      <c r="I1024" s="5"/>
      <c r="J1024" s="17"/>
      <c r="K1024" s="11"/>
      <c r="L1024" s="12"/>
      <c r="M1024" s="12"/>
      <c r="N1024" s="12"/>
      <c r="O1024" s="227" t="s">
        <v>733</v>
      </c>
    </row>
    <row r="1025" ht="18.75" customHeight="1">
      <c r="B1025" s="59"/>
      <c r="C1025" s="59"/>
      <c r="D1025" s="59" t="s">
        <v>733</v>
      </c>
      <c r="H1025" s="12"/>
      <c r="I1025" s="5"/>
      <c r="J1025" s="17"/>
      <c r="K1025" s="11"/>
      <c r="L1025" s="12"/>
      <c r="M1025" s="12"/>
      <c r="N1025" s="12"/>
      <c r="O1025" s="227" t="s">
        <v>733</v>
      </c>
    </row>
    <row r="1026" ht="18.75" customHeight="1">
      <c r="B1026" s="59"/>
      <c r="C1026" s="59"/>
      <c r="D1026" s="59" t="s">
        <v>733</v>
      </c>
      <c r="H1026" s="12"/>
      <c r="I1026" s="5"/>
      <c r="J1026" s="17"/>
      <c r="K1026" s="11"/>
      <c r="L1026" s="12"/>
      <c r="M1026" s="12"/>
      <c r="N1026" s="12"/>
      <c r="O1026" s="227" t="s">
        <v>733</v>
      </c>
    </row>
    <row r="1027" ht="18.75" customHeight="1">
      <c r="B1027" s="59"/>
      <c r="C1027" s="59"/>
      <c r="D1027" s="59" t="s">
        <v>733</v>
      </c>
      <c r="H1027" s="12"/>
      <c r="I1027" s="5"/>
      <c r="J1027" s="17"/>
      <c r="K1027" s="11"/>
      <c r="L1027" s="12"/>
      <c r="M1027" s="12"/>
      <c r="N1027" s="12"/>
      <c r="O1027" s="227" t="s">
        <v>733</v>
      </c>
    </row>
    <row r="1028" ht="18.75" customHeight="1">
      <c r="B1028" s="59"/>
      <c r="C1028" s="59"/>
      <c r="D1028" s="59" t="s">
        <v>733</v>
      </c>
      <c r="H1028" s="12"/>
      <c r="I1028" s="5"/>
      <c r="J1028" s="17"/>
      <c r="K1028" s="11"/>
      <c r="L1028" s="12"/>
      <c r="M1028" s="12"/>
      <c r="N1028" s="12"/>
      <c r="O1028" s="227" t="s">
        <v>733</v>
      </c>
    </row>
    <row r="1029" ht="18.75" customHeight="1">
      <c r="B1029" s="59"/>
      <c r="C1029" s="59"/>
      <c r="D1029" s="59" t="s">
        <v>733</v>
      </c>
      <c r="H1029" s="12"/>
      <c r="I1029" s="5"/>
      <c r="J1029" s="17"/>
      <c r="K1029" s="11"/>
      <c r="L1029" s="12"/>
      <c r="M1029" s="12"/>
      <c r="N1029" s="12"/>
      <c r="O1029" s="227" t="s">
        <v>733</v>
      </c>
    </row>
    <row r="1030" ht="18.75" customHeight="1">
      <c r="B1030" s="59"/>
      <c r="C1030" s="59"/>
      <c r="D1030" s="59" t="s">
        <v>733</v>
      </c>
      <c r="H1030" s="12"/>
      <c r="I1030" s="5"/>
      <c r="J1030" s="17"/>
      <c r="K1030" s="11"/>
      <c r="L1030" s="12"/>
      <c r="M1030" s="12"/>
      <c r="N1030" s="12"/>
      <c r="O1030" s="227" t="s">
        <v>733</v>
      </c>
    </row>
    <row r="1031" ht="18.75" customHeight="1">
      <c r="B1031" s="59"/>
      <c r="C1031" s="59"/>
      <c r="D1031" s="59" t="s">
        <v>733</v>
      </c>
      <c r="H1031" s="12"/>
      <c r="I1031" s="5"/>
      <c r="J1031" s="17"/>
      <c r="K1031" s="11"/>
      <c r="L1031" s="12"/>
      <c r="M1031" s="12"/>
      <c r="N1031" s="12"/>
      <c r="O1031" s="227" t="s">
        <v>733</v>
      </c>
    </row>
    <row r="1032" ht="18.75" customHeight="1">
      <c r="B1032" s="59"/>
      <c r="C1032" s="59"/>
      <c r="D1032" s="59" t="s">
        <v>733</v>
      </c>
      <c r="H1032" s="12"/>
      <c r="I1032" s="5"/>
      <c r="J1032" s="17"/>
      <c r="K1032" s="11"/>
      <c r="L1032" s="12"/>
      <c r="M1032" s="12"/>
      <c r="N1032" s="12"/>
      <c r="O1032" s="227" t="s">
        <v>733</v>
      </c>
    </row>
    <row r="1033" ht="18.75" customHeight="1">
      <c r="B1033" s="59"/>
      <c r="C1033" s="59"/>
      <c r="D1033" s="59" t="s">
        <v>733</v>
      </c>
      <c r="H1033" s="12"/>
      <c r="I1033" s="5"/>
      <c r="J1033" s="17"/>
      <c r="K1033" s="11"/>
      <c r="L1033" s="12"/>
      <c r="M1033" s="12"/>
      <c r="N1033" s="12"/>
      <c r="O1033" s="227" t="s">
        <v>733</v>
      </c>
    </row>
    <row r="1034" ht="18.75" customHeight="1">
      <c r="B1034" s="59"/>
      <c r="C1034" s="59"/>
      <c r="D1034" s="59" t="s">
        <v>733</v>
      </c>
      <c r="H1034" s="12"/>
      <c r="I1034" s="5"/>
      <c r="J1034" s="17"/>
      <c r="K1034" s="11"/>
      <c r="L1034" s="12"/>
      <c r="M1034" s="12"/>
      <c r="N1034" s="12"/>
      <c r="O1034" s="227" t="s">
        <v>733</v>
      </c>
    </row>
    <row r="1035" ht="18.75" customHeight="1">
      <c r="B1035" s="59"/>
      <c r="C1035" s="59"/>
      <c r="D1035" s="59" t="s">
        <v>733</v>
      </c>
      <c r="H1035" s="12"/>
      <c r="I1035" s="5"/>
      <c r="J1035" s="17"/>
      <c r="K1035" s="11"/>
      <c r="L1035" s="12"/>
      <c r="M1035" s="12"/>
      <c r="N1035" s="12"/>
      <c r="O1035" s="227" t="s">
        <v>733</v>
      </c>
    </row>
    <row r="1036" ht="18.75" customHeight="1">
      <c r="B1036" s="59"/>
      <c r="C1036" s="59"/>
      <c r="D1036" s="59" t="s">
        <v>733</v>
      </c>
      <c r="H1036" s="12"/>
      <c r="I1036" s="5"/>
      <c r="J1036" s="17"/>
      <c r="K1036" s="11"/>
      <c r="L1036" s="12"/>
      <c r="M1036" s="12"/>
      <c r="N1036" s="12"/>
      <c r="O1036" s="227" t="s">
        <v>733</v>
      </c>
    </row>
    <row r="1037" ht="18.75" customHeight="1">
      <c r="B1037" s="59"/>
      <c r="C1037" s="59"/>
      <c r="D1037" s="59" t="s">
        <v>733</v>
      </c>
      <c r="H1037" s="12"/>
      <c r="I1037" s="5"/>
      <c r="J1037" s="17"/>
      <c r="K1037" s="11"/>
      <c r="L1037" s="12"/>
      <c r="M1037" s="12"/>
      <c r="N1037" s="12"/>
      <c r="O1037" s="227" t="s">
        <v>733</v>
      </c>
    </row>
    <row r="1038" ht="18.75" customHeight="1">
      <c r="B1038" s="59"/>
      <c r="C1038" s="59"/>
      <c r="D1038" s="59" t="s">
        <v>733</v>
      </c>
      <c r="H1038" s="12"/>
      <c r="I1038" s="5"/>
      <c r="J1038" s="17"/>
      <c r="K1038" s="11"/>
      <c r="L1038" s="12"/>
      <c r="M1038" s="12"/>
      <c r="N1038" s="12"/>
      <c r="O1038" s="227" t="s">
        <v>733</v>
      </c>
    </row>
    <row r="1039" ht="18.75" customHeight="1">
      <c r="B1039" s="59"/>
      <c r="C1039" s="59"/>
      <c r="D1039" s="59" t="s">
        <v>733</v>
      </c>
      <c r="H1039" s="12"/>
      <c r="I1039" s="5"/>
      <c r="J1039" s="17"/>
      <c r="K1039" s="11"/>
      <c r="L1039" s="12"/>
      <c r="M1039" s="12"/>
      <c r="N1039" s="12"/>
      <c r="O1039" s="227" t="s">
        <v>733</v>
      </c>
    </row>
    <row r="1040" ht="18.75" customHeight="1">
      <c r="B1040" s="59"/>
      <c r="C1040" s="59"/>
      <c r="D1040" s="59" t="s">
        <v>733</v>
      </c>
      <c r="H1040" s="12"/>
      <c r="I1040" s="5"/>
      <c r="J1040" s="17"/>
      <c r="K1040" s="11"/>
      <c r="L1040" s="12"/>
      <c r="M1040" s="12"/>
      <c r="N1040" s="12"/>
      <c r="O1040" s="227" t="s">
        <v>733</v>
      </c>
    </row>
    <row r="1041" ht="18.75" customHeight="1">
      <c r="B1041" s="59"/>
      <c r="C1041" s="59"/>
      <c r="D1041" s="59" t="s">
        <v>733</v>
      </c>
      <c r="H1041" s="12"/>
      <c r="I1041" s="5"/>
      <c r="J1041" s="17"/>
      <c r="K1041" s="11"/>
      <c r="L1041" s="12"/>
      <c r="M1041" s="12"/>
      <c r="N1041" s="12"/>
      <c r="O1041" s="227" t="s">
        <v>733</v>
      </c>
    </row>
    <row r="1042" ht="18.75" customHeight="1">
      <c r="B1042" s="59"/>
      <c r="C1042" s="59"/>
      <c r="D1042" s="59" t="s">
        <v>733</v>
      </c>
      <c r="H1042" s="12"/>
      <c r="I1042" s="5"/>
      <c r="J1042" s="17"/>
      <c r="K1042" s="11"/>
      <c r="L1042" s="12"/>
      <c r="M1042" s="12"/>
      <c r="N1042" s="12"/>
      <c r="O1042" s="227" t="s">
        <v>733</v>
      </c>
    </row>
    <row r="1043" ht="18.75" customHeight="1">
      <c r="B1043" s="59"/>
      <c r="C1043" s="59"/>
      <c r="D1043" s="59" t="s">
        <v>733</v>
      </c>
      <c r="H1043" s="12"/>
      <c r="I1043" s="5"/>
      <c r="J1043" s="17"/>
      <c r="K1043" s="11"/>
      <c r="L1043" s="12"/>
      <c r="M1043" s="12"/>
      <c r="N1043" s="12"/>
      <c r="O1043" s="227" t="s">
        <v>733</v>
      </c>
    </row>
    <row r="1044" ht="18.75" customHeight="1">
      <c r="B1044" s="59"/>
      <c r="C1044" s="59"/>
      <c r="D1044" s="59" t="s">
        <v>733</v>
      </c>
      <c r="H1044" s="12"/>
      <c r="I1044" s="5"/>
      <c r="J1044" s="17"/>
      <c r="K1044" s="11"/>
      <c r="L1044" s="12"/>
      <c r="M1044" s="12"/>
      <c r="N1044" s="12"/>
      <c r="O1044" s="227" t="s">
        <v>733</v>
      </c>
    </row>
    <row r="1045" ht="18.75" customHeight="1">
      <c r="B1045" s="59"/>
      <c r="C1045" s="59"/>
      <c r="D1045" s="59" t="s">
        <v>733</v>
      </c>
      <c r="H1045" s="12"/>
      <c r="I1045" s="5"/>
      <c r="J1045" s="17"/>
      <c r="K1045" s="11"/>
      <c r="L1045" s="12"/>
      <c r="M1045" s="12"/>
      <c r="N1045" s="12"/>
      <c r="O1045" s="227" t="s">
        <v>733</v>
      </c>
    </row>
    <row r="1046" ht="18.75" customHeight="1">
      <c r="B1046" s="59"/>
      <c r="C1046" s="59"/>
      <c r="D1046" s="59" t="s">
        <v>733</v>
      </c>
      <c r="H1046" s="12"/>
      <c r="I1046" s="5"/>
      <c r="J1046" s="17"/>
      <c r="K1046" s="11"/>
      <c r="L1046" s="12"/>
      <c r="M1046" s="12"/>
      <c r="N1046" s="12"/>
      <c r="O1046" s="227" t="s">
        <v>733</v>
      </c>
    </row>
    <row r="1047" ht="18.75" customHeight="1">
      <c r="B1047" s="59"/>
      <c r="C1047" s="59"/>
      <c r="D1047" s="59" t="s">
        <v>733</v>
      </c>
      <c r="H1047" s="12"/>
      <c r="I1047" s="5"/>
      <c r="J1047" s="17"/>
      <c r="K1047" s="11"/>
      <c r="L1047" s="12"/>
      <c r="M1047" s="12"/>
      <c r="N1047" s="12"/>
      <c r="O1047" s="227" t="s">
        <v>733</v>
      </c>
    </row>
    <row r="1048" ht="18.75" customHeight="1">
      <c r="B1048" s="59"/>
      <c r="C1048" s="59"/>
      <c r="D1048" s="59" t="s">
        <v>733</v>
      </c>
      <c r="H1048" s="12"/>
      <c r="I1048" s="5"/>
      <c r="J1048" s="17"/>
      <c r="K1048" s="11"/>
      <c r="L1048" s="12"/>
      <c r="M1048" s="12"/>
      <c r="N1048" s="12"/>
      <c r="O1048" s="227" t="s">
        <v>733</v>
      </c>
    </row>
    <row r="1049" ht="18.75" customHeight="1">
      <c r="B1049" s="59"/>
      <c r="C1049" s="59"/>
      <c r="D1049" s="59" t="s">
        <v>733</v>
      </c>
      <c r="H1049" s="12"/>
      <c r="I1049" s="5"/>
      <c r="J1049" s="17"/>
      <c r="K1049" s="11"/>
      <c r="L1049" s="12"/>
      <c r="M1049" s="12"/>
      <c r="N1049" s="12"/>
      <c r="O1049" s="227" t="s">
        <v>733</v>
      </c>
    </row>
    <row r="1050" ht="18.75" customHeight="1">
      <c r="B1050" s="59"/>
      <c r="C1050" s="59"/>
      <c r="D1050" s="59" t="s">
        <v>733</v>
      </c>
      <c r="H1050" s="12"/>
      <c r="I1050" s="5"/>
      <c r="J1050" s="17"/>
      <c r="K1050" s="11"/>
      <c r="L1050" s="12"/>
      <c r="M1050" s="12"/>
      <c r="N1050" s="12"/>
      <c r="O1050" s="227" t="s">
        <v>733</v>
      </c>
    </row>
    <row r="1051" ht="18.75" customHeight="1">
      <c r="B1051" s="59"/>
      <c r="C1051" s="59"/>
      <c r="D1051" s="59" t="s">
        <v>733</v>
      </c>
      <c r="H1051" s="12"/>
      <c r="I1051" s="5"/>
      <c r="J1051" s="17"/>
      <c r="K1051" s="11"/>
      <c r="L1051" s="12"/>
      <c r="M1051" s="12"/>
      <c r="N1051" s="12"/>
      <c r="O1051" s="227" t="s">
        <v>733</v>
      </c>
    </row>
    <row r="1052" ht="18.75" customHeight="1">
      <c r="B1052" s="59"/>
      <c r="C1052" s="59"/>
      <c r="D1052" s="59" t="s">
        <v>733</v>
      </c>
      <c r="H1052" s="12"/>
      <c r="I1052" s="5"/>
      <c r="J1052" s="17"/>
      <c r="K1052" s="11"/>
      <c r="L1052" s="12"/>
      <c r="M1052" s="12"/>
      <c r="N1052" s="12"/>
      <c r="O1052" s="227" t="s">
        <v>733</v>
      </c>
    </row>
    <row r="1053" ht="18.75" customHeight="1">
      <c r="B1053" s="59"/>
      <c r="C1053" s="59"/>
      <c r="D1053" s="59" t="s">
        <v>733</v>
      </c>
      <c r="H1053" s="12"/>
      <c r="I1053" s="5"/>
      <c r="J1053" s="17"/>
      <c r="K1053" s="11"/>
      <c r="L1053" s="12"/>
      <c r="M1053" s="12"/>
      <c r="N1053" s="12"/>
      <c r="O1053" s="227" t="s">
        <v>733</v>
      </c>
    </row>
    <row r="1054" ht="18.75" customHeight="1">
      <c r="B1054" s="59"/>
      <c r="C1054" s="59"/>
      <c r="D1054" s="59" t="s">
        <v>733</v>
      </c>
      <c r="H1054" s="12"/>
      <c r="I1054" s="5"/>
      <c r="J1054" s="17"/>
      <c r="K1054" s="11"/>
      <c r="L1054" s="12"/>
      <c r="M1054" s="12"/>
      <c r="N1054" s="12"/>
      <c r="O1054" s="227" t="s">
        <v>733</v>
      </c>
    </row>
    <row r="1055" ht="18.75" customHeight="1">
      <c r="B1055" s="59"/>
      <c r="C1055" s="59"/>
      <c r="D1055" s="59" t="s">
        <v>733</v>
      </c>
      <c r="H1055" s="12"/>
      <c r="I1055" s="5"/>
      <c r="J1055" s="17"/>
      <c r="K1055" s="11"/>
      <c r="L1055" s="12"/>
      <c r="M1055" s="12"/>
      <c r="N1055" s="12"/>
      <c r="O1055" s="227" t="s">
        <v>733</v>
      </c>
    </row>
    <row r="1056" ht="18.75" customHeight="1">
      <c r="B1056" s="59"/>
      <c r="C1056" s="59"/>
      <c r="D1056" s="59" t="s">
        <v>733</v>
      </c>
      <c r="H1056" s="12"/>
      <c r="I1056" s="5"/>
      <c r="J1056" s="17"/>
      <c r="K1056" s="11"/>
      <c r="L1056" s="12"/>
      <c r="M1056" s="12"/>
      <c r="N1056" s="12"/>
      <c r="O1056" s="227" t="s">
        <v>733</v>
      </c>
    </row>
    <row r="1057" ht="18.75" customHeight="1">
      <c r="B1057" s="59"/>
      <c r="C1057" s="59"/>
      <c r="D1057" s="59" t="s">
        <v>733</v>
      </c>
      <c r="H1057" s="12"/>
      <c r="I1057" s="5"/>
      <c r="J1057" s="17"/>
      <c r="K1057" s="11"/>
      <c r="L1057" s="12"/>
      <c r="M1057" s="12"/>
      <c r="N1057" s="12"/>
      <c r="O1057" s="227" t="s">
        <v>733</v>
      </c>
    </row>
    <row r="1058" ht="18.75" customHeight="1">
      <c r="B1058" s="59"/>
      <c r="C1058" s="59"/>
      <c r="D1058" s="59" t="s">
        <v>733</v>
      </c>
      <c r="H1058" s="12"/>
      <c r="I1058" s="5"/>
      <c r="J1058" s="17"/>
      <c r="K1058" s="11"/>
      <c r="L1058" s="12"/>
      <c r="M1058" s="12"/>
      <c r="N1058" s="12"/>
      <c r="O1058" s="227" t="s">
        <v>733</v>
      </c>
    </row>
    <row r="1059" ht="18.75" customHeight="1">
      <c r="B1059" s="59"/>
      <c r="C1059" s="59"/>
      <c r="D1059" s="59" t="s">
        <v>733</v>
      </c>
      <c r="H1059" s="12"/>
      <c r="I1059" s="5"/>
      <c r="J1059" s="17"/>
      <c r="K1059" s="11"/>
      <c r="L1059" s="12"/>
      <c r="M1059" s="12"/>
      <c r="N1059" s="12"/>
      <c r="O1059" s="227" t="s">
        <v>733</v>
      </c>
    </row>
    <row r="1060" ht="18.75" customHeight="1">
      <c r="B1060" s="59"/>
      <c r="C1060" s="59"/>
      <c r="D1060" s="59" t="s">
        <v>733</v>
      </c>
      <c r="H1060" s="12"/>
      <c r="I1060" s="5"/>
      <c r="J1060" s="17"/>
      <c r="K1060" s="11"/>
      <c r="L1060" s="12"/>
      <c r="M1060" s="12"/>
      <c r="N1060" s="12"/>
      <c r="O1060" s="227" t="s">
        <v>733</v>
      </c>
    </row>
    <row r="1061" ht="18.75" customHeight="1">
      <c r="B1061" s="59"/>
      <c r="C1061" s="59"/>
      <c r="D1061" s="59" t="s">
        <v>733</v>
      </c>
      <c r="H1061" s="12"/>
      <c r="I1061" s="5"/>
      <c r="J1061" s="17"/>
      <c r="K1061" s="11"/>
      <c r="L1061" s="12"/>
      <c r="M1061" s="12"/>
      <c r="N1061" s="12"/>
      <c r="O1061" s="227" t="s">
        <v>733</v>
      </c>
    </row>
    <row r="1062" ht="18.75" customHeight="1">
      <c r="B1062" s="59"/>
      <c r="C1062" s="59"/>
      <c r="D1062" s="59" t="s">
        <v>733</v>
      </c>
      <c r="H1062" s="12"/>
      <c r="I1062" s="5"/>
      <c r="J1062" s="17"/>
      <c r="K1062" s="11"/>
      <c r="L1062" s="12"/>
      <c r="M1062" s="12"/>
      <c r="N1062" s="12"/>
      <c r="O1062" s="227" t="s">
        <v>733</v>
      </c>
    </row>
    <row r="1063" ht="18.75" customHeight="1">
      <c r="B1063" s="59"/>
      <c r="C1063" s="59"/>
      <c r="D1063" s="59" t="s">
        <v>733</v>
      </c>
      <c r="H1063" s="12"/>
      <c r="I1063" s="5"/>
      <c r="J1063" s="17"/>
      <c r="K1063" s="11"/>
      <c r="L1063" s="12"/>
      <c r="M1063" s="12"/>
      <c r="N1063" s="12"/>
      <c r="O1063" s="227" t="s">
        <v>733</v>
      </c>
    </row>
    <row r="1064" ht="18.75" customHeight="1">
      <c r="B1064" s="59"/>
      <c r="C1064" s="59"/>
      <c r="D1064" s="59" t="s">
        <v>733</v>
      </c>
      <c r="H1064" s="12"/>
      <c r="I1064" s="5"/>
      <c r="J1064" s="17"/>
      <c r="K1064" s="11"/>
      <c r="L1064" s="12"/>
      <c r="M1064" s="12"/>
      <c r="N1064" s="12"/>
      <c r="O1064" s="227" t="s">
        <v>733</v>
      </c>
    </row>
    <row r="1065" ht="18.75" customHeight="1">
      <c r="B1065" s="59"/>
      <c r="C1065" s="59"/>
      <c r="D1065" s="59" t="s">
        <v>733</v>
      </c>
      <c r="H1065" s="12"/>
      <c r="I1065" s="5"/>
      <c r="J1065" s="17"/>
      <c r="K1065" s="11"/>
      <c r="L1065" s="12"/>
      <c r="M1065" s="12"/>
      <c r="N1065" s="12"/>
      <c r="O1065" s="227" t="s">
        <v>733</v>
      </c>
    </row>
    <row r="1066" ht="18.75" customHeight="1">
      <c r="B1066" s="59"/>
      <c r="C1066" s="59"/>
      <c r="D1066" s="59" t="s">
        <v>733</v>
      </c>
      <c r="H1066" s="12"/>
      <c r="I1066" s="5"/>
      <c r="J1066" s="17"/>
      <c r="K1066" s="11"/>
      <c r="L1066" s="12"/>
      <c r="M1066" s="12"/>
      <c r="N1066" s="12"/>
      <c r="O1066" s="227" t="s">
        <v>733</v>
      </c>
    </row>
    <row r="1067" ht="18.75" customHeight="1">
      <c r="B1067" s="59"/>
      <c r="C1067" s="59"/>
      <c r="D1067" s="59" t="s">
        <v>733</v>
      </c>
      <c r="H1067" s="12"/>
      <c r="I1067" s="5"/>
      <c r="J1067" s="17"/>
      <c r="K1067" s="11"/>
      <c r="L1067" s="12"/>
      <c r="M1067" s="12"/>
      <c r="N1067" s="12"/>
      <c r="O1067" s="227" t="s">
        <v>733</v>
      </c>
    </row>
    <row r="1068" ht="18.75" customHeight="1">
      <c r="B1068" s="59"/>
      <c r="C1068" s="59"/>
      <c r="D1068" s="59" t="s">
        <v>733</v>
      </c>
      <c r="H1068" s="12"/>
      <c r="I1068" s="5"/>
      <c r="J1068" s="17"/>
      <c r="K1068" s="11"/>
      <c r="L1068" s="12"/>
      <c r="M1068" s="12"/>
      <c r="N1068" s="12"/>
      <c r="O1068" s="227" t="s">
        <v>733</v>
      </c>
    </row>
    <row r="1069" ht="18.75" customHeight="1">
      <c r="B1069" s="59"/>
      <c r="C1069" s="59"/>
      <c r="D1069" s="59" t="s">
        <v>733</v>
      </c>
      <c r="H1069" s="12"/>
      <c r="I1069" s="5"/>
      <c r="J1069" s="17"/>
      <c r="K1069" s="11"/>
      <c r="L1069" s="12"/>
      <c r="M1069" s="12"/>
      <c r="N1069" s="12"/>
      <c r="O1069" s="227" t="s">
        <v>733</v>
      </c>
    </row>
    <row r="1070" ht="18.75" customHeight="1">
      <c r="B1070" s="59"/>
      <c r="C1070" s="59"/>
      <c r="D1070" s="59" t="s">
        <v>733</v>
      </c>
      <c r="H1070" s="12"/>
      <c r="I1070" s="5"/>
      <c r="J1070" s="17"/>
      <c r="K1070" s="11"/>
      <c r="L1070" s="12"/>
      <c r="M1070" s="12"/>
      <c r="N1070" s="12"/>
      <c r="O1070" s="227" t="s">
        <v>733</v>
      </c>
    </row>
    <row r="1071" ht="18.75" customHeight="1">
      <c r="B1071" s="59"/>
      <c r="C1071" s="59"/>
      <c r="D1071" s="59" t="s">
        <v>733</v>
      </c>
      <c r="H1071" s="12"/>
      <c r="I1071" s="5"/>
      <c r="J1071" s="17"/>
      <c r="K1071" s="11"/>
      <c r="L1071" s="12"/>
      <c r="M1071" s="12"/>
      <c r="N1071" s="12"/>
      <c r="O1071" s="227" t="s">
        <v>733</v>
      </c>
    </row>
    <row r="1072" ht="18.75" customHeight="1">
      <c r="B1072" s="59"/>
      <c r="C1072" s="59"/>
      <c r="D1072" s="59" t="s">
        <v>733</v>
      </c>
      <c r="H1072" s="12"/>
      <c r="I1072" s="5"/>
      <c r="J1072" s="17"/>
      <c r="K1072" s="11"/>
      <c r="L1072" s="12"/>
      <c r="M1072" s="12"/>
      <c r="N1072" s="12"/>
      <c r="O1072" s="227" t="s">
        <v>733</v>
      </c>
    </row>
    <row r="1073" ht="18.75" customHeight="1">
      <c r="B1073" s="59"/>
      <c r="C1073" s="59"/>
      <c r="D1073" s="59" t="s">
        <v>733</v>
      </c>
      <c r="H1073" s="12"/>
      <c r="I1073" s="5"/>
      <c r="J1073" s="17"/>
      <c r="K1073" s="11"/>
      <c r="L1073" s="12"/>
      <c r="M1073" s="12"/>
      <c r="N1073" s="12"/>
      <c r="O1073" s="227" t="s">
        <v>733</v>
      </c>
    </row>
    <row r="1074" ht="18.75" customHeight="1">
      <c r="B1074" s="59"/>
      <c r="C1074" s="59"/>
      <c r="D1074" s="59" t="s">
        <v>733</v>
      </c>
      <c r="H1074" s="12"/>
      <c r="I1074" s="5"/>
      <c r="J1074" s="17"/>
      <c r="K1074" s="11"/>
      <c r="L1074" s="12"/>
      <c r="M1074" s="12"/>
      <c r="N1074" s="12"/>
      <c r="O1074" s="227" t="s">
        <v>733</v>
      </c>
    </row>
    <row r="1075" ht="18.75" customHeight="1">
      <c r="B1075" s="59"/>
      <c r="C1075" s="59"/>
      <c r="D1075" s="59" t="s">
        <v>733</v>
      </c>
      <c r="H1075" s="12"/>
      <c r="I1075" s="5"/>
      <c r="J1075" s="17"/>
      <c r="K1075" s="11"/>
      <c r="L1075" s="12"/>
      <c r="M1075" s="12"/>
      <c r="N1075" s="12"/>
      <c r="O1075" s="227" t="s">
        <v>733</v>
      </c>
    </row>
    <row r="1076" ht="18.75" customHeight="1">
      <c r="B1076" s="59"/>
      <c r="C1076" s="59"/>
      <c r="D1076" s="59" t="s">
        <v>733</v>
      </c>
      <c r="H1076" s="12"/>
      <c r="I1076" s="5"/>
      <c r="J1076" s="17"/>
      <c r="K1076" s="11"/>
      <c r="L1076" s="12"/>
      <c r="M1076" s="12"/>
      <c r="N1076" s="12"/>
      <c r="O1076" s="227" t="s">
        <v>733</v>
      </c>
    </row>
    <row r="1077" ht="18.75" customHeight="1">
      <c r="B1077" s="59"/>
      <c r="C1077" s="59"/>
      <c r="D1077" s="59" t="s">
        <v>733</v>
      </c>
      <c r="H1077" s="12"/>
      <c r="I1077" s="5"/>
      <c r="J1077" s="17"/>
      <c r="K1077" s="11"/>
      <c r="L1077" s="12"/>
      <c r="M1077" s="12"/>
      <c r="N1077" s="12"/>
      <c r="O1077" s="227" t="s">
        <v>733</v>
      </c>
    </row>
    <row r="1078" ht="18.75" customHeight="1">
      <c r="B1078" s="59"/>
      <c r="C1078" s="59"/>
      <c r="D1078" s="59" t="s">
        <v>733</v>
      </c>
      <c r="H1078" s="12"/>
      <c r="I1078" s="5"/>
      <c r="J1078" s="17"/>
      <c r="K1078" s="11"/>
      <c r="L1078" s="12"/>
      <c r="M1078" s="12"/>
      <c r="N1078" s="12"/>
      <c r="O1078" s="227" t="s">
        <v>733</v>
      </c>
    </row>
    <row r="1079" ht="18.75" customHeight="1">
      <c r="B1079" s="59"/>
      <c r="C1079" s="59"/>
      <c r="D1079" s="59" t="s">
        <v>733</v>
      </c>
      <c r="H1079" s="12"/>
      <c r="I1079" s="5"/>
      <c r="J1079" s="17"/>
      <c r="K1079" s="11"/>
      <c r="L1079" s="12"/>
      <c r="M1079" s="12"/>
      <c r="N1079" s="12"/>
      <c r="O1079" s="227" t="s">
        <v>733</v>
      </c>
    </row>
    <row r="1080" ht="18.75" customHeight="1">
      <c r="B1080" s="59"/>
      <c r="C1080" s="59"/>
      <c r="D1080" s="59" t="s">
        <v>733</v>
      </c>
      <c r="H1080" s="12"/>
      <c r="I1080" s="5"/>
      <c r="J1080" s="17"/>
      <c r="K1080" s="11"/>
      <c r="L1080" s="12"/>
      <c r="M1080" s="12"/>
      <c r="N1080" s="12"/>
      <c r="O1080" s="227" t="s">
        <v>733</v>
      </c>
    </row>
    <row r="1081" ht="18.75" customHeight="1">
      <c r="B1081" s="59"/>
      <c r="C1081" s="59"/>
      <c r="D1081" s="59" t="s">
        <v>733</v>
      </c>
      <c r="H1081" s="12"/>
      <c r="I1081" s="5"/>
      <c r="J1081" s="17"/>
      <c r="K1081" s="11"/>
      <c r="L1081" s="12"/>
      <c r="M1081" s="12"/>
      <c r="N1081" s="12"/>
      <c r="O1081" s="227" t="s">
        <v>733</v>
      </c>
    </row>
    <row r="1082" ht="18.75" customHeight="1">
      <c r="B1082" s="59"/>
      <c r="C1082" s="59"/>
      <c r="D1082" s="59" t="s">
        <v>733</v>
      </c>
      <c r="H1082" s="12"/>
      <c r="I1082" s="5"/>
      <c r="J1082" s="17"/>
      <c r="K1082" s="11"/>
      <c r="L1082" s="12"/>
      <c r="M1082" s="12"/>
      <c r="N1082" s="12"/>
      <c r="O1082" s="227" t="s">
        <v>733</v>
      </c>
    </row>
    <row r="1083" ht="18.75" customHeight="1">
      <c r="B1083" s="59"/>
      <c r="C1083" s="59"/>
      <c r="D1083" s="59" t="s">
        <v>733</v>
      </c>
      <c r="H1083" s="12"/>
      <c r="I1083" s="5"/>
      <c r="J1083" s="17"/>
      <c r="K1083" s="11"/>
      <c r="L1083" s="12"/>
      <c r="M1083" s="12"/>
      <c r="N1083" s="12"/>
      <c r="O1083" s="227" t="s">
        <v>733</v>
      </c>
    </row>
    <row r="1084" ht="18.75" customHeight="1">
      <c r="B1084" s="59"/>
      <c r="C1084" s="59"/>
      <c r="D1084" s="59" t="s">
        <v>733</v>
      </c>
      <c r="H1084" s="12"/>
      <c r="I1084" s="5"/>
      <c r="J1084" s="17"/>
      <c r="K1084" s="11"/>
      <c r="L1084" s="12"/>
      <c r="M1084" s="12"/>
      <c r="N1084" s="12"/>
      <c r="O1084" s="227" t="s">
        <v>733</v>
      </c>
    </row>
    <row r="1085" ht="18.75" customHeight="1">
      <c r="B1085" s="59"/>
      <c r="C1085" s="59"/>
      <c r="D1085" s="59" t="s">
        <v>733</v>
      </c>
      <c r="H1085" s="12"/>
      <c r="I1085" s="5"/>
      <c r="J1085" s="17"/>
      <c r="K1085" s="11"/>
      <c r="L1085" s="12"/>
      <c r="M1085" s="12"/>
      <c r="N1085" s="12"/>
      <c r="O1085" s="227" t="s">
        <v>733</v>
      </c>
    </row>
    <row r="1086" ht="18.75" customHeight="1">
      <c r="B1086" s="59"/>
      <c r="C1086" s="59"/>
      <c r="D1086" s="59" t="s">
        <v>733</v>
      </c>
      <c r="H1086" s="12"/>
      <c r="I1086" s="5"/>
      <c r="J1086" s="17"/>
      <c r="K1086" s="11"/>
      <c r="L1086" s="12"/>
      <c r="M1086" s="12"/>
      <c r="N1086" s="12"/>
      <c r="O1086" s="227" t="s">
        <v>733</v>
      </c>
    </row>
    <row r="1087" ht="18.75" customHeight="1">
      <c r="B1087" s="59"/>
      <c r="C1087" s="59"/>
      <c r="D1087" s="59" t="s">
        <v>733</v>
      </c>
      <c r="H1087" s="12"/>
      <c r="I1087" s="5"/>
      <c r="J1087" s="17"/>
      <c r="K1087" s="11"/>
      <c r="L1087" s="12"/>
      <c r="M1087" s="12"/>
      <c r="N1087" s="12"/>
      <c r="O1087" s="227" t="s">
        <v>733</v>
      </c>
    </row>
    <row r="1088" ht="18.75" customHeight="1">
      <c r="B1088" s="59"/>
      <c r="C1088" s="59"/>
      <c r="D1088" s="59" t="s">
        <v>733</v>
      </c>
      <c r="H1088" s="12"/>
      <c r="I1088" s="5"/>
      <c r="J1088" s="17"/>
      <c r="K1088" s="11"/>
      <c r="L1088" s="12"/>
      <c r="M1088" s="12"/>
      <c r="N1088" s="12"/>
      <c r="O1088" s="227" t="s">
        <v>733</v>
      </c>
    </row>
    <row r="1089" ht="18.75" customHeight="1">
      <c r="B1089" s="59"/>
      <c r="C1089" s="59"/>
      <c r="D1089" s="59" t="s">
        <v>733</v>
      </c>
      <c r="H1089" s="12"/>
      <c r="I1089" s="5"/>
      <c r="J1089" s="17"/>
      <c r="K1089" s="11"/>
      <c r="L1089" s="12"/>
      <c r="M1089" s="12"/>
      <c r="N1089" s="12"/>
      <c r="O1089" s="227" t="s">
        <v>733</v>
      </c>
    </row>
    <row r="1090" ht="18.75" customHeight="1">
      <c r="B1090" s="59"/>
      <c r="C1090" s="59"/>
      <c r="D1090" s="59" t="s">
        <v>733</v>
      </c>
      <c r="H1090" s="12"/>
      <c r="I1090" s="5"/>
      <c r="J1090" s="17"/>
      <c r="K1090" s="11"/>
      <c r="L1090" s="12"/>
      <c r="M1090" s="12"/>
      <c r="N1090" s="12"/>
      <c r="O1090" s="227" t="s">
        <v>733</v>
      </c>
    </row>
    <row r="1091" ht="18.75" customHeight="1">
      <c r="B1091" s="59"/>
      <c r="C1091" s="59"/>
      <c r="D1091" s="59" t="s">
        <v>733</v>
      </c>
      <c r="H1091" s="12"/>
      <c r="I1091" s="5"/>
      <c r="J1091" s="17"/>
      <c r="K1091" s="11"/>
      <c r="L1091" s="12"/>
      <c r="M1091" s="12"/>
      <c r="N1091" s="12"/>
      <c r="O1091" s="227" t="s">
        <v>733</v>
      </c>
    </row>
    <row r="1092" ht="18.75" customHeight="1">
      <c r="B1092" s="59"/>
      <c r="C1092" s="59"/>
      <c r="D1092" s="59" t="s">
        <v>733</v>
      </c>
      <c r="H1092" s="12"/>
      <c r="I1092" s="5"/>
      <c r="J1092" s="17"/>
      <c r="K1092" s="11"/>
      <c r="L1092" s="12"/>
      <c r="M1092" s="12"/>
      <c r="N1092" s="12"/>
      <c r="O1092" s="227" t="s">
        <v>733</v>
      </c>
    </row>
    <row r="1093" ht="18.75" customHeight="1">
      <c r="B1093" s="59"/>
      <c r="C1093" s="59"/>
      <c r="D1093" s="59" t="s">
        <v>733</v>
      </c>
      <c r="H1093" s="12"/>
      <c r="I1093" s="5"/>
      <c r="J1093" s="17"/>
      <c r="K1093" s="11"/>
      <c r="L1093" s="12"/>
      <c r="M1093" s="12"/>
      <c r="N1093" s="12"/>
      <c r="O1093" s="227" t="s">
        <v>733</v>
      </c>
    </row>
    <row r="1094" ht="18.75" customHeight="1">
      <c r="B1094" s="59"/>
      <c r="C1094" s="59"/>
      <c r="D1094" s="59" t="s">
        <v>733</v>
      </c>
      <c r="H1094" s="12"/>
      <c r="I1094" s="5"/>
      <c r="J1094" s="17"/>
      <c r="K1094" s="11"/>
      <c r="L1094" s="12"/>
      <c r="M1094" s="12"/>
      <c r="N1094" s="12"/>
      <c r="O1094" s="227" t="s">
        <v>733</v>
      </c>
    </row>
    <row r="1095" ht="18.75" customHeight="1">
      <c r="B1095" s="59"/>
      <c r="C1095" s="59"/>
      <c r="D1095" s="59" t="s">
        <v>733</v>
      </c>
      <c r="H1095" s="12"/>
      <c r="I1095" s="5"/>
      <c r="J1095" s="17"/>
      <c r="K1095" s="11"/>
      <c r="L1095" s="12"/>
      <c r="M1095" s="12"/>
      <c r="N1095" s="12"/>
      <c r="O1095" s="227" t="s">
        <v>733</v>
      </c>
    </row>
    <row r="1096" ht="18.75" customHeight="1">
      <c r="B1096" s="59"/>
      <c r="C1096" s="59"/>
      <c r="D1096" s="59" t="s">
        <v>733</v>
      </c>
      <c r="H1096" s="12"/>
      <c r="I1096" s="5"/>
      <c r="J1096" s="17"/>
      <c r="K1096" s="11"/>
      <c r="L1096" s="12"/>
      <c r="M1096" s="12"/>
      <c r="N1096" s="12"/>
      <c r="O1096" s="227" t="s">
        <v>733</v>
      </c>
    </row>
    <row r="1097" ht="18.75" customHeight="1">
      <c r="B1097" s="59"/>
      <c r="C1097" s="59"/>
      <c r="D1097" s="59" t="s">
        <v>733</v>
      </c>
      <c r="H1097" s="12"/>
      <c r="I1097" s="5"/>
      <c r="J1097" s="17"/>
      <c r="K1097" s="11"/>
      <c r="L1097" s="12"/>
      <c r="M1097" s="12"/>
      <c r="N1097" s="12"/>
      <c r="O1097" s="227" t="s">
        <v>733</v>
      </c>
    </row>
    <row r="1098" ht="18.75" customHeight="1">
      <c r="B1098" s="59"/>
      <c r="C1098" s="59"/>
      <c r="D1098" s="59" t="s">
        <v>733</v>
      </c>
      <c r="H1098" s="12"/>
      <c r="I1098" s="5"/>
      <c r="J1098" s="17"/>
      <c r="K1098" s="11"/>
      <c r="L1098" s="12"/>
      <c r="M1098" s="12"/>
      <c r="N1098" s="12"/>
      <c r="O1098" s="227" t="s">
        <v>733</v>
      </c>
    </row>
    <row r="1099" ht="18.75" customHeight="1">
      <c r="B1099" s="59"/>
      <c r="C1099" s="59"/>
      <c r="D1099" s="59" t="s">
        <v>733</v>
      </c>
      <c r="H1099" s="12"/>
      <c r="I1099" s="5"/>
      <c r="J1099" s="17"/>
      <c r="K1099" s="11"/>
      <c r="L1099" s="12"/>
      <c r="M1099" s="12"/>
      <c r="N1099" s="12"/>
      <c r="O1099" s="227" t="s">
        <v>733</v>
      </c>
    </row>
    <row r="1100" ht="18.75" customHeight="1">
      <c r="B1100" s="59"/>
      <c r="C1100" s="59"/>
      <c r="D1100" s="59" t="s">
        <v>733</v>
      </c>
      <c r="H1100" s="12"/>
      <c r="I1100" s="5"/>
      <c r="J1100" s="17"/>
      <c r="K1100" s="11"/>
      <c r="L1100" s="12"/>
      <c r="M1100" s="12"/>
      <c r="N1100" s="12"/>
      <c r="O1100" s="227" t="s">
        <v>733</v>
      </c>
    </row>
    <row r="1101" ht="18.75" customHeight="1">
      <c r="B1101" s="59"/>
      <c r="C1101" s="59"/>
      <c r="D1101" s="59" t="s">
        <v>733</v>
      </c>
      <c r="H1101" s="12"/>
      <c r="I1101" s="5"/>
      <c r="J1101" s="17"/>
      <c r="K1101" s="11"/>
      <c r="L1101" s="12"/>
      <c r="M1101" s="12"/>
      <c r="N1101" s="12"/>
      <c r="O1101" s="227" t="s">
        <v>733</v>
      </c>
    </row>
    <row r="1102" ht="18.75" customHeight="1">
      <c r="B1102" s="59"/>
      <c r="C1102" s="59"/>
      <c r="D1102" s="59" t="s">
        <v>733</v>
      </c>
      <c r="H1102" s="12"/>
      <c r="I1102" s="5"/>
      <c r="J1102" s="17"/>
      <c r="K1102" s="11"/>
      <c r="L1102" s="12"/>
      <c r="M1102" s="12"/>
      <c r="N1102" s="12"/>
      <c r="O1102" s="227" t="s">
        <v>733</v>
      </c>
    </row>
    <row r="1103" ht="18.75" customHeight="1">
      <c r="B1103" s="59"/>
      <c r="C1103" s="59"/>
      <c r="D1103" s="59" t="s">
        <v>733</v>
      </c>
      <c r="H1103" s="12"/>
      <c r="I1103" s="5"/>
      <c r="J1103" s="17"/>
      <c r="K1103" s="11"/>
      <c r="L1103" s="12"/>
      <c r="M1103" s="12"/>
      <c r="N1103" s="12"/>
      <c r="O1103" s="227" t="s">
        <v>733</v>
      </c>
    </row>
    <row r="1104" ht="18.75" customHeight="1">
      <c r="B1104" s="59"/>
      <c r="C1104" s="59"/>
      <c r="D1104" s="59" t="s">
        <v>733</v>
      </c>
      <c r="H1104" s="12"/>
      <c r="I1104" s="5"/>
      <c r="J1104" s="17"/>
      <c r="K1104" s="11"/>
      <c r="L1104" s="12"/>
      <c r="M1104" s="12"/>
      <c r="N1104" s="12"/>
      <c r="O1104" s="227" t="s">
        <v>733</v>
      </c>
    </row>
    <row r="1105" ht="18.75" customHeight="1">
      <c r="B1105" s="59"/>
      <c r="C1105" s="59"/>
      <c r="D1105" s="59" t="s">
        <v>733</v>
      </c>
      <c r="H1105" s="12"/>
      <c r="I1105" s="5"/>
      <c r="J1105" s="17"/>
      <c r="K1105" s="11"/>
      <c r="L1105" s="12"/>
      <c r="M1105" s="12"/>
      <c r="N1105" s="12"/>
      <c r="O1105" s="227" t="s">
        <v>733</v>
      </c>
    </row>
    <row r="1106" ht="18.75" customHeight="1">
      <c r="B1106" s="59"/>
      <c r="C1106" s="59"/>
      <c r="D1106" s="59" t="s">
        <v>733</v>
      </c>
      <c r="H1106" s="12"/>
      <c r="I1106" s="5"/>
      <c r="J1106" s="17"/>
      <c r="K1106" s="11"/>
      <c r="L1106" s="12"/>
      <c r="M1106" s="12"/>
      <c r="N1106" s="12"/>
      <c r="O1106" s="227" t="s">
        <v>733</v>
      </c>
    </row>
    <row r="1107" ht="18.75" customHeight="1">
      <c r="B1107" s="59"/>
      <c r="C1107" s="59"/>
      <c r="D1107" s="59" t="s">
        <v>733</v>
      </c>
      <c r="H1107" s="12"/>
      <c r="I1107" s="5"/>
      <c r="J1107" s="17"/>
      <c r="K1107" s="11"/>
      <c r="L1107" s="12"/>
      <c r="M1107" s="12"/>
      <c r="N1107" s="12"/>
      <c r="O1107" s="227" t="s">
        <v>733</v>
      </c>
    </row>
    <row r="1108" ht="18.75" customHeight="1">
      <c r="B1108" s="59"/>
      <c r="C1108" s="59"/>
      <c r="D1108" s="59" t="s">
        <v>733</v>
      </c>
      <c r="H1108" s="12"/>
      <c r="I1108" s="5"/>
      <c r="J1108" s="17"/>
      <c r="K1108" s="11"/>
      <c r="L1108" s="12"/>
      <c r="M1108" s="12"/>
      <c r="N1108" s="12"/>
      <c r="O1108" s="227" t="s">
        <v>733</v>
      </c>
    </row>
    <row r="1109" ht="18.75" customHeight="1">
      <c r="B1109" s="59"/>
      <c r="C1109" s="59"/>
      <c r="D1109" s="59" t="s">
        <v>733</v>
      </c>
      <c r="H1109" s="12"/>
      <c r="I1109" s="5"/>
      <c r="J1109" s="17"/>
      <c r="K1109" s="11"/>
      <c r="L1109" s="12"/>
      <c r="M1109" s="12"/>
      <c r="N1109" s="12"/>
      <c r="O1109" s="227" t="s">
        <v>733</v>
      </c>
    </row>
    <row r="1110" ht="18.75" customHeight="1">
      <c r="B1110" s="59"/>
      <c r="C1110" s="59"/>
      <c r="D1110" s="59" t="s">
        <v>733</v>
      </c>
      <c r="H1110" s="12"/>
      <c r="I1110" s="5"/>
      <c r="J1110" s="17"/>
      <c r="K1110" s="11"/>
      <c r="L1110" s="12"/>
      <c r="M1110" s="12"/>
      <c r="N1110" s="12"/>
      <c r="O1110" s="227" t="s">
        <v>733</v>
      </c>
    </row>
    <row r="1111" ht="18.75" customHeight="1">
      <c r="B1111" s="59"/>
      <c r="C1111" s="59"/>
      <c r="D1111" s="59" t="s">
        <v>733</v>
      </c>
      <c r="H1111" s="12"/>
      <c r="I1111" s="5"/>
      <c r="J1111" s="17"/>
      <c r="K1111" s="11"/>
      <c r="L1111" s="12"/>
      <c r="M1111" s="12"/>
      <c r="N1111" s="12"/>
      <c r="O1111" s="227" t="s">
        <v>733</v>
      </c>
    </row>
    <row r="1112" ht="18.75" customHeight="1">
      <c r="B1112" s="59"/>
      <c r="C1112" s="59"/>
      <c r="D1112" s="59" t="s">
        <v>733</v>
      </c>
      <c r="H1112" s="12"/>
      <c r="I1112" s="5"/>
      <c r="J1112" s="17"/>
      <c r="K1112" s="11"/>
      <c r="L1112" s="12"/>
      <c r="M1112" s="12"/>
      <c r="N1112" s="12"/>
      <c r="O1112" s="227" t="s">
        <v>733</v>
      </c>
    </row>
    <row r="1113" ht="18.75" customHeight="1">
      <c r="B1113" s="59"/>
      <c r="C1113" s="59"/>
      <c r="D1113" s="59" t="s">
        <v>733</v>
      </c>
      <c r="H1113" s="12"/>
      <c r="I1113" s="5"/>
      <c r="J1113" s="17"/>
      <c r="K1113" s="11"/>
      <c r="L1113" s="12"/>
      <c r="M1113" s="12"/>
      <c r="N1113" s="12"/>
      <c r="O1113" s="227" t="s">
        <v>733</v>
      </c>
    </row>
    <row r="1114" ht="18.75" customHeight="1">
      <c r="B1114" s="59"/>
      <c r="C1114" s="59"/>
      <c r="D1114" s="59" t="s">
        <v>733</v>
      </c>
      <c r="H1114" s="12"/>
      <c r="I1114" s="5"/>
      <c r="J1114" s="17"/>
      <c r="K1114" s="11"/>
      <c r="L1114" s="12"/>
      <c r="M1114" s="12"/>
      <c r="N1114" s="12"/>
      <c r="O1114" s="227" t="s">
        <v>733</v>
      </c>
    </row>
    <row r="1115" ht="18.75" customHeight="1">
      <c r="B1115" s="59"/>
      <c r="C1115" s="59"/>
      <c r="D1115" s="59" t="s">
        <v>733</v>
      </c>
      <c r="H1115" s="12"/>
      <c r="I1115" s="5"/>
      <c r="J1115" s="17"/>
      <c r="K1115" s="11"/>
      <c r="L1115" s="12"/>
      <c r="M1115" s="12"/>
      <c r="N1115" s="12"/>
      <c r="O1115" s="227" t="s">
        <v>733</v>
      </c>
    </row>
    <row r="1116" ht="18.75" customHeight="1">
      <c r="B1116" s="59"/>
      <c r="C1116" s="59"/>
      <c r="D1116" s="59" t="s">
        <v>733</v>
      </c>
      <c r="H1116" s="12"/>
      <c r="I1116" s="5"/>
      <c r="J1116" s="17"/>
      <c r="K1116" s="11"/>
      <c r="L1116" s="12"/>
      <c r="M1116" s="12"/>
      <c r="N1116" s="12"/>
      <c r="O1116" s="227" t="s">
        <v>733</v>
      </c>
    </row>
    <row r="1117" ht="18.75" customHeight="1">
      <c r="B1117" s="59"/>
      <c r="C1117" s="59"/>
      <c r="D1117" s="59" t="s">
        <v>733</v>
      </c>
      <c r="H1117" s="12"/>
      <c r="I1117" s="5"/>
      <c r="J1117" s="17"/>
      <c r="K1117" s="11"/>
      <c r="L1117" s="12"/>
      <c r="M1117" s="12"/>
      <c r="N1117" s="12"/>
      <c r="O1117" s="227" t="s">
        <v>733</v>
      </c>
    </row>
    <row r="1118" ht="18.75" customHeight="1">
      <c r="B1118" s="59"/>
      <c r="C1118" s="59"/>
      <c r="D1118" s="59" t="s">
        <v>733</v>
      </c>
      <c r="H1118" s="12"/>
      <c r="I1118" s="5"/>
      <c r="J1118" s="17"/>
      <c r="K1118" s="11"/>
      <c r="L1118" s="12"/>
      <c r="M1118" s="12"/>
      <c r="N1118" s="12"/>
      <c r="O1118" s="227" t="s">
        <v>733</v>
      </c>
    </row>
    <row r="1119" ht="18.75" customHeight="1">
      <c r="B1119" s="59"/>
      <c r="C1119" s="59"/>
      <c r="D1119" s="59" t="s">
        <v>733</v>
      </c>
      <c r="H1119" s="12"/>
      <c r="I1119" s="5"/>
      <c r="J1119" s="17"/>
      <c r="K1119" s="11"/>
      <c r="L1119" s="12"/>
      <c r="M1119" s="12"/>
      <c r="N1119" s="12"/>
      <c r="O1119" s="227" t="s">
        <v>733</v>
      </c>
    </row>
    <row r="1120" ht="18.75" customHeight="1">
      <c r="B1120" s="59"/>
      <c r="C1120" s="59"/>
      <c r="D1120" s="59" t="s">
        <v>733</v>
      </c>
      <c r="H1120" s="12"/>
      <c r="I1120" s="5"/>
      <c r="J1120" s="17"/>
      <c r="K1120" s="11"/>
      <c r="L1120" s="12"/>
      <c r="M1120" s="12"/>
      <c r="N1120" s="12"/>
      <c r="O1120" s="227" t="s">
        <v>733</v>
      </c>
    </row>
    <row r="1121" ht="18.75" customHeight="1">
      <c r="B1121" s="59"/>
      <c r="C1121" s="59"/>
      <c r="D1121" s="59" t="s">
        <v>733</v>
      </c>
      <c r="H1121" s="12"/>
      <c r="I1121" s="5"/>
      <c r="J1121" s="17"/>
      <c r="K1121" s="11"/>
      <c r="L1121" s="12"/>
      <c r="M1121" s="12"/>
      <c r="N1121" s="12"/>
      <c r="O1121" s="227" t="s">
        <v>733</v>
      </c>
    </row>
    <row r="1122" ht="18.75" customHeight="1">
      <c r="B1122" s="59"/>
      <c r="C1122" s="59"/>
      <c r="D1122" s="59" t="s">
        <v>733</v>
      </c>
      <c r="H1122" s="12"/>
      <c r="I1122" s="5"/>
      <c r="J1122" s="17"/>
      <c r="K1122" s="11"/>
      <c r="L1122" s="12"/>
      <c r="M1122" s="12"/>
      <c r="N1122" s="12"/>
      <c r="O1122" s="227" t="s">
        <v>733</v>
      </c>
    </row>
    <row r="1123" ht="18.75" customHeight="1">
      <c r="B1123" s="59"/>
      <c r="C1123" s="59"/>
      <c r="D1123" s="59" t="s">
        <v>733</v>
      </c>
      <c r="H1123" s="12"/>
      <c r="I1123" s="5"/>
      <c r="J1123" s="17"/>
      <c r="K1123" s="11"/>
      <c r="L1123" s="12"/>
      <c r="M1123" s="12"/>
      <c r="N1123" s="12"/>
      <c r="O1123" s="227" t="s">
        <v>733</v>
      </c>
    </row>
    <row r="1124" ht="18.75" customHeight="1">
      <c r="B1124" s="59"/>
      <c r="C1124" s="59"/>
      <c r="D1124" s="59" t="s">
        <v>733</v>
      </c>
      <c r="H1124" s="12"/>
      <c r="I1124" s="5"/>
      <c r="J1124" s="17"/>
      <c r="K1124" s="11"/>
      <c r="L1124" s="12"/>
      <c r="M1124" s="12"/>
      <c r="N1124" s="12"/>
      <c r="O1124" s="227" t="s">
        <v>733</v>
      </c>
    </row>
    <row r="1125" ht="18.75" customHeight="1">
      <c r="B1125" s="59"/>
      <c r="C1125" s="59"/>
      <c r="D1125" s="59" t="s">
        <v>733</v>
      </c>
      <c r="H1125" s="12"/>
      <c r="I1125" s="5"/>
      <c r="J1125" s="17"/>
      <c r="K1125" s="11"/>
      <c r="L1125" s="12"/>
      <c r="M1125" s="12"/>
      <c r="N1125" s="12"/>
      <c r="O1125" s="227" t="s">
        <v>733</v>
      </c>
    </row>
    <row r="1126" ht="18.75" customHeight="1">
      <c r="B1126" s="59"/>
      <c r="C1126" s="59"/>
      <c r="D1126" s="59" t="s">
        <v>733</v>
      </c>
      <c r="H1126" s="12"/>
      <c r="I1126" s="5"/>
      <c r="J1126" s="17"/>
      <c r="K1126" s="11"/>
      <c r="L1126" s="12"/>
      <c r="M1126" s="12"/>
      <c r="N1126" s="12"/>
      <c r="O1126" s="227" t="s">
        <v>733</v>
      </c>
    </row>
    <row r="1127" ht="18.75" customHeight="1">
      <c r="B1127" s="59"/>
      <c r="C1127" s="59"/>
      <c r="D1127" s="59" t="s">
        <v>733</v>
      </c>
      <c r="H1127" s="12"/>
      <c r="I1127" s="5"/>
      <c r="J1127" s="17"/>
      <c r="K1127" s="11"/>
      <c r="L1127" s="12"/>
      <c r="M1127" s="12"/>
      <c r="N1127" s="12"/>
      <c r="O1127" s="227" t="s">
        <v>733</v>
      </c>
    </row>
    <row r="1128" ht="18.75" customHeight="1">
      <c r="B1128" s="59"/>
      <c r="C1128" s="59"/>
      <c r="D1128" s="59" t="s">
        <v>733</v>
      </c>
      <c r="H1128" s="12"/>
      <c r="I1128" s="5"/>
      <c r="J1128" s="17"/>
      <c r="K1128" s="11"/>
      <c r="L1128" s="12"/>
      <c r="M1128" s="12"/>
      <c r="N1128" s="12"/>
      <c r="O1128" s="227" t="s">
        <v>733</v>
      </c>
    </row>
    <row r="1129" ht="18.75" customHeight="1">
      <c r="B1129" s="59"/>
      <c r="C1129" s="59"/>
      <c r="D1129" s="59" t="s">
        <v>733</v>
      </c>
      <c r="H1129" s="12"/>
      <c r="I1129" s="5"/>
      <c r="J1129" s="17"/>
      <c r="K1129" s="11"/>
      <c r="L1129" s="12"/>
      <c r="M1129" s="12"/>
      <c r="N1129" s="12"/>
      <c r="O1129" s="227" t="s">
        <v>733</v>
      </c>
    </row>
    <row r="1130" ht="18.75" customHeight="1">
      <c r="B1130" s="59"/>
      <c r="C1130" s="59"/>
      <c r="D1130" s="59" t="s">
        <v>733</v>
      </c>
      <c r="H1130" s="12"/>
      <c r="I1130" s="5"/>
      <c r="J1130" s="17"/>
      <c r="K1130" s="11"/>
      <c r="L1130" s="12"/>
      <c r="M1130" s="12"/>
      <c r="N1130" s="12"/>
      <c r="O1130" s="227" t="s">
        <v>733</v>
      </c>
    </row>
    <row r="1131" ht="18.75" customHeight="1">
      <c r="B1131" s="59"/>
      <c r="C1131" s="59"/>
      <c r="D1131" s="59" t="s">
        <v>733</v>
      </c>
      <c r="H1131" s="12"/>
      <c r="I1131" s="5"/>
      <c r="J1131" s="17"/>
      <c r="K1131" s="11"/>
      <c r="L1131" s="12"/>
      <c r="M1131" s="12"/>
      <c r="N1131" s="12"/>
      <c r="O1131" s="227" t="s">
        <v>733</v>
      </c>
    </row>
    <row r="1132" ht="18.75" customHeight="1">
      <c r="B1132" s="59"/>
      <c r="C1132" s="59"/>
      <c r="D1132" s="59" t="s">
        <v>733</v>
      </c>
      <c r="H1132" s="12"/>
      <c r="I1132" s="5"/>
      <c r="J1132" s="17"/>
      <c r="K1132" s="11"/>
      <c r="L1132" s="12"/>
      <c r="M1132" s="12"/>
      <c r="N1132" s="12"/>
      <c r="O1132" s="227" t="s">
        <v>733</v>
      </c>
    </row>
    <row r="1133" ht="18.75" customHeight="1">
      <c r="B1133" s="59"/>
      <c r="C1133" s="59"/>
      <c r="D1133" s="59" t="s">
        <v>733</v>
      </c>
      <c r="H1133" s="12"/>
      <c r="I1133" s="5"/>
      <c r="J1133" s="17"/>
      <c r="K1133" s="11"/>
      <c r="L1133" s="12"/>
      <c r="M1133" s="12"/>
      <c r="N1133" s="12"/>
      <c r="O1133" s="227" t="s">
        <v>733</v>
      </c>
    </row>
    <row r="1134" ht="18.75" customHeight="1">
      <c r="B1134" s="59"/>
      <c r="C1134" s="59"/>
      <c r="D1134" s="59" t="s">
        <v>733</v>
      </c>
      <c r="H1134" s="12"/>
      <c r="I1134" s="5"/>
      <c r="J1134" s="17"/>
      <c r="K1134" s="11"/>
      <c r="L1134" s="12"/>
      <c r="M1134" s="12"/>
      <c r="N1134" s="12"/>
      <c r="O1134" s="227" t="s">
        <v>733</v>
      </c>
    </row>
    <row r="1135" ht="18.75" customHeight="1">
      <c r="B1135" s="59"/>
      <c r="C1135" s="59"/>
      <c r="D1135" s="59" t="s">
        <v>733</v>
      </c>
      <c r="H1135" s="12"/>
      <c r="I1135" s="5"/>
      <c r="J1135" s="17"/>
      <c r="K1135" s="11"/>
      <c r="L1135" s="12"/>
      <c r="M1135" s="12"/>
      <c r="N1135" s="12"/>
      <c r="O1135" s="227" t="s">
        <v>733</v>
      </c>
    </row>
    <row r="1136" ht="18.75" customHeight="1">
      <c r="B1136" s="59"/>
      <c r="C1136" s="59"/>
      <c r="D1136" s="59" t="s">
        <v>733</v>
      </c>
      <c r="H1136" s="12"/>
      <c r="I1136" s="5"/>
      <c r="J1136" s="17"/>
      <c r="K1136" s="11"/>
      <c r="L1136" s="12"/>
      <c r="M1136" s="12"/>
      <c r="N1136" s="12"/>
      <c r="O1136" s="227" t="s">
        <v>733</v>
      </c>
    </row>
    <row r="1137" ht="18.75" customHeight="1">
      <c r="B1137" s="59"/>
      <c r="C1137" s="59"/>
      <c r="D1137" s="59" t="s">
        <v>733</v>
      </c>
      <c r="H1137" s="12"/>
      <c r="I1137" s="5"/>
      <c r="J1137" s="17"/>
      <c r="K1137" s="11"/>
      <c r="L1137" s="12"/>
      <c r="M1137" s="12"/>
      <c r="N1137" s="12"/>
      <c r="O1137" s="227" t="s">
        <v>733</v>
      </c>
    </row>
    <row r="1138" ht="18.75" customHeight="1">
      <c r="B1138" s="59"/>
      <c r="C1138" s="59"/>
      <c r="D1138" s="59" t="s">
        <v>733</v>
      </c>
      <c r="H1138" s="12"/>
      <c r="I1138" s="5"/>
      <c r="J1138" s="17"/>
      <c r="K1138" s="11"/>
      <c r="L1138" s="12"/>
      <c r="M1138" s="12"/>
      <c r="N1138" s="12"/>
      <c r="O1138" s="227" t="s">
        <v>733</v>
      </c>
    </row>
    <row r="1139" ht="18.75" customHeight="1">
      <c r="B1139" s="59"/>
      <c r="C1139" s="59"/>
      <c r="D1139" s="59" t="s">
        <v>733</v>
      </c>
      <c r="H1139" s="12"/>
      <c r="I1139" s="5"/>
      <c r="J1139" s="17"/>
      <c r="K1139" s="11"/>
      <c r="L1139" s="12"/>
      <c r="M1139" s="12"/>
      <c r="N1139" s="12"/>
      <c r="O1139" s="227" t="s">
        <v>733</v>
      </c>
    </row>
    <row r="1140" ht="18.75" customHeight="1">
      <c r="B1140" s="59"/>
      <c r="C1140" s="59"/>
      <c r="D1140" s="59" t="s">
        <v>733</v>
      </c>
      <c r="H1140" s="12"/>
      <c r="I1140" s="5"/>
      <c r="J1140" s="17"/>
      <c r="K1140" s="11"/>
      <c r="L1140" s="12"/>
      <c r="M1140" s="12"/>
      <c r="N1140" s="12"/>
      <c r="O1140" s="227" t="s">
        <v>733</v>
      </c>
    </row>
    <row r="1141" ht="18.75" customHeight="1">
      <c r="B1141" s="59"/>
      <c r="C1141" s="59"/>
      <c r="D1141" s="59" t="s">
        <v>733</v>
      </c>
      <c r="H1141" s="12"/>
      <c r="I1141" s="5"/>
      <c r="J1141" s="17"/>
      <c r="K1141" s="11"/>
      <c r="L1141" s="12"/>
      <c r="M1141" s="12"/>
      <c r="N1141" s="12"/>
      <c r="O1141" s="227" t="s">
        <v>733</v>
      </c>
    </row>
    <row r="1142" ht="18.75" customHeight="1">
      <c r="B1142" s="59"/>
      <c r="C1142" s="59"/>
      <c r="D1142" s="59" t="s">
        <v>733</v>
      </c>
      <c r="H1142" s="12"/>
      <c r="I1142" s="5"/>
      <c r="J1142" s="17"/>
      <c r="K1142" s="11"/>
      <c r="L1142" s="12"/>
      <c r="M1142" s="12"/>
      <c r="N1142" s="12"/>
      <c r="O1142" s="227" t="s">
        <v>733</v>
      </c>
    </row>
    <row r="1143" ht="18.75" customHeight="1">
      <c r="B1143" s="59"/>
      <c r="C1143" s="59"/>
      <c r="D1143" s="59" t="s">
        <v>733</v>
      </c>
      <c r="H1143" s="12"/>
      <c r="I1143" s="5"/>
      <c r="J1143" s="17"/>
      <c r="K1143" s="11"/>
      <c r="L1143" s="12"/>
      <c r="M1143" s="12"/>
      <c r="N1143" s="12"/>
      <c r="O1143" s="227" t="s">
        <v>733</v>
      </c>
    </row>
    <row r="1144" ht="18.75" customHeight="1">
      <c r="B1144" s="59"/>
      <c r="C1144" s="59"/>
      <c r="D1144" s="59" t="s">
        <v>733</v>
      </c>
      <c r="H1144" s="12"/>
      <c r="I1144" s="5"/>
      <c r="J1144" s="17"/>
      <c r="K1144" s="11"/>
      <c r="L1144" s="12"/>
      <c r="M1144" s="12"/>
      <c r="N1144" s="12"/>
      <c r="O1144" s="227" t="s">
        <v>733</v>
      </c>
    </row>
    <row r="1145" ht="18.75" customHeight="1">
      <c r="B1145" s="59"/>
      <c r="C1145" s="59"/>
      <c r="D1145" s="59" t="s">
        <v>733</v>
      </c>
      <c r="H1145" s="12"/>
      <c r="I1145" s="5"/>
      <c r="J1145" s="17"/>
      <c r="K1145" s="11"/>
      <c r="L1145" s="12"/>
      <c r="M1145" s="12"/>
      <c r="N1145" s="12"/>
      <c r="O1145" s="227" t="s">
        <v>733</v>
      </c>
    </row>
    <row r="1146" ht="18.75" customHeight="1">
      <c r="B1146" s="59"/>
      <c r="C1146" s="59"/>
      <c r="D1146" s="59" t="s">
        <v>733</v>
      </c>
      <c r="H1146" s="12"/>
      <c r="I1146" s="5"/>
      <c r="J1146" s="17"/>
      <c r="K1146" s="11"/>
      <c r="L1146" s="12"/>
      <c r="M1146" s="12"/>
      <c r="N1146" s="12"/>
      <c r="O1146" s="227" t="s">
        <v>733</v>
      </c>
    </row>
    <row r="1147" ht="18.75" customHeight="1">
      <c r="B1147" s="59"/>
      <c r="C1147" s="59"/>
      <c r="D1147" s="59" t="s">
        <v>733</v>
      </c>
      <c r="H1147" s="12"/>
      <c r="I1147" s="5"/>
      <c r="J1147" s="17"/>
      <c r="K1147" s="11"/>
      <c r="L1147" s="12"/>
      <c r="M1147" s="12"/>
      <c r="N1147" s="12"/>
      <c r="O1147" s="227" t="s">
        <v>733</v>
      </c>
    </row>
    <row r="1148" ht="18.75" customHeight="1">
      <c r="B1148" s="59"/>
      <c r="C1148" s="59"/>
      <c r="D1148" s="59" t="s">
        <v>733</v>
      </c>
      <c r="H1148" s="12"/>
      <c r="I1148" s="5"/>
      <c r="J1148" s="17"/>
      <c r="K1148" s="11"/>
      <c r="L1148" s="12"/>
      <c r="M1148" s="12"/>
      <c r="N1148" s="12"/>
      <c r="O1148" s="227" t="s">
        <v>733</v>
      </c>
    </row>
    <row r="1149" ht="18.75" customHeight="1">
      <c r="B1149" s="59"/>
      <c r="C1149" s="59"/>
      <c r="D1149" s="59" t="s">
        <v>733</v>
      </c>
      <c r="H1149" s="12"/>
      <c r="I1149" s="5"/>
      <c r="J1149" s="17"/>
      <c r="K1149" s="11"/>
      <c r="L1149" s="12"/>
      <c r="M1149" s="12"/>
      <c r="N1149" s="12"/>
      <c r="O1149" s="227" t="s">
        <v>733</v>
      </c>
    </row>
    <row r="1150" ht="18.75" customHeight="1">
      <c r="B1150" s="59"/>
      <c r="C1150" s="59"/>
      <c r="D1150" s="59" t="s">
        <v>733</v>
      </c>
      <c r="H1150" s="12"/>
      <c r="I1150" s="5"/>
      <c r="J1150" s="17"/>
      <c r="K1150" s="11"/>
      <c r="L1150" s="12"/>
      <c r="M1150" s="12"/>
      <c r="N1150" s="12"/>
      <c r="O1150" s="227" t="s">
        <v>733</v>
      </c>
    </row>
    <row r="1151" ht="18.75" customHeight="1">
      <c r="B1151" s="59"/>
      <c r="C1151" s="59"/>
      <c r="D1151" s="59" t="s">
        <v>733</v>
      </c>
      <c r="H1151" s="12"/>
      <c r="I1151" s="5"/>
      <c r="J1151" s="17"/>
      <c r="K1151" s="11"/>
      <c r="L1151" s="12"/>
      <c r="M1151" s="12"/>
      <c r="N1151" s="12"/>
      <c r="O1151" s="227" t="s">
        <v>733</v>
      </c>
    </row>
    <row r="1152" ht="18.75" customHeight="1">
      <c r="B1152" s="59"/>
      <c r="C1152" s="59"/>
      <c r="D1152" s="59" t="s">
        <v>733</v>
      </c>
      <c r="H1152" s="12"/>
      <c r="I1152" s="5"/>
      <c r="J1152" s="17"/>
      <c r="K1152" s="11"/>
      <c r="L1152" s="12"/>
      <c r="M1152" s="12"/>
      <c r="N1152" s="12"/>
      <c r="O1152" s="227" t="s">
        <v>733</v>
      </c>
    </row>
    <row r="1153" ht="18.75" customHeight="1">
      <c r="B1153" s="59"/>
      <c r="C1153" s="59"/>
      <c r="D1153" s="59" t="s">
        <v>733</v>
      </c>
      <c r="H1153" s="12"/>
      <c r="I1153" s="5"/>
      <c r="J1153" s="17"/>
      <c r="K1153" s="11"/>
      <c r="L1153" s="12"/>
      <c r="M1153" s="12"/>
      <c r="N1153" s="12"/>
      <c r="O1153" s="227" t="s">
        <v>733</v>
      </c>
    </row>
    <row r="1154" ht="18.75" customHeight="1">
      <c r="B1154" s="59"/>
      <c r="C1154" s="59"/>
      <c r="D1154" s="59" t="s">
        <v>733</v>
      </c>
      <c r="H1154" s="12"/>
      <c r="I1154" s="5"/>
      <c r="J1154" s="17"/>
      <c r="K1154" s="11"/>
      <c r="L1154" s="12"/>
      <c r="M1154" s="12"/>
      <c r="N1154" s="12"/>
      <c r="O1154" s="227" t="s">
        <v>733</v>
      </c>
    </row>
    <row r="1155" ht="18.75" customHeight="1">
      <c r="B1155" s="59"/>
      <c r="C1155" s="59"/>
      <c r="D1155" s="59" t="s">
        <v>733</v>
      </c>
      <c r="H1155" s="12"/>
      <c r="I1155" s="5"/>
      <c r="J1155" s="17"/>
      <c r="K1155" s="11"/>
      <c r="L1155" s="12"/>
      <c r="M1155" s="12"/>
      <c r="N1155" s="12"/>
      <c r="O1155" s="227" t="s">
        <v>733</v>
      </c>
    </row>
    <row r="1156" ht="18.75" customHeight="1">
      <c r="B1156" s="59"/>
      <c r="C1156" s="59"/>
      <c r="D1156" s="59" t="s">
        <v>733</v>
      </c>
      <c r="H1156" s="12"/>
      <c r="I1156" s="5"/>
      <c r="J1156" s="17"/>
      <c r="K1156" s="11"/>
      <c r="L1156" s="12"/>
      <c r="M1156" s="12"/>
      <c r="N1156" s="12"/>
      <c r="O1156" s="227" t="s">
        <v>733</v>
      </c>
    </row>
    <row r="1157" ht="18.75" customHeight="1">
      <c r="B1157" s="59"/>
      <c r="C1157" s="59"/>
      <c r="D1157" s="59" t="s">
        <v>733</v>
      </c>
      <c r="H1157" s="12"/>
      <c r="I1157" s="5"/>
      <c r="J1157" s="17"/>
      <c r="K1157" s="11"/>
      <c r="L1157" s="12"/>
      <c r="M1157" s="12"/>
      <c r="N1157" s="12"/>
      <c r="O1157" s="227" t="s">
        <v>733</v>
      </c>
    </row>
    <row r="1158" ht="18.75" customHeight="1">
      <c r="B1158" s="59"/>
      <c r="C1158" s="59"/>
      <c r="D1158" s="59" t="s">
        <v>733</v>
      </c>
      <c r="H1158" s="12"/>
      <c r="I1158" s="5"/>
      <c r="J1158" s="17"/>
      <c r="K1158" s="11"/>
      <c r="L1158" s="12"/>
      <c r="M1158" s="12"/>
      <c r="N1158" s="12"/>
      <c r="O1158" s="227" t="s">
        <v>733</v>
      </c>
    </row>
    <row r="1159" ht="18.75" customHeight="1">
      <c r="B1159" s="59"/>
      <c r="C1159" s="59"/>
      <c r="D1159" s="59" t="s">
        <v>733</v>
      </c>
      <c r="H1159" s="12"/>
      <c r="I1159" s="5"/>
      <c r="J1159" s="17"/>
      <c r="K1159" s="11"/>
      <c r="L1159" s="12"/>
      <c r="M1159" s="12"/>
      <c r="N1159" s="12"/>
      <c r="O1159" s="227" t="s">
        <v>733</v>
      </c>
    </row>
    <row r="1160" ht="18.75" customHeight="1">
      <c r="B1160" s="59"/>
      <c r="C1160" s="59"/>
      <c r="D1160" s="59" t="s">
        <v>733</v>
      </c>
      <c r="H1160" s="12"/>
      <c r="I1160" s="5"/>
      <c r="J1160" s="17"/>
      <c r="K1160" s="11"/>
      <c r="L1160" s="12"/>
      <c r="M1160" s="12"/>
      <c r="N1160" s="12"/>
      <c r="O1160" s="227" t="s">
        <v>733</v>
      </c>
    </row>
    <row r="1161" ht="18.75" customHeight="1">
      <c r="B1161" s="59"/>
      <c r="C1161" s="59"/>
      <c r="D1161" s="59" t="s">
        <v>733</v>
      </c>
      <c r="H1161" s="12"/>
      <c r="I1161" s="5"/>
      <c r="J1161" s="17"/>
      <c r="K1161" s="11"/>
      <c r="L1161" s="12"/>
      <c r="M1161" s="12"/>
      <c r="N1161" s="12"/>
      <c r="O1161" s="227" t="s">
        <v>733</v>
      </c>
    </row>
    <row r="1162" ht="18.75" customHeight="1">
      <c r="B1162" s="59"/>
      <c r="C1162" s="59"/>
      <c r="D1162" s="59" t="s">
        <v>733</v>
      </c>
      <c r="H1162" s="12"/>
      <c r="I1162" s="5"/>
      <c r="J1162" s="17"/>
      <c r="K1162" s="11"/>
      <c r="L1162" s="12"/>
      <c r="M1162" s="12"/>
      <c r="N1162" s="12"/>
      <c r="O1162" s="227" t="s">
        <v>733</v>
      </c>
    </row>
    <row r="1163" ht="18.75" customHeight="1">
      <c r="B1163" s="59"/>
      <c r="C1163" s="59"/>
      <c r="D1163" s="59" t="s">
        <v>733</v>
      </c>
      <c r="H1163" s="12"/>
      <c r="I1163" s="5"/>
      <c r="J1163" s="17"/>
      <c r="K1163" s="11"/>
      <c r="L1163" s="12"/>
      <c r="M1163" s="12"/>
      <c r="N1163" s="12"/>
      <c r="O1163" s="227" t="s">
        <v>733</v>
      </c>
    </row>
    <row r="1164" ht="18.75" customHeight="1">
      <c r="B1164" s="59"/>
      <c r="C1164" s="59"/>
      <c r="D1164" s="59" t="s">
        <v>733</v>
      </c>
      <c r="H1164" s="12"/>
      <c r="I1164" s="5"/>
      <c r="J1164" s="17"/>
      <c r="K1164" s="11"/>
      <c r="L1164" s="12"/>
      <c r="M1164" s="12"/>
      <c r="N1164" s="12"/>
      <c r="O1164" s="227" t="s">
        <v>733</v>
      </c>
    </row>
    <row r="1165" ht="18.75" customHeight="1">
      <c r="B1165" s="59"/>
      <c r="C1165" s="59"/>
      <c r="D1165" s="59" t="s">
        <v>733</v>
      </c>
      <c r="H1165" s="12"/>
      <c r="I1165" s="5"/>
      <c r="J1165" s="17"/>
      <c r="K1165" s="11"/>
      <c r="L1165" s="12"/>
      <c r="M1165" s="12"/>
      <c r="N1165" s="12"/>
      <c r="O1165" s="227" t="s">
        <v>733</v>
      </c>
    </row>
    <row r="1166" ht="18.75" customHeight="1">
      <c r="B1166" s="59"/>
      <c r="C1166" s="59"/>
      <c r="D1166" s="59" t="s">
        <v>733</v>
      </c>
      <c r="H1166" s="12"/>
      <c r="I1166" s="5"/>
      <c r="J1166" s="17"/>
      <c r="K1166" s="11"/>
      <c r="L1166" s="12"/>
      <c r="M1166" s="12"/>
      <c r="N1166" s="12"/>
      <c r="O1166" s="227" t="s">
        <v>733</v>
      </c>
    </row>
    <row r="1167" ht="18.75" customHeight="1">
      <c r="B1167" s="59"/>
      <c r="C1167" s="59"/>
      <c r="D1167" s="59" t="s">
        <v>733</v>
      </c>
      <c r="H1167" s="12"/>
      <c r="I1167" s="5"/>
      <c r="J1167" s="17"/>
      <c r="K1167" s="11"/>
      <c r="L1167" s="12"/>
      <c r="M1167" s="12"/>
      <c r="N1167" s="12"/>
      <c r="O1167" s="227" t="s">
        <v>733</v>
      </c>
    </row>
    <row r="1168" ht="18.75" customHeight="1">
      <c r="B1168" s="59"/>
      <c r="C1168" s="59"/>
      <c r="D1168" s="59" t="s">
        <v>733</v>
      </c>
      <c r="H1168" s="12"/>
      <c r="I1168" s="5"/>
      <c r="J1168" s="17"/>
      <c r="K1168" s="11"/>
      <c r="L1168" s="12"/>
      <c r="M1168" s="12"/>
      <c r="N1168" s="12"/>
      <c r="O1168" s="227" t="s">
        <v>733</v>
      </c>
    </row>
    <row r="1169" ht="18.75" customHeight="1">
      <c r="B1169" s="59"/>
      <c r="C1169" s="59"/>
      <c r="D1169" s="59" t="s">
        <v>733</v>
      </c>
      <c r="H1169" s="12"/>
      <c r="I1169" s="5"/>
      <c r="J1169" s="17"/>
      <c r="K1169" s="11"/>
      <c r="L1169" s="12"/>
      <c r="M1169" s="12"/>
      <c r="N1169" s="12"/>
      <c r="O1169" s="227" t="s">
        <v>733</v>
      </c>
    </row>
    <row r="1170" ht="18.75" customHeight="1">
      <c r="B1170" s="59"/>
      <c r="C1170" s="59"/>
      <c r="D1170" s="59" t="s">
        <v>733</v>
      </c>
      <c r="H1170" s="12"/>
      <c r="I1170" s="5"/>
      <c r="J1170" s="17"/>
      <c r="K1170" s="11"/>
      <c r="L1170" s="12"/>
      <c r="M1170" s="12"/>
      <c r="N1170" s="12"/>
      <c r="O1170" s="227" t="s">
        <v>733</v>
      </c>
    </row>
    <row r="1171" ht="18.75" customHeight="1">
      <c r="B1171" s="59"/>
      <c r="C1171" s="59"/>
      <c r="D1171" s="59" t="s">
        <v>733</v>
      </c>
      <c r="H1171" s="12"/>
      <c r="I1171" s="5"/>
      <c r="J1171" s="17"/>
      <c r="K1171" s="11"/>
      <c r="L1171" s="12"/>
      <c r="M1171" s="12"/>
      <c r="N1171" s="12"/>
      <c r="O1171" s="227" t="s">
        <v>733</v>
      </c>
    </row>
    <row r="1172" ht="18.75" customHeight="1">
      <c r="B1172" s="59"/>
      <c r="C1172" s="59"/>
      <c r="D1172" s="59" t="s">
        <v>733</v>
      </c>
      <c r="H1172" s="12"/>
      <c r="I1172" s="5"/>
      <c r="J1172" s="17"/>
      <c r="K1172" s="11"/>
      <c r="L1172" s="12"/>
      <c r="M1172" s="12"/>
      <c r="N1172" s="12"/>
      <c r="O1172" s="227" t="s">
        <v>733</v>
      </c>
    </row>
    <row r="1173" ht="18.75" customHeight="1">
      <c r="B1173" s="59"/>
      <c r="C1173" s="59"/>
      <c r="D1173" s="59" t="s">
        <v>733</v>
      </c>
      <c r="H1173" s="12"/>
      <c r="I1173" s="5"/>
      <c r="J1173" s="17"/>
      <c r="K1173" s="11"/>
      <c r="L1173" s="12"/>
      <c r="M1173" s="12"/>
      <c r="N1173" s="12"/>
      <c r="O1173" s="227" t="s">
        <v>733</v>
      </c>
    </row>
    <row r="1174" ht="18.75" customHeight="1">
      <c r="B1174" s="59"/>
      <c r="C1174" s="59"/>
      <c r="D1174" s="59" t="s">
        <v>733</v>
      </c>
      <c r="H1174" s="12"/>
      <c r="I1174" s="5"/>
      <c r="J1174" s="17"/>
      <c r="K1174" s="11"/>
      <c r="L1174" s="12"/>
      <c r="M1174" s="12"/>
      <c r="N1174" s="12"/>
      <c r="O1174" s="227" t="s">
        <v>733</v>
      </c>
    </row>
    <row r="1175" ht="18.75" customHeight="1">
      <c r="B1175" s="59"/>
      <c r="C1175" s="59"/>
      <c r="D1175" s="59" t="s">
        <v>733</v>
      </c>
      <c r="H1175" s="12"/>
      <c r="I1175" s="5"/>
      <c r="J1175" s="17"/>
      <c r="K1175" s="11"/>
      <c r="L1175" s="12"/>
      <c r="M1175" s="12"/>
      <c r="N1175" s="12"/>
      <c r="O1175" s="227" t="s">
        <v>733</v>
      </c>
    </row>
    <row r="1176" ht="18.75" customHeight="1">
      <c r="B1176" s="59"/>
      <c r="C1176" s="59"/>
      <c r="D1176" s="59" t="s">
        <v>733</v>
      </c>
      <c r="H1176" s="12"/>
      <c r="I1176" s="5"/>
      <c r="J1176" s="17"/>
      <c r="K1176" s="11"/>
      <c r="L1176" s="12"/>
      <c r="M1176" s="12"/>
      <c r="N1176" s="12"/>
      <c r="O1176" s="227" t="s">
        <v>733</v>
      </c>
    </row>
    <row r="1177" ht="18.75" customHeight="1">
      <c r="B1177" s="59"/>
      <c r="C1177" s="59"/>
      <c r="D1177" s="59" t="s">
        <v>733</v>
      </c>
      <c r="H1177" s="12"/>
      <c r="I1177" s="5"/>
      <c r="J1177" s="17"/>
      <c r="K1177" s="11"/>
      <c r="L1177" s="12"/>
      <c r="M1177" s="12"/>
      <c r="N1177" s="12"/>
      <c r="O1177" s="227" t="s">
        <v>733</v>
      </c>
    </row>
    <row r="1178" ht="18.75" customHeight="1">
      <c r="B1178" s="59"/>
      <c r="C1178" s="59"/>
      <c r="D1178" s="59" t="s">
        <v>733</v>
      </c>
      <c r="H1178" s="12"/>
      <c r="I1178" s="5"/>
      <c r="J1178" s="17"/>
      <c r="K1178" s="11"/>
      <c r="L1178" s="12"/>
      <c r="M1178" s="12"/>
      <c r="N1178" s="12"/>
      <c r="O1178" s="227" t="s">
        <v>733</v>
      </c>
    </row>
    <row r="1179" ht="18.75" customHeight="1">
      <c r="B1179" s="59"/>
      <c r="C1179" s="59"/>
      <c r="D1179" s="59" t="s">
        <v>733</v>
      </c>
      <c r="H1179" s="12"/>
      <c r="I1179" s="5"/>
      <c r="J1179" s="17"/>
      <c r="K1179" s="11"/>
      <c r="L1179" s="12"/>
      <c r="M1179" s="12"/>
      <c r="N1179" s="12"/>
      <c r="O1179" s="227" t="s">
        <v>733</v>
      </c>
    </row>
    <row r="1180" ht="18.75" customHeight="1">
      <c r="B1180" s="59"/>
      <c r="C1180" s="59"/>
      <c r="D1180" s="59" t="s">
        <v>733</v>
      </c>
      <c r="H1180" s="12"/>
      <c r="I1180" s="5"/>
      <c r="J1180" s="17"/>
      <c r="K1180" s="11"/>
      <c r="L1180" s="12"/>
      <c r="M1180" s="12"/>
      <c r="N1180" s="12"/>
      <c r="O1180" s="227" t="s">
        <v>733</v>
      </c>
    </row>
    <row r="1181" ht="18.75" customHeight="1">
      <c r="B1181" s="59"/>
      <c r="C1181" s="59"/>
      <c r="D1181" s="59" t="s">
        <v>733</v>
      </c>
      <c r="H1181" s="12"/>
      <c r="I1181" s="5"/>
      <c r="J1181" s="17"/>
      <c r="K1181" s="11"/>
      <c r="L1181" s="12"/>
      <c r="M1181" s="12"/>
      <c r="N1181" s="12"/>
      <c r="O1181" s="227" t="s">
        <v>733</v>
      </c>
    </row>
    <row r="1182" ht="18.75" customHeight="1">
      <c r="B1182" s="59"/>
      <c r="C1182" s="59"/>
      <c r="D1182" s="59" t="s">
        <v>733</v>
      </c>
      <c r="H1182" s="12"/>
      <c r="I1182" s="5"/>
      <c r="J1182" s="17"/>
      <c r="K1182" s="11"/>
      <c r="L1182" s="12"/>
      <c r="M1182" s="12"/>
      <c r="N1182" s="12"/>
      <c r="O1182" s="227" t="s">
        <v>733</v>
      </c>
    </row>
    <row r="1183" ht="18.75" customHeight="1">
      <c r="B1183" s="59"/>
      <c r="C1183" s="59"/>
      <c r="D1183" s="59" t="s">
        <v>733</v>
      </c>
      <c r="H1183" s="12"/>
      <c r="I1183" s="5"/>
      <c r="J1183" s="17"/>
      <c r="K1183" s="11"/>
      <c r="L1183" s="12"/>
      <c r="M1183" s="12"/>
      <c r="N1183" s="12"/>
      <c r="O1183" s="227" t="s">
        <v>733</v>
      </c>
    </row>
    <row r="1184" ht="18.75" customHeight="1">
      <c r="B1184" s="59"/>
      <c r="C1184" s="59"/>
      <c r="D1184" s="59" t="s">
        <v>733</v>
      </c>
      <c r="H1184" s="12"/>
      <c r="I1184" s="5"/>
      <c r="J1184" s="17"/>
      <c r="K1184" s="11"/>
      <c r="L1184" s="12"/>
      <c r="M1184" s="12"/>
      <c r="N1184" s="12"/>
      <c r="O1184" s="227" t="s">
        <v>733</v>
      </c>
    </row>
    <row r="1185" ht="18.75" customHeight="1">
      <c r="B1185" s="59"/>
      <c r="C1185" s="59"/>
      <c r="D1185" s="59" t="s">
        <v>733</v>
      </c>
      <c r="H1185" s="12"/>
      <c r="I1185" s="5"/>
      <c r="J1185" s="17"/>
      <c r="K1185" s="11"/>
      <c r="L1185" s="12"/>
      <c r="M1185" s="12"/>
      <c r="N1185" s="12"/>
      <c r="O1185" s="227" t="s">
        <v>733</v>
      </c>
    </row>
    <row r="1186" ht="18.75" customHeight="1">
      <c r="B1186" s="59"/>
      <c r="C1186" s="59"/>
      <c r="D1186" s="59" t="s">
        <v>733</v>
      </c>
      <c r="H1186" s="12"/>
      <c r="I1186" s="5"/>
      <c r="J1186" s="17"/>
      <c r="K1186" s="11"/>
      <c r="L1186" s="12"/>
      <c r="M1186" s="12"/>
      <c r="N1186" s="12"/>
      <c r="O1186" s="227" t="s">
        <v>733</v>
      </c>
    </row>
    <row r="1187" ht="18.75" customHeight="1">
      <c r="B1187" s="59"/>
      <c r="C1187" s="59"/>
      <c r="D1187" s="59" t="s">
        <v>733</v>
      </c>
      <c r="H1187" s="12"/>
      <c r="I1187" s="5"/>
      <c r="J1187" s="17"/>
      <c r="K1187" s="11"/>
      <c r="L1187" s="12"/>
      <c r="M1187" s="12"/>
      <c r="N1187" s="12"/>
      <c r="O1187" s="227" t="s">
        <v>733</v>
      </c>
    </row>
    <row r="1188" ht="18.75" customHeight="1">
      <c r="B1188" s="59"/>
      <c r="C1188" s="59"/>
      <c r="D1188" s="59" t="s">
        <v>733</v>
      </c>
      <c r="H1188" s="12"/>
      <c r="I1188" s="5"/>
      <c r="J1188" s="17"/>
      <c r="K1188" s="11"/>
      <c r="L1188" s="12"/>
      <c r="M1188" s="12"/>
      <c r="N1188" s="12"/>
      <c r="O1188" s="227" t="s">
        <v>733</v>
      </c>
    </row>
    <row r="1189" ht="18.75" customHeight="1">
      <c r="B1189" s="59"/>
      <c r="C1189" s="59"/>
      <c r="D1189" s="59" t="s">
        <v>733</v>
      </c>
      <c r="H1189" s="12"/>
      <c r="I1189" s="5"/>
      <c r="J1189" s="17"/>
      <c r="K1189" s="11"/>
      <c r="L1189" s="12"/>
      <c r="M1189" s="12"/>
      <c r="N1189" s="12"/>
      <c r="O1189" s="227" t="s">
        <v>733</v>
      </c>
    </row>
    <row r="1190" ht="18.75" customHeight="1">
      <c r="B1190" s="59"/>
      <c r="C1190" s="59"/>
      <c r="D1190" s="59" t="s">
        <v>733</v>
      </c>
      <c r="H1190" s="12"/>
      <c r="I1190" s="5"/>
      <c r="J1190" s="17"/>
      <c r="K1190" s="11"/>
      <c r="L1190" s="12"/>
      <c r="M1190" s="12"/>
      <c r="N1190" s="12"/>
      <c r="O1190" s="227" t="s">
        <v>733</v>
      </c>
    </row>
    <row r="1191" ht="18.75" customHeight="1">
      <c r="B1191" s="59"/>
      <c r="C1191" s="59"/>
      <c r="D1191" s="59" t="s">
        <v>733</v>
      </c>
      <c r="H1191" s="12"/>
      <c r="I1191" s="5"/>
      <c r="J1191" s="17"/>
      <c r="K1191" s="11"/>
      <c r="L1191" s="12"/>
      <c r="M1191" s="12"/>
      <c r="N1191" s="12"/>
      <c r="O1191" s="227" t="s">
        <v>733</v>
      </c>
    </row>
    <row r="1192" ht="18.75" customHeight="1">
      <c r="B1192" s="59"/>
      <c r="C1192" s="59"/>
      <c r="D1192" s="59" t="s">
        <v>733</v>
      </c>
      <c r="H1192" s="12"/>
      <c r="I1192" s="5"/>
      <c r="J1192" s="17"/>
      <c r="K1192" s="11"/>
      <c r="L1192" s="12"/>
      <c r="M1192" s="12"/>
      <c r="N1192" s="12"/>
      <c r="O1192" s="227" t="s">
        <v>733</v>
      </c>
    </row>
    <row r="1193" ht="18.75" customHeight="1">
      <c r="B1193" s="59"/>
      <c r="C1193" s="59"/>
      <c r="D1193" s="59" t="s">
        <v>733</v>
      </c>
      <c r="H1193" s="12"/>
      <c r="I1193" s="5"/>
      <c r="J1193" s="17"/>
      <c r="K1193" s="11"/>
      <c r="L1193" s="12"/>
      <c r="M1193" s="12"/>
      <c r="N1193" s="12"/>
      <c r="O1193" s="227" t="s">
        <v>733</v>
      </c>
    </row>
    <row r="1194" ht="18.75" customHeight="1">
      <c r="B1194" s="59"/>
      <c r="C1194" s="59"/>
      <c r="D1194" s="59" t="s">
        <v>733</v>
      </c>
      <c r="H1194" s="12"/>
      <c r="I1194" s="5"/>
      <c r="J1194" s="17"/>
      <c r="K1194" s="11"/>
      <c r="L1194" s="12"/>
      <c r="M1194" s="12"/>
      <c r="N1194" s="12"/>
      <c r="O1194" s="227" t="s">
        <v>733</v>
      </c>
    </row>
    <row r="1195" ht="18.75" customHeight="1">
      <c r="B1195" s="59"/>
      <c r="C1195" s="59"/>
      <c r="D1195" s="59" t="s">
        <v>733</v>
      </c>
      <c r="H1195" s="12"/>
      <c r="I1195" s="5"/>
      <c r="J1195" s="17"/>
      <c r="K1195" s="11"/>
      <c r="L1195" s="12"/>
      <c r="M1195" s="12"/>
      <c r="N1195" s="12"/>
      <c r="O1195" s="227" t="s">
        <v>733</v>
      </c>
    </row>
    <row r="1196" ht="18.75" customHeight="1">
      <c r="B1196" s="59"/>
      <c r="C1196" s="59"/>
      <c r="D1196" s="59" t="s">
        <v>733</v>
      </c>
      <c r="H1196" s="12"/>
      <c r="I1196" s="5"/>
      <c r="J1196" s="17"/>
      <c r="K1196" s="11"/>
      <c r="L1196" s="12"/>
      <c r="M1196" s="12"/>
      <c r="N1196" s="12"/>
      <c r="O1196" s="227" t="s">
        <v>733</v>
      </c>
    </row>
    <row r="1197" ht="18.75" customHeight="1">
      <c r="B1197" s="59"/>
      <c r="C1197" s="59"/>
      <c r="D1197" s="59" t="s">
        <v>733</v>
      </c>
      <c r="H1197" s="12"/>
      <c r="I1197" s="5"/>
      <c r="J1197" s="17"/>
      <c r="K1197" s="11"/>
      <c r="L1197" s="12"/>
      <c r="M1197" s="12"/>
      <c r="N1197" s="12"/>
      <c r="O1197" s="227" t="s">
        <v>733</v>
      </c>
    </row>
    <row r="1198" ht="18.75" customHeight="1">
      <c r="B1198" s="59"/>
      <c r="C1198" s="59"/>
      <c r="D1198" s="59" t="s">
        <v>733</v>
      </c>
      <c r="H1198" s="12"/>
      <c r="I1198" s="5"/>
      <c r="J1198" s="17"/>
      <c r="K1198" s="11"/>
      <c r="L1198" s="12"/>
      <c r="M1198" s="12"/>
      <c r="N1198" s="12"/>
      <c r="O1198" s="227" t="s">
        <v>733</v>
      </c>
    </row>
    <row r="1199" ht="18.75" customHeight="1">
      <c r="B1199" s="59"/>
      <c r="C1199" s="59"/>
      <c r="D1199" s="59" t="s">
        <v>733</v>
      </c>
      <c r="H1199" s="12"/>
      <c r="I1199" s="5"/>
      <c r="J1199" s="17"/>
      <c r="K1199" s="11"/>
      <c r="L1199" s="12"/>
      <c r="M1199" s="12"/>
      <c r="N1199" s="12"/>
      <c r="O1199" s="227" t="s">
        <v>733</v>
      </c>
    </row>
    <row r="1200" ht="18.75" customHeight="1">
      <c r="B1200" s="59"/>
      <c r="C1200" s="59"/>
      <c r="D1200" s="59" t="s">
        <v>733</v>
      </c>
      <c r="H1200" s="12"/>
      <c r="I1200" s="5"/>
      <c r="J1200" s="17"/>
      <c r="K1200" s="11"/>
      <c r="L1200" s="12"/>
      <c r="M1200" s="12"/>
      <c r="N1200" s="12"/>
      <c r="O1200" s="227" t="s">
        <v>733</v>
      </c>
    </row>
    <row r="1201" ht="18.75" customHeight="1">
      <c r="B1201" s="59"/>
      <c r="C1201" s="59"/>
      <c r="D1201" s="59" t="s">
        <v>733</v>
      </c>
      <c r="H1201" s="12"/>
      <c r="I1201" s="5"/>
      <c r="J1201" s="17"/>
      <c r="K1201" s="11"/>
      <c r="L1201" s="12"/>
      <c r="M1201" s="12"/>
      <c r="N1201" s="12"/>
      <c r="O1201" s="227" t="s">
        <v>733</v>
      </c>
    </row>
    <row r="1202" ht="18.75" customHeight="1">
      <c r="B1202" s="59"/>
      <c r="C1202" s="59"/>
      <c r="D1202" s="59" t="s">
        <v>733</v>
      </c>
      <c r="H1202" s="12"/>
      <c r="I1202" s="5"/>
      <c r="J1202" s="17"/>
      <c r="K1202" s="11"/>
      <c r="L1202" s="12"/>
      <c r="M1202" s="12"/>
      <c r="N1202" s="12"/>
      <c r="O1202" s="227" t="s">
        <v>733</v>
      </c>
    </row>
    <row r="1203" ht="18.75" customHeight="1">
      <c r="B1203" s="59"/>
      <c r="C1203" s="59"/>
      <c r="D1203" s="59" t="s">
        <v>733</v>
      </c>
      <c r="H1203" s="12"/>
      <c r="I1203" s="5"/>
      <c r="J1203" s="17"/>
      <c r="K1203" s="11"/>
      <c r="L1203" s="12"/>
      <c r="M1203" s="12"/>
      <c r="N1203" s="12"/>
      <c r="O1203" s="227" t="s">
        <v>733</v>
      </c>
    </row>
    <row r="1204" ht="18.75" customHeight="1">
      <c r="B1204" s="59"/>
      <c r="C1204" s="59"/>
      <c r="D1204" s="59" t="s">
        <v>733</v>
      </c>
      <c r="H1204" s="12"/>
      <c r="I1204" s="5"/>
      <c r="J1204" s="17"/>
      <c r="K1204" s="11"/>
      <c r="L1204" s="12"/>
      <c r="M1204" s="12"/>
      <c r="N1204" s="12"/>
      <c r="O1204" s="227" t="s">
        <v>733</v>
      </c>
    </row>
    <row r="1205" ht="18.75" customHeight="1">
      <c r="B1205" s="59"/>
      <c r="C1205" s="59"/>
      <c r="D1205" s="59" t="s">
        <v>733</v>
      </c>
      <c r="H1205" s="12"/>
      <c r="I1205" s="5"/>
      <c r="J1205" s="17"/>
      <c r="K1205" s="11"/>
      <c r="L1205" s="12"/>
      <c r="M1205" s="12"/>
      <c r="N1205" s="12"/>
      <c r="O1205" s="227" t="s">
        <v>733</v>
      </c>
    </row>
    <row r="1206" ht="18.75" customHeight="1">
      <c r="B1206" s="59"/>
      <c r="C1206" s="59"/>
      <c r="D1206" s="59" t="s">
        <v>733</v>
      </c>
      <c r="H1206" s="12"/>
      <c r="I1206" s="5"/>
      <c r="J1206" s="17"/>
      <c r="K1206" s="11"/>
      <c r="L1206" s="12"/>
      <c r="M1206" s="12"/>
      <c r="N1206" s="12"/>
      <c r="O1206" s="227" t="s">
        <v>733</v>
      </c>
    </row>
    <row r="1207" ht="18.75" customHeight="1">
      <c r="B1207" s="59"/>
      <c r="C1207" s="59"/>
      <c r="D1207" s="59" t="s">
        <v>733</v>
      </c>
      <c r="H1207" s="12"/>
      <c r="I1207" s="5"/>
      <c r="J1207" s="17"/>
      <c r="K1207" s="11"/>
      <c r="L1207" s="12"/>
      <c r="M1207" s="12"/>
      <c r="N1207" s="12"/>
      <c r="O1207" s="227" t="s">
        <v>733</v>
      </c>
    </row>
    <row r="1208" ht="18.75" customHeight="1">
      <c r="B1208" s="59"/>
      <c r="C1208" s="59"/>
      <c r="D1208" s="59" t="s">
        <v>733</v>
      </c>
      <c r="H1208" s="12"/>
      <c r="I1208" s="5"/>
      <c r="J1208" s="17"/>
      <c r="K1208" s="11"/>
      <c r="L1208" s="12"/>
      <c r="M1208" s="12"/>
      <c r="N1208" s="12"/>
      <c r="O1208" s="227" t="s">
        <v>733</v>
      </c>
    </row>
    <row r="1209" ht="18.75" customHeight="1">
      <c r="B1209" s="59"/>
      <c r="C1209" s="59"/>
      <c r="D1209" s="59" t="s">
        <v>733</v>
      </c>
      <c r="H1209" s="12"/>
      <c r="I1209" s="5"/>
      <c r="J1209" s="17"/>
      <c r="K1209" s="11"/>
      <c r="L1209" s="12"/>
      <c r="M1209" s="12"/>
      <c r="N1209" s="12"/>
      <c r="O1209" s="227" t="s">
        <v>733</v>
      </c>
    </row>
    <row r="1210" ht="18.75" customHeight="1">
      <c r="B1210" s="59"/>
      <c r="C1210" s="59"/>
      <c r="D1210" s="59" t="s">
        <v>733</v>
      </c>
      <c r="H1210" s="12"/>
      <c r="I1210" s="5"/>
      <c r="J1210" s="17"/>
      <c r="K1210" s="11"/>
      <c r="L1210" s="12"/>
      <c r="M1210" s="12"/>
      <c r="N1210" s="12"/>
      <c r="O1210" s="227" t="s">
        <v>733</v>
      </c>
    </row>
    <row r="1211" ht="18.75" customHeight="1">
      <c r="B1211" s="59"/>
      <c r="C1211" s="59"/>
      <c r="D1211" s="59" t="s">
        <v>733</v>
      </c>
      <c r="H1211" s="12"/>
      <c r="I1211" s="5"/>
      <c r="J1211" s="17"/>
      <c r="K1211" s="11"/>
      <c r="L1211" s="12"/>
      <c r="M1211" s="12"/>
      <c r="N1211" s="12"/>
      <c r="O1211" s="227" t="s">
        <v>733</v>
      </c>
    </row>
    <row r="1212" ht="18.75" customHeight="1">
      <c r="B1212" s="59"/>
      <c r="C1212" s="59"/>
      <c r="D1212" s="59" t="s">
        <v>733</v>
      </c>
      <c r="H1212" s="12"/>
      <c r="I1212" s="5"/>
      <c r="J1212" s="17"/>
      <c r="K1212" s="11"/>
      <c r="L1212" s="12"/>
      <c r="M1212" s="12"/>
      <c r="N1212" s="12"/>
      <c r="O1212" s="227" t="s">
        <v>733</v>
      </c>
    </row>
    <row r="1213" ht="18.75" customHeight="1">
      <c r="B1213" s="59"/>
      <c r="C1213" s="59"/>
      <c r="D1213" s="59" t="s">
        <v>733</v>
      </c>
      <c r="H1213" s="12"/>
      <c r="I1213" s="5"/>
      <c r="J1213" s="17"/>
      <c r="K1213" s="11"/>
      <c r="L1213" s="12"/>
      <c r="M1213" s="12"/>
      <c r="N1213" s="12"/>
      <c r="O1213" s="227" t="s">
        <v>733</v>
      </c>
    </row>
    <row r="1214" ht="18.75" customHeight="1">
      <c r="B1214" s="59"/>
      <c r="C1214" s="59"/>
      <c r="D1214" s="59" t="s">
        <v>733</v>
      </c>
      <c r="H1214" s="12"/>
      <c r="I1214" s="5"/>
      <c r="J1214" s="17"/>
      <c r="K1214" s="11"/>
      <c r="L1214" s="12"/>
      <c r="M1214" s="12"/>
      <c r="N1214" s="12"/>
      <c r="O1214" s="227" t="s">
        <v>733</v>
      </c>
    </row>
    <row r="1215" ht="18.75" customHeight="1">
      <c r="B1215" s="59"/>
      <c r="C1215" s="59"/>
      <c r="D1215" s="59" t="s">
        <v>733</v>
      </c>
      <c r="H1215" s="12"/>
      <c r="I1215" s="5"/>
      <c r="J1215" s="17"/>
      <c r="K1215" s="11"/>
      <c r="L1215" s="12"/>
      <c r="M1215" s="12"/>
      <c r="N1215" s="12"/>
      <c r="O1215" s="227" t="s">
        <v>733</v>
      </c>
    </row>
    <row r="1216" ht="18.75" customHeight="1">
      <c r="B1216" s="59"/>
      <c r="C1216" s="59"/>
      <c r="D1216" s="59" t="s">
        <v>733</v>
      </c>
      <c r="H1216" s="12"/>
      <c r="I1216" s="5"/>
      <c r="J1216" s="17"/>
      <c r="K1216" s="11"/>
      <c r="L1216" s="12"/>
      <c r="M1216" s="12"/>
      <c r="N1216" s="12"/>
      <c r="O1216" s="227" t="s">
        <v>733</v>
      </c>
    </row>
    <row r="1217" ht="18.75" customHeight="1">
      <c r="B1217" s="59"/>
      <c r="C1217" s="59"/>
      <c r="D1217" s="59" t="s">
        <v>733</v>
      </c>
      <c r="H1217" s="12"/>
      <c r="I1217" s="5"/>
      <c r="J1217" s="17"/>
      <c r="K1217" s="11"/>
      <c r="L1217" s="12"/>
      <c r="M1217" s="12"/>
      <c r="N1217" s="12"/>
      <c r="O1217" s="227" t="s">
        <v>733</v>
      </c>
    </row>
    <row r="1218" ht="18.75" customHeight="1">
      <c r="B1218" s="59"/>
      <c r="C1218" s="59"/>
      <c r="D1218" s="59" t="s">
        <v>733</v>
      </c>
      <c r="H1218" s="12"/>
      <c r="I1218" s="5"/>
      <c r="J1218" s="17"/>
      <c r="K1218" s="11"/>
      <c r="L1218" s="12"/>
      <c r="M1218" s="12"/>
      <c r="N1218" s="12"/>
      <c r="O1218" s="227" t="s">
        <v>733</v>
      </c>
    </row>
    <row r="1219" ht="18.75" customHeight="1">
      <c r="B1219" s="59"/>
      <c r="C1219" s="59"/>
      <c r="D1219" s="59" t="s">
        <v>733</v>
      </c>
      <c r="H1219" s="12"/>
      <c r="I1219" s="5"/>
      <c r="J1219" s="17"/>
      <c r="K1219" s="11"/>
      <c r="L1219" s="12"/>
      <c r="M1219" s="12"/>
      <c r="N1219" s="12"/>
      <c r="O1219" s="227" t="s">
        <v>733</v>
      </c>
    </row>
    <row r="1220" ht="18.75" customHeight="1">
      <c r="B1220" s="59"/>
      <c r="C1220" s="59"/>
      <c r="D1220" s="59" t="s">
        <v>733</v>
      </c>
      <c r="H1220" s="12"/>
      <c r="I1220" s="5"/>
      <c r="J1220" s="17"/>
      <c r="K1220" s="11"/>
      <c r="L1220" s="12"/>
      <c r="M1220" s="12"/>
      <c r="N1220" s="12"/>
      <c r="O1220" s="227" t="s">
        <v>733</v>
      </c>
    </row>
    <row r="1221" ht="18.75" customHeight="1">
      <c r="B1221" s="59"/>
      <c r="C1221" s="59"/>
      <c r="D1221" s="59" t="s">
        <v>733</v>
      </c>
      <c r="H1221" s="12"/>
      <c r="I1221" s="5"/>
      <c r="J1221" s="17"/>
      <c r="K1221" s="11"/>
      <c r="L1221" s="12"/>
      <c r="M1221" s="12"/>
      <c r="N1221" s="12"/>
      <c r="O1221" s="227" t="s">
        <v>733</v>
      </c>
    </row>
    <row r="1222" ht="18.75" customHeight="1">
      <c r="B1222" s="59"/>
      <c r="C1222" s="59"/>
      <c r="D1222" s="59" t="s">
        <v>733</v>
      </c>
      <c r="H1222" s="12"/>
      <c r="I1222" s="5"/>
      <c r="J1222" s="17"/>
      <c r="K1222" s="11"/>
      <c r="L1222" s="12"/>
      <c r="M1222" s="12"/>
      <c r="N1222" s="12"/>
      <c r="O1222" s="227" t="s">
        <v>733</v>
      </c>
    </row>
    <row r="1223" ht="18.75" customHeight="1">
      <c r="B1223" s="59"/>
      <c r="C1223" s="59"/>
      <c r="D1223" s="59" t="s">
        <v>733</v>
      </c>
      <c r="H1223" s="12"/>
      <c r="I1223" s="5"/>
      <c r="J1223" s="17"/>
      <c r="K1223" s="11"/>
      <c r="L1223" s="12"/>
      <c r="M1223" s="12"/>
      <c r="N1223" s="12"/>
      <c r="O1223" s="227" t="s">
        <v>733</v>
      </c>
    </row>
    <row r="1224" ht="18.75" customHeight="1">
      <c r="B1224" s="59"/>
      <c r="C1224" s="59"/>
      <c r="D1224" s="59" t="s">
        <v>733</v>
      </c>
      <c r="H1224" s="12"/>
      <c r="I1224" s="5"/>
      <c r="J1224" s="17"/>
      <c r="K1224" s="11"/>
      <c r="L1224" s="12"/>
      <c r="M1224" s="12"/>
      <c r="N1224" s="12"/>
      <c r="O1224" s="227" t="s">
        <v>733</v>
      </c>
    </row>
    <row r="1225" ht="18.75" customHeight="1">
      <c r="B1225" s="59"/>
      <c r="C1225" s="59"/>
      <c r="D1225" s="59" t="s">
        <v>733</v>
      </c>
      <c r="H1225" s="12"/>
      <c r="I1225" s="5"/>
      <c r="J1225" s="17"/>
      <c r="K1225" s="11"/>
      <c r="L1225" s="12"/>
      <c r="M1225" s="12"/>
      <c r="N1225" s="12"/>
      <c r="O1225" s="227" t="s">
        <v>733</v>
      </c>
    </row>
    <row r="1226" ht="18.75" customHeight="1">
      <c r="B1226" s="59"/>
      <c r="C1226" s="59"/>
      <c r="D1226" s="59" t="s">
        <v>733</v>
      </c>
      <c r="H1226" s="12"/>
      <c r="I1226" s="5"/>
      <c r="J1226" s="17"/>
      <c r="K1226" s="11"/>
      <c r="L1226" s="12"/>
      <c r="M1226" s="12"/>
      <c r="N1226" s="12"/>
      <c r="O1226" s="227" t="s">
        <v>733</v>
      </c>
    </row>
    <row r="1227" ht="18.75" customHeight="1">
      <c r="B1227" s="59"/>
      <c r="C1227" s="59"/>
      <c r="D1227" s="59" t="s">
        <v>733</v>
      </c>
      <c r="H1227" s="12"/>
      <c r="I1227" s="5"/>
      <c r="J1227" s="17"/>
      <c r="K1227" s="11"/>
      <c r="L1227" s="12"/>
      <c r="M1227" s="12"/>
      <c r="N1227" s="12"/>
      <c r="O1227" s="227" t="s">
        <v>733</v>
      </c>
    </row>
    <row r="1228" ht="18.75" customHeight="1">
      <c r="B1228" s="59"/>
      <c r="C1228" s="59"/>
      <c r="D1228" s="59" t="s">
        <v>733</v>
      </c>
      <c r="H1228" s="12"/>
      <c r="I1228" s="5"/>
      <c r="J1228" s="17"/>
      <c r="K1228" s="11"/>
      <c r="L1228" s="12"/>
      <c r="M1228" s="12"/>
      <c r="N1228" s="12"/>
      <c r="O1228" s="227" t="s">
        <v>733</v>
      </c>
    </row>
  </sheetData>
  <autoFilter ref="$A$1:$Q$12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" t="s">
        <v>0</v>
      </c>
      <c r="B1" s="2" t="s">
        <v>5</v>
      </c>
      <c r="E1" s="4" t="s">
        <v>6</v>
      </c>
      <c r="F1" s="12">
        <f>SUM(B2:B982)</f>
        <v>49255.19499</v>
      </c>
    </row>
    <row r="2">
      <c r="A2" s="16" t="s">
        <v>33</v>
      </c>
      <c r="B2" s="12">
        <f t="shared" ref="B2:B24" si="1">INDIRECT("'" &amp; A2 &amp; "'!I1")</f>
        <v>10639.22132</v>
      </c>
      <c r="J2" s="4" t="s">
        <v>50</v>
      </c>
      <c r="K2" s="7">
        <v>16999.0</v>
      </c>
    </row>
    <row r="3">
      <c r="A3" s="16" t="s">
        <v>51</v>
      </c>
      <c r="B3" s="12">
        <f t="shared" si="1"/>
        <v>7052.367711</v>
      </c>
      <c r="J3" s="4" t="s">
        <v>55</v>
      </c>
      <c r="K3" s="7">
        <v>16999.0</v>
      </c>
    </row>
    <row r="4">
      <c r="A4" s="16" t="s">
        <v>57</v>
      </c>
      <c r="B4" s="12">
        <f t="shared" si="1"/>
        <v>2912.72677</v>
      </c>
      <c r="J4" s="4" t="s">
        <v>58</v>
      </c>
      <c r="K4" s="7">
        <v>22999.0</v>
      </c>
    </row>
    <row r="5">
      <c r="A5" s="16" t="s">
        <v>60</v>
      </c>
      <c r="B5" s="12">
        <f t="shared" si="1"/>
        <v>3477</v>
      </c>
      <c r="J5" s="4" t="s">
        <v>61</v>
      </c>
      <c r="K5" s="7">
        <v>169999.0</v>
      </c>
    </row>
    <row r="6">
      <c r="A6" s="16" t="s">
        <v>62</v>
      </c>
      <c r="B6" s="12">
        <f t="shared" si="1"/>
        <v>2909.678534</v>
      </c>
      <c r="J6" s="4" t="s">
        <v>63</v>
      </c>
      <c r="K6" s="7">
        <v>24999.0</v>
      </c>
    </row>
    <row r="7">
      <c r="A7" s="16" t="s">
        <v>64</v>
      </c>
      <c r="B7" s="12">
        <f t="shared" si="1"/>
        <v>1426.872171</v>
      </c>
      <c r="J7" s="4" t="s">
        <v>65</v>
      </c>
      <c r="K7" s="7">
        <v>22999.0</v>
      </c>
    </row>
    <row r="8">
      <c r="A8" s="16" t="s">
        <v>68</v>
      </c>
      <c r="B8" s="12">
        <f t="shared" si="1"/>
        <v>2551.5</v>
      </c>
      <c r="J8" s="4" t="s">
        <v>69</v>
      </c>
      <c r="K8" s="7">
        <v>33999.0</v>
      </c>
    </row>
    <row r="9">
      <c r="A9" s="16" t="s">
        <v>25</v>
      </c>
      <c r="B9" s="12">
        <f t="shared" si="1"/>
        <v>2480</v>
      </c>
      <c r="J9" s="4" t="s">
        <v>71</v>
      </c>
      <c r="K9" s="7">
        <v>6999.0</v>
      </c>
    </row>
    <row r="10">
      <c r="A10" s="16" t="s">
        <v>72</v>
      </c>
      <c r="B10" s="12">
        <f t="shared" si="1"/>
        <v>2952.36338</v>
      </c>
      <c r="J10" s="4" t="s">
        <v>75</v>
      </c>
      <c r="K10" s="7">
        <v>6499.0</v>
      </c>
    </row>
    <row r="11">
      <c r="A11" s="16" t="s">
        <v>76</v>
      </c>
      <c r="B11" s="12">
        <f t="shared" si="1"/>
        <v>1985</v>
      </c>
      <c r="J11" s="4" t="s">
        <v>79</v>
      </c>
      <c r="K11" s="7">
        <v>36999.0</v>
      </c>
    </row>
    <row r="12">
      <c r="A12" s="16" t="s">
        <v>81</v>
      </c>
      <c r="B12" s="12">
        <f t="shared" si="1"/>
        <v>1501</v>
      </c>
    </row>
    <row r="13">
      <c r="A13" s="16" t="s">
        <v>85</v>
      </c>
      <c r="B13" s="12">
        <f t="shared" si="1"/>
        <v>1467.748652</v>
      </c>
    </row>
    <row r="14">
      <c r="A14" s="16" t="s">
        <v>89</v>
      </c>
      <c r="B14" s="12">
        <f t="shared" si="1"/>
        <v>1315</v>
      </c>
    </row>
    <row r="15">
      <c r="A15" s="16" t="s">
        <v>91</v>
      </c>
      <c r="B15" s="12">
        <f t="shared" si="1"/>
        <v>950.2325916</v>
      </c>
    </row>
    <row r="16">
      <c r="A16" s="16" t="s">
        <v>93</v>
      </c>
      <c r="B16" s="12">
        <f t="shared" si="1"/>
        <v>733</v>
      </c>
    </row>
    <row r="17">
      <c r="A17" s="16" t="s">
        <v>95</v>
      </c>
      <c r="B17" s="12">
        <f t="shared" si="1"/>
        <v>309.7628814</v>
      </c>
    </row>
    <row r="18">
      <c r="A18" s="16" t="s">
        <v>97</v>
      </c>
      <c r="B18" s="12">
        <f t="shared" si="1"/>
        <v>482</v>
      </c>
    </row>
    <row r="19">
      <c r="A19" s="16" t="s">
        <v>99</v>
      </c>
      <c r="B19" s="12">
        <f t="shared" si="1"/>
        <v>430</v>
      </c>
    </row>
    <row r="20">
      <c r="A20" s="16" t="s">
        <v>101</v>
      </c>
      <c r="B20" s="12">
        <f t="shared" si="1"/>
        <v>2083.026612</v>
      </c>
    </row>
    <row r="21">
      <c r="A21" s="16" t="s">
        <v>104</v>
      </c>
      <c r="B21" s="12">
        <f t="shared" si="1"/>
        <v>68.65995318</v>
      </c>
    </row>
    <row r="22">
      <c r="A22" s="16" t="s">
        <v>73</v>
      </c>
      <c r="B22" s="12">
        <f t="shared" si="1"/>
        <v>0</v>
      </c>
    </row>
    <row r="23">
      <c r="A23" s="16" t="s">
        <v>108</v>
      </c>
      <c r="B23" s="12">
        <f t="shared" si="1"/>
        <v>1528.036865</v>
      </c>
    </row>
    <row r="24">
      <c r="A24" s="16" t="s">
        <v>111</v>
      </c>
      <c r="B24" s="12">
        <f t="shared" si="1"/>
        <v>-0.002454999998</v>
      </c>
    </row>
  </sheetData>
  <autoFilter ref="$A$1:$B$982">
    <sortState ref="A1:B982">
      <sortCondition descending="1" ref="B1:B982"/>
    </sortState>
  </autoFilter>
  <conditionalFormatting sqref="B1:B24">
    <cfRule type="cellIs" dxfId="0" priority="1" operator="greaterThanOrEqual">
      <formula>3000</formula>
    </cfRule>
  </conditionalFormatting>
  <hyperlinks>
    <hyperlink display="TIN UY" location="'TIN UY'!A1" ref="A2"/>
    <hyperlink display="Facu Pisando" location="'Facu Pisando'!A1" ref="A3"/>
    <hyperlink display="Guille naesa" location="'Guille naesa'!A1" ref="A4"/>
    <hyperlink display="FACU LP" location="'FACU LP'!A1" ref="A5"/>
    <hyperlink display="Kanario" location="Kanario!A1" ref="A6"/>
    <hyperlink display="LT Grow" location="'LT Grow'!A1" ref="A7"/>
    <hyperlink display="MARSHAL LEAN" location="'MARSHAL LEAN'!A1" ref="A8"/>
    <hyperlink display="Alfredo Indajaus" location="'Alfredo Indajaus'!A1" ref="A9"/>
    <hyperlink display="vaporever" location="vaporever!A1" ref="A10"/>
    <hyperlink display="The pot club" location="'The pot club'!A1" ref="A11"/>
    <hyperlink display="Alto Vuelo" location="'Alto Vuelo'!A1" ref="A12"/>
    <hyperlink display="Pedro" location="Pedro!A1" ref="A13"/>
    <hyperlink display="Leloir ONG" location="'Leloir ONG'!A1" ref="A14"/>
    <hyperlink display="Alan" location="Alan!A1" ref="A15"/>
    <hyperlink display="Nahu La comarca" location="'Nahu La comarca'!A1" ref="A16"/>
    <hyperlink display="Lean TEGRIDAD" location="'Lean TEGRIDAD'!A1" ref="A17"/>
    <hyperlink display="Ale Ong Cordoba" location="'Ale Ong Cordoba'!A1" ref="A18"/>
    <hyperlink display="Tuki Grow" location="'Tuki Grow'!A1" ref="A19"/>
    <hyperlink display="Coco Salta" location="'Coco Salta'!A1" ref="A20"/>
    <hyperlink display="Agus Honney" location="'Agus Honney'!A1" ref="A21"/>
    <hyperlink display="High up OMG" location="'High up OMG'!A1" ref="A22"/>
    <hyperlink display="OLD FARMERS" location="'OLD FARMERS'!A1" ref="A23"/>
    <hyperlink display="Charly Distri" location="'Charly Distri'!A1" ref="A24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</cols>
  <sheetData>
    <row r="1">
      <c r="A1" s="1" t="s">
        <v>2</v>
      </c>
      <c r="B1" s="3" t="s">
        <v>4</v>
      </c>
      <c r="C1" s="3" t="s">
        <v>7</v>
      </c>
      <c r="D1" s="5"/>
    </row>
    <row r="2">
      <c r="A2" s="21" t="str">
        <f t="array" ref="A2:A1228">IF('Stock y price'!A2:A1643="", "", 'Stock y price'!A2:A1643)</f>
        <v>Peak Pro 3DXL - Onyx</v>
      </c>
      <c r="B2" s="3">
        <f t="array" ref="B2:B1228">IF('Stock y price'!A2:A1643="", "", 'Stock y price'!B2:B1643)</f>
        <v>380</v>
      </c>
      <c r="C2" s="36">
        <f t="array" ref="C2:C1228">IF('Stock y price'!A2:A1643="", "", 'Stock y price'!H2:H1643 + ('Stock y price'!B2:B1643 - 'Stock y price'!H2:H1643) / 2)</f>
        <v>348.715885</v>
      </c>
      <c r="D2" s="5">
        <f t="shared" ref="D2:D298" si="1">(B2/C2)-1</f>
        <v>0.08971233129</v>
      </c>
    </row>
    <row r="3">
      <c r="A3" s="21" t="s">
        <v>70</v>
      </c>
      <c r="B3" s="3">
        <v>380.0</v>
      </c>
      <c r="C3" s="36">
        <v>348.71588499999996</v>
      </c>
      <c r="D3" s="5">
        <f t="shared" si="1"/>
        <v>0.08971233129</v>
      </c>
    </row>
    <row r="4">
      <c r="A4" s="21" t="s">
        <v>86</v>
      </c>
      <c r="B4" s="3">
        <v>380.0</v>
      </c>
      <c r="C4" s="36">
        <v>348.71588499999996</v>
      </c>
      <c r="D4" s="5">
        <f t="shared" si="1"/>
        <v>0.08971233129</v>
      </c>
    </row>
    <row r="5">
      <c r="A5" s="21" t="s">
        <v>92</v>
      </c>
      <c r="B5" s="3">
        <v>230.0</v>
      </c>
      <c r="C5" s="36">
        <v>210.05551</v>
      </c>
      <c r="D5" s="5">
        <f t="shared" si="1"/>
        <v>0.09494866381</v>
      </c>
    </row>
    <row r="6">
      <c r="A6" s="21" t="s">
        <v>110</v>
      </c>
      <c r="B6" s="3">
        <v>230.0</v>
      </c>
      <c r="C6" s="36">
        <v>210.05551</v>
      </c>
      <c r="D6" s="5">
        <f t="shared" si="1"/>
        <v>0.09494866381</v>
      </c>
    </row>
    <row r="7">
      <c r="A7" s="21" t="s">
        <v>115</v>
      </c>
      <c r="B7" s="3">
        <v>210.0</v>
      </c>
      <c r="C7" s="36">
        <v>191.890155</v>
      </c>
      <c r="D7" s="5">
        <f t="shared" si="1"/>
        <v>0.09437610283</v>
      </c>
    </row>
    <row r="8">
      <c r="A8" s="21" t="s">
        <v>118</v>
      </c>
      <c r="B8" s="3">
        <v>210.0</v>
      </c>
      <c r="C8" s="36">
        <v>191.890155</v>
      </c>
      <c r="D8" s="5">
        <f t="shared" si="1"/>
        <v>0.09437610283</v>
      </c>
    </row>
    <row r="9">
      <c r="A9" s="21" t="s">
        <v>121</v>
      </c>
      <c r="B9" s="3">
        <v>50.0</v>
      </c>
      <c r="C9" s="36">
        <v>41.400999999999996</v>
      </c>
      <c r="D9" s="5">
        <f t="shared" si="1"/>
        <v>0.2077002971</v>
      </c>
    </row>
    <row r="10">
      <c r="A10" s="21" t="s">
        <v>123</v>
      </c>
      <c r="B10" s="3">
        <v>50.0</v>
      </c>
      <c r="C10" s="36">
        <v>41.400999999999996</v>
      </c>
      <c r="D10" s="5">
        <f t="shared" si="1"/>
        <v>0.2077002971</v>
      </c>
    </row>
    <row r="11">
      <c r="A11" s="21" t="s">
        <v>125</v>
      </c>
      <c r="B11" s="3">
        <v>120.0</v>
      </c>
      <c r="C11" s="36">
        <v>109.38405</v>
      </c>
      <c r="D11" s="5">
        <f t="shared" si="1"/>
        <v>0.09705208392</v>
      </c>
    </row>
    <row r="12">
      <c r="A12" s="21" t="s">
        <v>127</v>
      </c>
      <c r="B12" s="3">
        <v>120.0</v>
      </c>
      <c r="C12" s="36">
        <v>109.38405</v>
      </c>
      <c r="D12" s="5">
        <f t="shared" si="1"/>
        <v>0.09705208392</v>
      </c>
    </row>
    <row r="13">
      <c r="A13" s="21" t="s">
        <v>129</v>
      </c>
      <c r="B13" s="3">
        <v>215.0</v>
      </c>
      <c r="C13" s="36">
        <v>200.0698</v>
      </c>
      <c r="D13" s="5">
        <f t="shared" si="1"/>
        <v>0.07462495589</v>
      </c>
    </row>
    <row r="14">
      <c r="A14" s="21" t="s">
        <v>131</v>
      </c>
      <c r="B14" s="3">
        <v>215.0</v>
      </c>
      <c r="C14" s="36">
        <v>200.0698</v>
      </c>
      <c r="D14" s="5">
        <f t="shared" si="1"/>
        <v>0.07462495589</v>
      </c>
    </row>
    <row r="15">
      <c r="A15" s="21" t="s">
        <v>132</v>
      </c>
      <c r="B15" s="3">
        <v>215.0</v>
      </c>
      <c r="C15" s="36">
        <v>200.0698</v>
      </c>
      <c r="D15" s="5">
        <f t="shared" si="1"/>
        <v>0.07462495589</v>
      </c>
    </row>
    <row r="16">
      <c r="A16" s="21" t="s">
        <v>133</v>
      </c>
      <c r="B16" s="3">
        <v>90.0</v>
      </c>
      <c r="C16" s="36">
        <v>80.32818</v>
      </c>
      <c r="D16" s="5">
        <f t="shared" si="1"/>
        <v>0.1204038234</v>
      </c>
    </row>
    <row r="17">
      <c r="A17" s="21" t="s">
        <v>135</v>
      </c>
      <c r="B17" s="3">
        <v>90.0</v>
      </c>
      <c r="C17" s="36">
        <v>80.32818</v>
      </c>
      <c r="D17" s="5">
        <f t="shared" si="1"/>
        <v>0.1204038234</v>
      </c>
    </row>
    <row r="18">
      <c r="A18" s="21" t="s">
        <v>136</v>
      </c>
      <c r="B18" s="3">
        <v>90.0</v>
      </c>
      <c r="C18" s="36">
        <v>80.510295</v>
      </c>
      <c r="D18" s="5">
        <f t="shared" si="1"/>
        <v>0.11786946</v>
      </c>
    </row>
    <row r="19">
      <c r="A19" s="21" t="s">
        <v>138</v>
      </c>
      <c r="B19" s="3">
        <v>90.0</v>
      </c>
      <c r="C19" s="36">
        <v>80.510295</v>
      </c>
      <c r="D19" s="5">
        <f t="shared" si="1"/>
        <v>0.11786946</v>
      </c>
    </row>
    <row r="20">
      <c r="A20" s="21" t="s">
        <v>140</v>
      </c>
      <c r="B20" s="3">
        <v>90.0</v>
      </c>
      <c r="C20" s="36">
        <v>80.571</v>
      </c>
      <c r="D20" s="5">
        <f t="shared" si="1"/>
        <v>0.1170272182</v>
      </c>
    </row>
    <row r="21">
      <c r="A21" s="21" t="s">
        <v>142</v>
      </c>
      <c r="B21" s="3">
        <v>100.0</v>
      </c>
      <c r="C21" s="36">
        <v>86.5</v>
      </c>
      <c r="D21" s="5">
        <f t="shared" si="1"/>
        <v>0.1560693642</v>
      </c>
    </row>
    <row r="22">
      <c r="A22" s="21" t="s">
        <v>145</v>
      </c>
      <c r="B22" s="3">
        <v>80.0</v>
      </c>
      <c r="C22" s="36">
        <v>68.6485</v>
      </c>
      <c r="D22" s="5">
        <f t="shared" si="1"/>
        <v>0.1653568541</v>
      </c>
    </row>
    <row r="23">
      <c r="A23" s="21" t="s">
        <v>148</v>
      </c>
      <c r="B23" s="3">
        <v>80.0</v>
      </c>
      <c r="C23" s="36">
        <v>68.6485</v>
      </c>
      <c r="D23" s="5">
        <f t="shared" si="1"/>
        <v>0.1653568541</v>
      </c>
    </row>
    <row r="24">
      <c r="A24" s="21" t="s">
        <v>150</v>
      </c>
      <c r="B24" s="3">
        <v>60.0</v>
      </c>
      <c r="C24" s="36">
        <v>53.323499999999996</v>
      </c>
      <c r="D24" s="5">
        <f t="shared" si="1"/>
        <v>0.1252074601</v>
      </c>
    </row>
    <row r="25">
      <c r="A25" s="21" t="s">
        <v>152</v>
      </c>
      <c r="B25" s="9">
        <v>60.0</v>
      </c>
      <c r="C25" s="17">
        <v>53.323499999999996</v>
      </c>
      <c r="D25" s="5">
        <f t="shared" si="1"/>
        <v>0.1252074601</v>
      </c>
    </row>
    <row r="26">
      <c r="A26" s="21" t="s">
        <v>154</v>
      </c>
      <c r="B26" s="9">
        <v>60.0</v>
      </c>
      <c r="C26" s="17">
        <v>53.323499999999996</v>
      </c>
      <c r="D26" s="5">
        <f t="shared" si="1"/>
        <v>0.1252074601</v>
      </c>
    </row>
    <row r="27">
      <c r="A27" s="21" t="s">
        <v>156</v>
      </c>
      <c r="B27" s="9">
        <v>60.0</v>
      </c>
      <c r="C27" s="17">
        <v>53.323499999999996</v>
      </c>
      <c r="D27" s="5">
        <f t="shared" si="1"/>
        <v>0.1252074601</v>
      </c>
    </row>
    <row r="28">
      <c r="A28" s="21" t="s">
        <v>159</v>
      </c>
      <c r="B28" s="9">
        <v>50.0</v>
      </c>
      <c r="C28" s="17">
        <v>44.67</v>
      </c>
      <c r="D28" s="5">
        <f t="shared" si="1"/>
        <v>0.1193194538</v>
      </c>
    </row>
    <row r="29">
      <c r="A29" s="21" t="s">
        <v>163</v>
      </c>
      <c r="B29" s="17">
        <v>70.0</v>
      </c>
      <c r="C29" s="17">
        <v>61.18835</v>
      </c>
      <c r="D29" s="5">
        <f t="shared" si="1"/>
        <v>0.1440086226</v>
      </c>
    </row>
    <row r="30">
      <c r="A30" s="21" t="s">
        <v>165</v>
      </c>
      <c r="B30" s="17">
        <v>85.0</v>
      </c>
      <c r="C30" s="17">
        <v>71.473</v>
      </c>
      <c r="D30" s="5">
        <f t="shared" si="1"/>
        <v>0.1892602801</v>
      </c>
    </row>
    <row r="31">
      <c r="A31" s="21" t="s">
        <v>168</v>
      </c>
      <c r="B31" s="17">
        <v>85.0</v>
      </c>
      <c r="C31" s="17">
        <v>71.473</v>
      </c>
      <c r="D31" s="5">
        <f t="shared" si="1"/>
        <v>0.1892602801</v>
      </c>
    </row>
    <row r="32">
      <c r="A32" s="21" t="s">
        <v>169</v>
      </c>
      <c r="B32" s="17">
        <v>75.0</v>
      </c>
      <c r="C32" s="17">
        <v>66.473</v>
      </c>
      <c r="D32" s="5">
        <f t="shared" si="1"/>
        <v>0.1282776466</v>
      </c>
    </row>
    <row r="33">
      <c r="A33" s="21" t="s">
        <v>171</v>
      </c>
      <c r="B33" s="17">
        <v>37.0</v>
      </c>
      <c r="C33" s="17">
        <v>33.40361</v>
      </c>
      <c r="D33" s="5">
        <f t="shared" si="1"/>
        <v>0.1076647105</v>
      </c>
    </row>
    <row r="34">
      <c r="A34" s="21" t="s">
        <v>174</v>
      </c>
      <c r="B34" s="17">
        <v>45.0</v>
      </c>
      <c r="C34" s="17">
        <v>40.989464999999996</v>
      </c>
      <c r="D34" s="5">
        <f t="shared" si="1"/>
        <v>0.09784306772</v>
      </c>
    </row>
    <row r="35">
      <c r="A35" s="21" t="s">
        <v>177</v>
      </c>
      <c r="B35" s="17">
        <v>55.0</v>
      </c>
      <c r="C35" s="17">
        <v>46.225894999999994</v>
      </c>
      <c r="D35" s="5">
        <f t="shared" si="1"/>
        <v>0.1898093049</v>
      </c>
    </row>
    <row r="36">
      <c r="A36" s="21" t="s">
        <v>180</v>
      </c>
      <c r="B36" s="17">
        <v>60.0</v>
      </c>
      <c r="C36" s="17">
        <v>51.577965</v>
      </c>
      <c r="D36" s="5">
        <f t="shared" si="1"/>
        <v>0.163287462</v>
      </c>
    </row>
    <row r="37">
      <c r="A37" s="21" t="s">
        <v>182</v>
      </c>
      <c r="B37" s="17">
        <v>10.0</v>
      </c>
      <c r="C37" s="17">
        <v>7.529999999999999</v>
      </c>
      <c r="D37" s="5">
        <f t="shared" si="1"/>
        <v>0.3280212483</v>
      </c>
    </row>
    <row r="38">
      <c r="A38" s="21" t="s">
        <v>184</v>
      </c>
      <c r="B38" s="17">
        <v>4.0</v>
      </c>
      <c r="C38" s="17">
        <v>4.529999999999999</v>
      </c>
      <c r="D38" s="5">
        <f t="shared" si="1"/>
        <v>-0.1169977925</v>
      </c>
    </row>
    <row r="39">
      <c r="A39" s="21" t="s">
        <v>186</v>
      </c>
      <c r="B39" s="17">
        <v>25.0</v>
      </c>
      <c r="C39" s="17">
        <v>28.746</v>
      </c>
      <c r="D39" s="5">
        <f t="shared" si="1"/>
        <v>-0.1303137828</v>
      </c>
    </row>
    <row r="40">
      <c r="A40" s="21" t="s">
        <v>189</v>
      </c>
      <c r="B40" s="17">
        <v>15.0</v>
      </c>
      <c r="C40" s="17">
        <v>13.0</v>
      </c>
      <c r="D40" s="5">
        <f t="shared" si="1"/>
        <v>0.1538461538</v>
      </c>
    </row>
    <row r="41">
      <c r="A41" s="21" t="s">
        <v>191</v>
      </c>
      <c r="B41" s="17">
        <v>15.0</v>
      </c>
      <c r="C41" s="17">
        <v>13.14</v>
      </c>
      <c r="D41" s="5">
        <f t="shared" si="1"/>
        <v>0.1415525114</v>
      </c>
    </row>
    <row r="42">
      <c r="A42" s="21" t="s">
        <v>192</v>
      </c>
      <c r="B42" s="17">
        <v>15.0</v>
      </c>
      <c r="C42" s="17">
        <v>13.14</v>
      </c>
      <c r="D42" s="5">
        <f t="shared" si="1"/>
        <v>0.1415525114</v>
      </c>
    </row>
    <row r="43">
      <c r="A43" s="21" t="s">
        <v>194</v>
      </c>
      <c r="B43" s="17">
        <v>15.0</v>
      </c>
      <c r="C43" s="17">
        <v>13.14</v>
      </c>
      <c r="D43" s="5">
        <f t="shared" si="1"/>
        <v>0.1415525114</v>
      </c>
    </row>
    <row r="44">
      <c r="A44" s="21" t="s">
        <v>197</v>
      </c>
      <c r="B44" s="17">
        <v>28.0</v>
      </c>
      <c r="C44" s="17">
        <v>24.916</v>
      </c>
      <c r="D44" s="5">
        <f t="shared" si="1"/>
        <v>0.123775887</v>
      </c>
    </row>
    <row r="45">
      <c r="A45" s="21" t="s">
        <v>199</v>
      </c>
      <c r="B45" s="17">
        <v>18.0</v>
      </c>
      <c r="C45" s="17">
        <v>9.0</v>
      </c>
      <c r="D45" s="5">
        <f t="shared" si="1"/>
        <v>1</v>
      </c>
    </row>
    <row r="46">
      <c r="A46" s="21" t="s">
        <v>201</v>
      </c>
      <c r="B46" s="17">
        <v>120.0</v>
      </c>
      <c r="C46" s="17">
        <v>104.581</v>
      </c>
      <c r="D46" s="5">
        <f t="shared" si="1"/>
        <v>0.1474359587</v>
      </c>
    </row>
    <row r="47">
      <c r="A47" s="21" t="s">
        <v>204</v>
      </c>
      <c r="B47" s="17">
        <v>60.0</v>
      </c>
      <c r="C47" s="17">
        <v>30.0</v>
      </c>
      <c r="D47" s="5">
        <f t="shared" si="1"/>
        <v>1</v>
      </c>
    </row>
    <row r="48">
      <c r="A48" s="21" t="s">
        <v>206</v>
      </c>
      <c r="B48" s="17">
        <v>60.0</v>
      </c>
      <c r="C48" s="17">
        <v>30.0</v>
      </c>
      <c r="D48" s="5">
        <f t="shared" si="1"/>
        <v>1</v>
      </c>
    </row>
    <row r="49">
      <c r="A49" s="21" t="s">
        <v>208</v>
      </c>
      <c r="B49" s="17">
        <v>60.0</v>
      </c>
      <c r="C49" s="17">
        <v>30.0</v>
      </c>
      <c r="D49" s="5">
        <f t="shared" si="1"/>
        <v>1</v>
      </c>
    </row>
    <row r="50">
      <c r="A50" s="21" t="s">
        <v>209</v>
      </c>
      <c r="B50" s="17">
        <v>30.0</v>
      </c>
      <c r="C50" s="17">
        <v>22.975</v>
      </c>
      <c r="D50" s="5">
        <f t="shared" si="1"/>
        <v>0.3057671382</v>
      </c>
    </row>
    <row r="51">
      <c r="A51" s="21" t="s">
        <v>210</v>
      </c>
      <c r="B51" s="17">
        <v>40.0</v>
      </c>
      <c r="C51" s="17">
        <v>29.380000000000003</v>
      </c>
      <c r="D51" s="5">
        <f t="shared" si="1"/>
        <v>0.361470388</v>
      </c>
    </row>
    <row r="52">
      <c r="A52" s="21" t="s">
        <v>212</v>
      </c>
      <c r="B52" s="17">
        <v>36.0</v>
      </c>
      <c r="C52" s="17">
        <v>29.089</v>
      </c>
      <c r="D52" s="5">
        <f t="shared" si="1"/>
        <v>0.2375812163</v>
      </c>
    </row>
    <row r="53">
      <c r="A53" s="21" t="s">
        <v>213</v>
      </c>
      <c r="B53" s="17">
        <v>30.0</v>
      </c>
      <c r="C53" s="17">
        <v>24.380000000000003</v>
      </c>
      <c r="D53" s="5">
        <f t="shared" si="1"/>
        <v>0.2305168171</v>
      </c>
    </row>
    <row r="54">
      <c r="A54" s="21" t="s">
        <v>214</v>
      </c>
      <c r="B54" s="17">
        <v>50.0</v>
      </c>
      <c r="C54" s="17">
        <v>36.089</v>
      </c>
      <c r="D54" s="5">
        <f t="shared" si="1"/>
        <v>0.3854637147</v>
      </c>
    </row>
    <row r="55">
      <c r="A55" s="21" t="s">
        <v>215</v>
      </c>
      <c r="B55" s="17">
        <v>65.0</v>
      </c>
      <c r="C55" s="17">
        <v>52.5</v>
      </c>
      <c r="D55" s="5">
        <f t="shared" si="1"/>
        <v>0.2380952381</v>
      </c>
    </row>
    <row r="56">
      <c r="A56" s="21" t="s">
        <v>216</v>
      </c>
      <c r="B56" s="17">
        <v>60.0</v>
      </c>
      <c r="C56" s="17">
        <v>47.0</v>
      </c>
      <c r="D56" s="5">
        <f t="shared" si="1"/>
        <v>0.2765957447</v>
      </c>
    </row>
    <row r="57">
      <c r="A57" s="21" t="s">
        <v>219</v>
      </c>
      <c r="B57" s="17">
        <v>40.0</v>
      </c>
      <c r="C57" s="17">
        <v>30.66</v>
      </c>
      <c r="D57" s="5">
        <f t="shared" si="1"/>
        <v>0.3046314416</v>
      </c>
    </row>
    <row r="58">
      <c r="A58" s="21" t="s">
        <v>221</v>
      </c>
      <c r="B58" s="17">
        <v>40.0</v>
      </c>
      <c r="C58" s="17">
        <v>30.66</v>
      </c>
      <c r="D58" s="5">
        <f t="shared" si="1"/>
        <v>0.3046314416</v>
      </c>
    </row>
    <row r="59">
      <c r="A59" s="21" t="s">
        <v>222</v>
      </c>
      <c r="B59" s="17">
        <v>20.0</v>
      </c>
      <c r="C59" s="17">
        <v>14.49</v>
      </c>
      <c r="D59" s="5">
        <f t="shared" si="1"/>
        <v>0.3802622498</v>
      </c>
    </row>
    <row r="60">
      <c r="A60" s="21" t="s">
        <v>224</v>
      </c>
      <c r="B60" s="17">
        <v>20.0</v>
      </c>
      <c r="C60" s="17">
        <v>14.49</v>
      </c>
      <c r="D60" s="5">
        <f t="shared" si="1"/>
        <v>0.3802622498</v>
      </c>
    </row>
    <row r="61">
      <c r="A61" s="21" t="s">
        <v>225</v>
      </c>
      <c r="B61" s="17">
        <v>170.0</v>
      </c>
      <c r="C61" s="17">
        <v>142.5</v>
      </c>
      <c r="D61" s="5">
        <f t="shared" si="1"/>
        <v>0.1929824561</v>
      </c>
    </row>
    <row r="62">
      <c r="A62" s="21" t="s">
        <v>227</v>
      </c>
      <c r="B62" s="17">
        <v>170.0</v>
      </c>
      <c r="C62" s="17">
        <v>142.5</v>
      </c>
      <c r="D62" s="5">
        <f t="shared" si="1"/>
        <v>0.1929824561</v>
      </c>
    </row>
    <row r="63">
      <c r="A63" s="21" t="s">
        <v>229</v>
      </c>
      <c r="B63" s="17">
        <v>170.0</v>
      </c>
      <c r="C63" s="17">
        <v>142.5</v>
      </c>
      <c r="D63" s="5">
        <f t="shared" si="1"/>
        <v>0.1929824561</v>
      </c>
    </row>
    <row r="64">
      <c r="A64" s="21" t="s">
        <v>230</v>
      </c>
      <c r="B64" s="17">
        <v>170.0</v>
      </c>
      <c r="C64" s="17">
        <v>142.5</v>
      </c>
      <c r="D64" s="5">
        <f t="shared" si="1"/>
        <v>0.1929824561</v>
      </c>
    </row>
    <row r="65">
      <c r="A65" s="21" t="s">
        <v>232</v>
      </c>
      <c r="B65" s="17">
        <v>16.0</v>
      </c>
      <c r="C65" s="17">
        <v>13.52735</v>
      </c>
      <c r="D65" s="5">
        <f t="shared" si="1"/>
        <v>0.1827889424</v>
      </c>
    </row>
    <row r="66">
      <c r="A66" s="21" t="s">
        <v>235</v>
      </c>
      <c r="B66" s="17">
        <v>16.0</v>
      </c>
      <c r="C66" s="17">
        <v>13.52735</v>
      </c>
      <c r="D66" s="5">
        <f t="shared" si="1"/>
        <v>0.1827889424</v>
      </c>
    </row>
    <row r="67">
      <c r="A67" s="21" t="s">
        <v>237</v>
      </c>
      <c r="B67" s="17">
        <v>16.0</v>
      </c>
      <c r="C67" s="17">
        <v>13.52735</v>
      </c>
      <c r="D67" s="5">
        <f t="shared" si="1"/>
        <v>0.1827889424</v>
      </c>
    </row>
    <row r="68">
      <c r="A68" s="21" t="s">
        <v>239</v>
      </c>
      <c r="B68" s="17">
        <v>16.0</v>
      </c>
      <c r="C68" s="17">
        <v>13.52735</v>
      </c>
      <c r="D68" s="5">
        <f t="shared" si="1"/>
        <v>0.1827889424</v>
      </c>
    </row>
    <row r="69">
      <c r="A69" s="21" t="s">
        <v>240</v>
      </c>
      <c r="B69" s="17">
        <v>16.0</v>
      </c>
      <c r="C69" s="17">
        <v>13.52735</v>
      </c>
      <c r="D69" s="5">
        <f t="shared" si="1"/>
        <v>0.1827889424</v>
      </c>
    </row>
    <row r="70">
      <c r="A70" s="21" t="s">
        <v>242</v>
      </c>
      <c r="B70" s="17">
        <v>16.0</v>
      </c>
      <c r="C70" s="17">
        <v>13.52735</v>
      </c>
      <c r="D70" s="5">
        <f t="shared" si="1"/>
        <v>0.1827889424</v>
      </c>
    </row>
    <row r="71">
      <c r="A71" s="21" t="s">
        <v>244</v>
      </c>
      <c r="B71" s="17">
        <v>16.0</v>
      </c>
      <c r="C71" s="17">
        <v>13.52735</v>
      </c>
      <c r="D71" s="5">
        <f t="shared" si="1"/>
        <v>0.1827889424</v>
      </c>
    </row>
    <row r="72">
      <c r="A72" s="21" t="s">
        <v>245</v>
      </c>
      <c r="B72" s="17">
        <v>16.0</v>
      </c>
      <c r="C72" s="17">
        <v>13.52735</v>
      </c>
      <c r="D72" s="5">
        <f t="shared" si="1"/>
        <v>0.1827889424</v>
      </c>
    </row>
    <row r="73">
      <c r="A73" s="21" t="s">
        <v>247</v>
      </c>
      <c r="B73" s="17">
        <v>16.0</v>
      </c>
      <c r="C73" s="17">
        <v>13.52735</v>
      </c>
      <c r="D73" s="5">
        <f t="shared" si="1"/>
        <v>0.1827889424</v>
      </c>
    </row>
    <row r="74">
      <c r="A74" s="21" t="s">
        <v>250</v>
      </c>
      <c r="B74" s="17">
        <v>16.0</v>
      </c>
      <c r="C74" s="17">
        <v>13.52735</v>
      </c>
      <c r="D74" s="5">
        <f t="shared" si="1"/>
        <v>0.1827889424</v>
      </c>
    </row>
    <row r="75">
      <c r="A75" s="21" t="s">
        <v>252</v>
      </c>
      <c r="B75" s="17">
        <v>16.0</v>
      </c>
      <c r="C75" s="17">
        <v>13.52735</v>
      </c>
      <c r="D75" s="5">
        <f t="shared" si="1"/>
        <v>0.1827889424</v>
      </c>
    </row>
    <row r="76">
      <c r="A76" s="21" t="s">
        <v>254</v>
      </c>
      <c r="B76" s="17">
        <v>16.0</v>
      </c>
      <c r="C76" s="17">
        <v>13.52735</v>
      </c>
      <c r="D76" s="5">
        <f t="shared" si="1"/>
        <v>0.1827889424</v>
      </c>
    </row>
    <row r="77">
      <c r="A77" s="21" t="s">
        <v>256</v>
      </c>
      <c r="B77" s="17">
        <v>16.0</v>
      </c>
      <c r="C77" s="17">
        <v>13.52735</v>
      </c>
      <c r="D77" s="5">
        <f t="shared" si="1"/>
        <v>0.1827889424</v>
      </c>
    </row>
    <row r="78">
      <c r="A78" s="21" t="s">
        <v>258</v>
      </c>
      <c r="B78" s="17">
        <v>30.0</v>
      </c>
      <c r="C78" s="17">
        <v>23.45</v>
      </c>
      <c r="D78" s="5">
        <f t="shared" si="1"/>
        <v>0.2793176972</v>
      </c>
    </row>
    <row r="79">
      <c r="A79" s="21" t="s">
        <v>260</v>
      </c>
      <c r="B79" s="17">
        <v>30.0</v>
      </c>
      <c r="C79" s="17">
        <v>21.25</v>
      </c>
      <c r="D79" s="5">
        <f t="shared" si="1"/>
        <v>0.4117647059</v>
      </c>
    </row>
    <row r="80">
      <c r="A80" s="21" t="s">
        <v>261</v>
      </c>
      <c r="B80" s="17">
        <v>12.0</v>
      </c>
      <c r="C80" s="17">
        <v>9.475</v>
      </c>
      <c r="D80" s="5">
        <f t="shared" si="1"/>
        <v>0.2664907652</v>
      </c>
    </row>
    <row r="81">
      <c r="A81" s="21" t="s">
        <v>263</v>
      </c>
      <c r="B81" s="17">
        <v>12.0</v>
      </c>
      <c r="C81" s="17">
        <v>9.475</v>
      </c>
      <c r="D81" s="5">
        <f t="shared" si="1"/>
        <v>0.2664907652</v>
      </c>
    </row>
    <row r="82">
      <c r="A82" s="21" t="s">
        <v>265</v>
      </c>
      <c r="B82" s="17">
        <v>12.0</v>
      </c>
      <c r="C82" s="17">
        <v>9.475</v>
      </c>
      <c r="D82" s="5">
        <f t="shared" si="1"/>
        <v>0.2664907652</v>
      </c>
    </row>
    <row r="83">
      <c r="A83" s="21" t="s">
        <v>267</v>
      </c>
      <c r="B83" s="17">
        <v>12.0</v>
      </c>
      <c r="C83" s="17">
        <v>9.76</v>
      </c>
      <c r="D83" s="5">
        <f t="shared" si="1"/>
        <v>0.2295081967</v>
      </c>
    </row>
    <row r="84">
      <c r="A84" s="21" t="s">
        <v>268</v>
      </c>
      <c r="B84" s="17">
        <v>12.0</v>
      </c>
      <c r="C84" s="17">
        <v>9.51</v>
      </c>
      <c r="D84" s="5">
        <f t="shared" si="1"/>
        <v>0.261829653</v>
      </c>
    </row>
    <row r="85">
      <c r="A85" s="21" t="s">
        <v>271</v>
      </c>
      <c r="B85" s="17">
        <v>12.0</v>
      </c>
      <c r="C85" s="17">
        <v>9.51</v>
      </c>
      <c r="D85" s="5">
        <f t="shared" si="1"/>
        <v>0.261829653</v>
      </c>
    </row>
    <row r="86">
      <c r="A86" s="21" t="s">
        <v>272</v>
      </c>
      <c r="B86" s="17">
        <v>12.0</v>
      </c>
      <c r="C86" s="17">
        <v>10.01</v>
      </c>
      <c r="D86" s="5">
        <f t="shared" si="1"/>
        <v>0.1988011988</v>
      </c>
    </row>
    <row r="87">
      <c r="A87" s="21" t="s">
        <v>275</v>
      </c>
      <c r="B87" s="17">
        <v>12.0</v>
      </c>
      <c r="C87" s="17">
        <v>9.385</v>
      </c>
      <c r="D87" s="5">
        <f t="shared" si="1"/>
        <v>0.2786361215</v>
      </c>
    </row>
    <row r="88">
      <c r="A88" s="21" t="s">
        <v>277</v>
      </c>
      <c r="B88" s="17">
        <v>12.0</v>
      </c>
      <c r="C88" s="17">
        <v>9.385</v>
      </c>
      <c r="D88" s="5">
        <f t="shared" si="1"/>
        <v>0.2786361215</v>
      </c>
    </row>
    <row r="89">
      <c r="A89" s="21" t="s">
        <v>279</v>
      </c>
      <c r="B89" s="17">
        <v>12.0</v>
      </c>
      <c r="C89" s="17">
        <v>9.385</v>
      </c>
      <c r="D89" s="5">
        <f t="shared" si="1"/>
        <v>0.2786361215</v>
      </c>
    </row>
    <row r="90">
      <c r="A90" s="21" t="s">
        <v>280</v>
      </c>
      <c r="B90" s="17">
        <v>12.0</v>
      </c>
      <c r="C90" s="17">
        <v>9.385</v>
      </c>
      <c r="D90" s="5">
        <f t="shared" si="1"/>
        <v>0.2786361215</v>
      </c>
    </row>
    <row r="91">
      <c r="A91" s="21" t="s">
        <v>282</v>
      </c>
      <c r="B91" s="17">
        <v>12.0</v>
      </c>
      <c r="C91" s="17">
        <v>9.51</v>
      </c>
      <c r="D91" s="5">
        <f t="shared" si="1"/>
        <v>0.261829653</v>
      </c>
    </row>
    <row r="92">
      <c r="A92" s="21" t="s">
        <v>285</v>
      </c>
      <c r="B92" s="17">
        <v>12.0</v>
      </c>
      <c r="C92" s="17">
        <v>9.51</v>
      </c>
      <c r="D92" s="5">
        <f t="shared" si="1"/>
        <v>0.261829653</v>
      </c>
    </row>
    <row r="93">
      <c r="A93" s="21" t="s">
        <v>286</v>
      </c>
      <c r="B93" s="17">
        <v>12.0</v>
      </c>
      <c r="C93" s="17">
        <v>9.635</v>
      </c>
      <c r="D93" s="5">
        <f t="shared" si="1"/>
        <v>0.2454592631</v>
      </c>
    </row>
    <row r="94">
      <c r="A94" s="21" t="s">
        <v>288</v>
      </c>
      <c r="B94" s="17">
        <v>12.0</v>
      </c>
      <c r="C94" s="17">
        <v>10.26</v>
      </c>
      <c r="D94" s="5">
        <f t="shared" si="1"/>
        <v>0.1695906433</v>
      </c>
    </row>
    <row r="95">
      <c r="A95" s="21" t="s">
        <v>290</v>
      </c>
      <c r="B95" s="17">
        <v>12.0</v>
      </c>
      <c r="C95" s="17">
        <v>9.635</v>
      </c>
      <c r="D95" s="5">
        <f t="shared" si="1"/>
        <v>0.2454592631</v>
      </c>
    </row>
    <row r="96">
      <c r="A96" s="21" t="s">
        <v>291</v>
      </c>
      <c r="B96" s="17">
        <v>12.0</v>
      </c>
      <c r="C96" s="17">
        <v>10.01</v>
      </c>
      <c r="D96" s="5">
        <f t="shared" si="1"/>
        <v>0.1988011988</v>
      </c>
    </row>
    <row r="97">
      <c r="A97" s="21" t="s">
        <v>295</v>
      </c>
      <c r="B97" s="17">
        <v>12.0</v>
      </c>
      <c r="C97" s="17">
        <v>9.26</v>
      </c>
      <c r="D97" s="5">
        <f t="shared" si="1"/>
        <v>0.2958963283</v>
      </c>
    </row>
    <row r="98">
      <c r="A98" s="21" t="s">
        <v>296</v>
      </c>
      <c r="B98" s="17">
        <v>12.0</v>
      </c>
      <c r="C98" s="17">
        <v>9.51</v>
      </c>
      <c r="D98" s="5">
        <f t="shared" si="1"/>
        <v>0.261829653</v>
      </c>
    </row>
    <row r="99">
      <c r="A99" s="21" t="s">
        <v>297</v>
      </c>
      <c r="B99" s="17">
        <v>12.0</v>
      </c>
      <c r="C99" s="17">
        <v>9.51</v>
      </c>
      <c r="D99" s="5">
        <f t="shared" si="1"/>
        <v>0.261829653</v>
      </c>
    </row>
    <row r="100">
      <c r="A100" s="21" t="s">
        <v>299</v>
      </c>
      <c r="B100" s="17">
        <v>12.0</v>
      </c>
      <c r="C100" s="17">
        <v>9.51</v>
      </c>
      <c r="D100" s="5">
        <f t="shared" si="1"/>
        <v>0.261829653</v>
      </c>
    </row>
    <row r="101">
      <c r="A101" s="21" t="s">
        <v>302</v>
      </c>
      <c r="B101" s="17">
        <v>12.0</v>
      </c>
      <c r="C101" s="17">
        <v>9.26</v>
      </c>
      <c r="D101" s="5">
        <f t="shared" si="1"/>
        <v>0.2958963283</v>
      </c>
    </row>
    <row r="102">
      <c r="A102" s="21" t="s">
        <v>305</v>
      </c>
      <c r="B102" s="17">
        <v>12.0</v>
      </c>
      <c r="C102" s="17">
        <v>9.135</v>
      </c>
      <c r="D102" s="5">
        <f t="shared" si="1"/>
        <v>0.3136288998</v>
      </c>
    </row>
    <row r="103">
      <c r="A103" s="21" t="s">
        <v>307</v>
      </c>
      <c r="B103" s="17">
        <v>12.0</v>
      </c>
      <c r="C103" s="17">
        <v>9.26</v>
      </c>
      <c r="D103" s="5">
        <f t="shared" si="1"/>
        <v>0.2958963283</v>
      </c>
    </row>
    <row r="104">
      <c r="A104" s="21" t="s">
        <v>310</v>
      </c>
      <c r="B104" s="17">
        <v>12.0</v>
      </c>
      <c r="C104" s="17">
        <v>9.26</v>
      </c>
      <c r="D104" s="5">
        <f t="shared" si="1"/>
        <v>0.2958963283</v>
      </c>
    </row>
    <row r="105">
      <c r="A105" s="21" t="s">
        <v>312</v>
      </c>
      <c r="B105" s="17">
        <v>12.0</v>
      </c>
      <c r="C105" s="17">
        <v>9.26</v>
      </c>
      <c r="D105" s="5">
        <f t="shared" si="1"/>
        <v>0.2958963283</v>
      </c>
    </row>
    <row r="106">
      <c r="A106" s="21" t="s">
        <v>313</v>
      </c>
      <c r="B106" s="17">
        <v>12.0</v>
      </c>
      <c r="C106" s="17">
        <v>9.26</v>
      </c>
      <c r="D106" s="5">
        <f t="shared" si="1"/>
        <v>0.2958963283</v>
      </c>
    </row>
    <row r="107">
      <c r="A107" s="21" t="s">
        <v>316</v>
      </c>
      <c r="B107" s="17">
        <v>12.0</v>
      </c>
      <c r="C107" s="17">
        <v>9.26</v>
      </c>
      <c r="D107" s="5">
        <f t="shared" si="1"/>
        <v>0.2958963283</v>
      </c>
    </row>
    <row r="108">
      <c r="A108" s="21" t="s">
        <v>318</v>
      </c>
      <c r="B108" s="17">
        <v>12.0</v>
      </c>
      <c r="C108" s="17">
        <v>9.26</v>
      </c>
      <c r="D108" s="5">
        <f t="shared" si="1"/>
        <v>0.2958963283</v>
      </c>
    </row>
    <row r="109">
      <c r="A109" s="21" t="s">
        <v>320</v>
      </c>
      <c r="B109" s="17">
        <v>12.0</v>
      </c>
      <c r="C109" s="17">
        <v>9.26</v>
      </c>
      <c r="D109" s="5">
        <f t="shared" si="1"/>
        <v>0.2958963283</v>
      </c>
    </row>
    <row r="110">
      <c r="A110" s="21" t="s">
        <v>323</v>
      </c>
      <c r="B110" s="17">
        <v>12.0</v>
      </c>
      <c r="C110" s="17">
        <v>9.76</v>
      </c>
      <c r="D110" s="5">
        <f t="shared" si="1"/>
        <v>0.2295081967</v>
      </c>
    </row>
    <row r="111">
      <c r="A111" s="21" t="s">
        <v>325</v>
      </c>
      <c r="B111" s="17">
        <v>12.0</v>
      </c>
      <c r="C111" s="17">
        <v>9.76</v>
      </c>
      <c r="D111" s="5">
        <f t="shared" si="1"/>
        <v>0.2295081967</v>
      </c>
    </row>
    <row r="112">
      <c r="A112" s="21" t="s">
        <v>326</v>
      </c>
      <c r="B112" s="17">
        <v>12.0</v>
      </c>
      <c r="C112" s="17">
        <v>9.76</v>
      </c>
      <c r="D112" s="5">
        <f t="shared" si="1"/>
        <v>0.2295081967</v>
      </c>
    </row>
    <row r="113">
      <c r="A113" s="21" t="s">
        <v>328</v>
      </c>
      <c r="B113" s="17">
        <v>12.0</v>
      </c>
      <c r="C113" s="17">
        <v>9.76</v>
      </c>
      <c r="D113" s="5">
        <f t="shared" si="1"/>
        <v>0.2295081967</v>
      </c>
    </row>
    <row r="114">
      <c r="A114" s="21" t="s">
        <v>329</v>
      </c>
      <c r="B114" s="17">
        <v>20.0</v>
      </c>
      <c r="C114" s="17">
        <v>14.32</v>
      </c>
      <c r="D114" s="5">
        <f t="shared" si="1"/>
        <v>0.3966480447</v>
      </c>
    </row>
    <row r="115">
      <c r="A115" s="21" t="s">
        <v>331</v>
      </c>
      <c r="B115" s="17">
        <v>20.0</v>
      </c>
      <c r="C115" s="17">
        <v>14.51</v>
      </c>
      <c r="D115" s="5">
        <f t="shared" si="1"/>
        <v>0.3783597519</v>
      </c>
    </row>
    <row r="116">
      <c r="A116" s="21" t="s">
        <v>333</v>
      </c>
      <c r="B116" s="17">
        <v>25.0</v>
      </c>
      <c r="C116" s="17">
        <v>20.89</v>
      </c>
      <c r="D116" s="5">
        <f t="shared" si="1"/>
        <v>0.196744854</v>
      </c>
    </row>
    <row r="117">
      <c r="A117" s="21" t="s">
        <v>334</v>
      </c>
      <c r="B117" s="17">
        <v>25.0</v>
      </c>
      <c r="C117" s="17">
        <v>20.89</v>
      </c>
      <c r="D117" s="5">
        <f t="shared" si="1"/>
        <v>0.196744854</v>
      </c>
    </row>
    <row r="118">
      <c r="A118" s="21" t="s">
        <v>336</v>
      </c>
      <c r="B118" s="17">
        <v>25.0</v>
      </c>
      <c r="C118" s="17">
        <v>20.89</v>
      </c>
      <c r="D118" s="5">
        <f t="shared" si="1"/>
        <v>0.196744854</v>
      </c>
    </row>
    <row r="119">
      <c r="A119" s="21" t="s">
        <v>338</v>
      </c>
      <c r="B119" s="17">
        <v>25.0</v>
      </c>
      <c r="C119" s="17">
        <v>20.89</v>
      </c>
      <c r="D119" s="5">
        <f t="shared" si="1"/>
        <v>0.196744854</v>
      </c>
    </row>
    <row r="120">
      <c r="A120" s="21" t="s">
        <v>341</v>
      </c>
      <c r="B120" s="17">
        <v>25.0</v>
      </c>
      <c r="C120" s="17">
        <v>21.175</v>
      </c>
      <c r="D120" s="5">
        <f t="shared" si="1"/>
        <v>0.1806375443</v>
      </c>
    </row>
    <row r="121">
      <c r="A121" s="21" t="s">
        <v>343</v>
      </c>
      <c r="B121" s="17">
        <v>25.0</v>
      </c>
      <c r="C121" s="17">
        <v>21.175</v>
      </c>
      <c r="D121" s="5">
        <f t="shared" si="1"/>
        <v>0.1806375443</v>
      </c>
    </row>
    <row r="122">
      <c r="A122" s="21" t="s">
        <v>345</v>
      </c>
      <c r="B122" s="17">
        <v>15.0</v>
      </c>
      <c r="C122" s="17">
        <v>12.9</v>
      </c>
      <c r="D122" s="5">
        <f t="shared" si="1"/>
        <v>0.1627906977</v>
      </c>
    </row>
    <row r="123">
      <c r="A123" s="21" t="s">
        <v>347</v>
      </c>
      <c r="B123" s="17">
        <v>15.0</v>
      </c>
      <c r="C123" s="17">
        <v>12.9</v>
      </c>
      <c r="D123" s="5">
        <f t="shared" si="1"/>
        <v>0.1627906977</v>
      </c>
    </row>
    <row r="124">
      <c r="A124" s="21" t="s">
        <v>351</v>
      </c>
      <c r="B124" s="17">
        <v>15.0</v>
      </c>
      <c r="C124" s="17">
        <v>12.9</v>
      </c>
      <c r="D124" s="5">
        <f t="shared" si="1"/>
        <v>0.1627906977</v>
      </c>
    </row>
    <row r="125">
      <c r="A125" s="21" t="s">
        <v>356</v>
      </c>
      <c r="B125" s="17">
        <v>15.0</v>
      </c>
      <c r="C125" s="17">
        <v>12.9</v>
      </c>
      <c r="D125" s="5">
        <f t="shared" si="1"/>
        <v>0.1627906977</v>
      </c>
    </row>
    <row r="126">
      <c r="A126" s="21" t="s">
        <v>359</v>
      </c>
      <c r="B126" s="17">
        <v>15.0</v>
      </c>
      <c r="C126" s="17">
        <v>12.9</v>
      </c>
      <c r="D126" s="5">
        <f t="shared" si="1"/>
        <v>0.1627906977</v>
      </c>
    </row>
    <row r="127">
      <c r="A127" s="21" t="s">
        <v>360</v>
      </c>
      <c r="B127" s="17">
        <v>25.0</v>
      </c>
      <c r="C127" s="17">
        <v>21.435000000000002</v>
      </c>
      <c r="D127" s="5">
        <f t="shared" si="1"/>
        <v>0.1663167716</v>
      </c>
    </row>
    <row r="128">
      <c r="A128" s="21" t="s">
        <v>363</v>
      </c>
      <c r="B128" s="17">
        <v>18.0</v>
      </c>
      <c r="C128" s="17">
        <v>14.4</v>
      </c>
      <c r="D128" s="5">
        <f t="shared" si="1"/>
        <v>0.25</v>
      </c>
    </row>
    <row r="129">
      <c r="A129" s="21" t="s">
        <v>366</v>
      </c>
      <c r="B129" s="17">
        <v>65.0</v>
      </c>
      <c r="C129" s="17">
        <v>55.613</v>
      </c>
      <c r="D129" s="5">
        <f t="shared" si="1"/>
        <v>0.1687914696</v>
      </c>
    </row>
    <row r="130">
      <c r="A130" s="21" t="s">
        <v>369</v>
      </c>
      <c r="B130" s="17">
        <v>50.0</v>
      </c>
      <c r="C130" s="17">
        <v>41.955</v>
      </c>
      <c r="D130" s="5">
        <f t="shared" si="1"/>
        <v>0.1917530688</v>
      </c>
    </row>
    <row r="131">
      <c r="A131" s="21" t="s">
        <v>373</v>
      </c>
      <c r="B131" s="17">
        <v>50.0</v>
      </c>
      <c r="C131" s="17">
        <v>41.955</v>
      </c>
      <c r="D131" s="5">
        <f t="shared" si="1"/>
        <v>0.1917530688</v>
      </c>
    </row>
    <row r="132">
      <c r="A132" s="21" t="s">
        <v>376</v>
      </c>
      <c r="B132" s="17">
        <v>50.0</v>
      </c>
      <c r="C132" s="17">
        <v>41.955</v>
      </c>
      <c r="D132" s="5">
        <f t="shared" si="1"/>
        <v>0.1917530688</v>
      </c>
    </row>
    <row r="133">
      <c r="A133" s="21" t="s">
        <v>380</v>
      </c>
      <c r="B133" s="17">
        <v>45.0</v>
      </c>
      <c r="C133" s="17">
        <v>35.855000000000004</v>
      </c>
      <c r="D133" s="5">
        <f t="shared" si="1"/>
        <v>0.255055083</v>
      </c>
    </row>
    <row r="134">
      <c r="A134" s="21" t="s">
        <v>383</v>
      </c>
      <c r="B134" s="17">
        <v>47.0</v>
      </c>
      <c r="C134" s="17">
        <v>36.855000000000004</v>
      </c>
      <c r="D134" s="5">
        <f t="shared" si="1"/>
        <v>0.2752679419</v>
      </c>
    </row>
    <row r="135">
      <c r="A135" s="21" t="s">
        <v>384</v>
      </c>
      <c r="B135" s="17">
        <v>75.0</v>
      </c>
      <c r="C135" s="17">
        <v>65.545</v>
      </c>
      <c r="D135" s="5">
        <f t="shared" si="1"/>
        <v>0.1442520406</v>
      </c>
    </row>
    <row r="136">
      <c r="A136" s="21" t="s">
        <v>386</v>
      </c>
      <c r="B136" s="17">
        <v>50.0</v>
      </c>
      <c r="C136" s="17">
        <v>39.1</v>
      </c>
      <c r="D136" s="5">
        <f t="shared" si="1"/>
        <v>0.2787723785</v>
      </c>
    </row>
    <row r="137">
      <c r="A137" s="21" t="s">
        <v>389</v>
      </c>
      <c r="B137" s="17">
        <v>55.0</v>
      </c>
      <c r="C137" s="17">
        <v>45.18</v>
      </c>
      <c r="D137" s="5">
        <f t="shared" si="1"/>
        <v>0.217352811</v>
      </c>
    </row>
    <row r="138">
      <c r="A138" s="21" t="s">
        <v>392</v>
      </c>
      <c r="B138" s="17">
        <v>50.0</v>
      </c>
      <c r="C138" s="17">
        <v>42.885000000000005</v>
      </c>
      <c r="D138" s="5">
        <f t="shared" si="1"/>
        <v>0.1659088259</v>
      </c>
    </row>
    <row r="139">
      <c r="A139" s="21" t="s">
        <v>394</v>
      </c>
      <c r="B139" s="17">
        <v>45.0</v>
      </c>
      <c r="C139" s="17">
        <v>35.735</v>
      </c>
      <c r="D139" s="5">
        <f t="shared" si="1"/>
        <v>0.2592696236</v>
      </c>
    </row>
    <row r="140">
      <c r="A140" s="21" t="s">
        <v>395</v>
      </c>
      <c r="B140" s="17">
        <v>55.0</v>
      </c>
      <c r="C140" s="17">
        <v>38.68</v>
      </c>
      <c r="D140" s="5">
        <f t="shared" si="1"/>
        <v>0.4219234747</v>
      </c>
    </row>
    <row r="141">
      <c r="A141" s="21" t="s">
        <v>397</v>
      </c>
      <c r="B141" s="17">
        <v>55.0</v>
      </c>
      <c r="C141" s="17">
        <v>38.68</v>
      </c>
      <c r="D141" s="5">
        <f t="shared" si="1"/>
        <v>0.4219234747</v>
      </c>
    </row>
    <row r="142">
      <c r="A142" s="21" t="s">
        <v>399</v>
      </c>
      <c r="B142" s="17">
        <v>50.0</v>
      </c>
      <c r="C142" s="17">
        <v>38.51</v>
      </c>
      <c r="D142" s="5">
        <f t="shared" si="1"/>
        <v>0.2983640613</v>
      </c>
    </row>
    <row r="143">
      <c r="A143" s="21" t="s">
        <v>402</v>
      </c>
      <c r="B143" s="17">
        <v>55.0</v>
      </c>
      <c r="C143" s="17">
        <v>41.01</v>
      </c>
      <c r="D143" s="5">
        <f t="shared" si="1"/>
        <v>0.3411363082</v>
      </c>
    </row>
    <row r="144">
      <c r="A144" s="21" t="s">
        <v>404</v>
      </c>
      <c r="B144" s="17">
        <v>55.0</v>
      </c>
      <c r="C144" s="17">
        <v>49.81</v>
      </c>
      <c r="D144" s="5">
        <f t="shared" si="1"/>
        <v>0.1041959446</v>
      </c>
    </row>
    <row r="145">
      <c r="A145" s="21" t="s">
        <v>406</v>
      </c>
      <c r="B145" s="17">
        <v>55.0</v>
      </c>
      <c r="C145" s="17">
        <v>46.715</v>
      </c>
      <c r="D145" s="5">
        <f t="shared" si="1"/>
        <v>0.1773520283</v>
      </c>
    </row>
    <row r="146">
      <c r="A146" s="21" t="s">
        <v>408</v>
      </c>
      <c r="B146" s="17">
        <v>75.0</v>
      </c>
      <c r="C146" s="17">
        <v>63.225</v>
      </c>
      <c r="D146" s="5">
        <f t="shared" si="1"/>
        <v>0.1862396204</v>
      </c>
    </row>
    <row r="147">
      <c r="A147" s="21" t="s">
        <v>409</v>
      </c>
      <c r="B147" s="17">
        <v>65.0</v>
      </c>
      <c r="C147" s="17">
        <v>57.129999999999995</v>
      </c>
      <c r="D147" s="5">
        <f t="shared" si="1"/>
        <v>0.1377559951</v>
      </c>
    </row>
    <row r="148">
      <c r="A148" s="21" t="s">
        <v>411</v>
      </c>
      <c r="B148" s="17">
        <v>60.0</v>
      </c>
      <c r="C148" s="17">
        <v>49.92</v>
      </c>
      <c r="D148" s="5">
        <f t="shared" si="1"/>
        <v>0.2019230769</v>
      </c>
    </row>
    <row r="149">
      <c r="A149" s="21" t="s">
        <v>413</v>
      </c>
      <c r="B149" s="17">
        <v>50.0</v>
      </c>
      <c r="C149" s="17">
        <v>43.57</v>
      </c>
      <c r="D149" s="5">
        <f t="shared" si="1"/>
        <v>0.1475786091</v>
      </c>
    </row>
    <row r="150">
      <c r="A150" s="21" t="s">
        <v>414</v>
      </c>
      <c r="B150" s="17">
        <v>65.0</v>
      </c>
      <c r="C150" s="17">
        <v>55.0</v>
      </c>
      <c r="D150" s="5">
        <f t="shared" si="1"/>
        <v>0.1818181818</v>
      </c>
    </row>
    <row r="151">
      <c r="A151" s="21" t="s">
        <v>416</v>
      </c>
      <c r="B151" s="17">
        <v>40.0</v>
      </c>
      <c r="C151" s="17">
        <v>33.894999999999996</v>
      </c>
      <c r="D151" s="5">
        <f t="shared" si="1"/>
        <v>0.1801150612</v>
      </c>
    </row>
    <row r="152">
      <c r="A152" s="21" t="s">
        <v>417</v>
      </c>
      <c r="B152" s="17">
        <v>70.0</v>
      </c>
      <c r="C152" s="17">
        <v>52.79</v>
      </c>
      <c r="D152" s="5">
        <f t="shared" si="1"/>
        <v>0.3260087138</v>
      </c>
    </row>
    <row r="153">
      <c r="A153" s="21" t="s">
        <v>419</v>
      </c>
      <c r="B153" s="17">
        <v>75.0</v>
      </c>
      <c r="C153" s="17">
        <v>62.504999999999995</v>
      </c>
      <c r="D153" s="5">
        <f t="shared" si="1"/>
        <v>0.1999040077</v>
      </c>
    </row>
    <row r="154">
      <c r="A154" s="21" t="s">
        <v>420</v>
      </c>
      <c r="B154" s="17">
        <v>60.0</v>
      </c>
      <c r="C154" s="17">
        <v>50.355000000000004</v>
      </c>
      <c r="D154" s="5">
        <f t="shared" si="1"/>
        <v>0.1915400655</v>
      </c>
    </row>
    <row r="155">
      <c r="A155" s="21" t="s">
        <v>422</v>
      </c>
      <c r="B155" s="17">
        <v>70.0</v>
      </c>
      <c r="C155" s="17">
        <v>52.485</v>
      </c>
      <c r="D155" s="5">
        <f t="shared" si="1"/>
        <v>0.3337143946</v>
      </c>
    </row>
    <row r="156">
      <c r="A156" s="21" t="s">
        <v>424</v>
      </c>
      <c r="B156" s="17">
        <v>70.0</v>
      </c>
      <c r="C156" s="17">
        <v>55.355000000000004</v>
      </c>
      <c r="D156" s="5">
        <f t="shared" si="1"/>
        <v>0.2645650799</v>
      </c>
    </row>
    <row r="157">
      <c r="A157" s="21" t="s">
        <v>426</v>
      </c>
      <c r="B157" s="17">
        <v>48.0</v>
      </c>
      <c r="C157" s="17">
        <v>39.3</v>
      </c>
      <c r="D157" s="5">
        <f t="shared" si="1"/>
        <v>0.2213740458</v>
      </c>
    </row>
    <row r="158">
      <c r="A158" s="21" t="s">
        <v>428</v>
      </c>
      <c r="B158" s="17">
        <v>40.0</v>
      </c>
      <c r="C158" s="17">
        <v>32.21</v>
      </c>
      <c r="D158" s="5">
        <f t="shared" si="1"/>
        <v>0.241850357</v>
      </c>
    </row>
    <row r="159">
      <c r="A159" s="21" t="s">
        <v>429</v>
      </c>
      <c r="B159" s="17">
        <v>40.0</v>
      </c>
      <c r="C159" s="17">
        <v>32.21</v>
      </c>
      <c r="D159" s="5">
        <f t="shared" si="1"/>
        <v>0.241850357</v>
      </c>
    </row>
    <row r="160">
      <c r="A160" s="21" t="s">
        <v>431</v>
      </c>
      <c r="B160" s="17">
        <v>45.0</v>
      </c>
      <c r="C160" s="17">
        <v>38.5</v>
      </c>
      <c r="D160" s="5">
        <f t="shared" si="1"/>
        <v>0.1688311688</v>
      </c>
    </row>
    <row r="161">
      <c r="A161" s="21" t="s">
        <v>434</v>
      </c>
      <c r="B161" s="17">
        <v>80.0</v>
      </c>
      <c r="C161" s="17">
        <v>71.3</v>
      </c>
      <c r="D161" s="5">
        <f t="shared" si="1"/>
        <v>0.1220196353</v>
      </c>
    </row>
    <row r="162">
      <c r="A162" s="21" t="s">
        <v>436</v>
      </c>
      <c r="B162" s="17">
        <v>70.0</v>
      </c>
      <c r="C162" s="17">
        <v>52.485</v>
      </c>
      <c r="D162" s="5">
        <f t="shared" si="1"/>
        <v>0.3337143946</v>
      </c>
    </row>
    <row r="163">
      <c r="A163" s="21" t="s">
        <v>438</v>
      </c>
      <c r="B163" s="17">
        <v>170.0</v>
      </c>
      <c r="C163" s="17">
        <v>151.01999999999998</v>
      </c>
      <c r="D163" s="5">
        <f t="shared" si="1"/>
        <v>0.1256787181</v>
      </c>
    </row>
    <row r="164">
      <c r="A164" s="21" t="s">
        <v>440</v>
      </c>
      <c r="B164" s="17">
        <v>85.0</v>
      </c>
      <c r="C164" s="17">
        <v>69.26345</v>
      </c>
      <c r="D164" s="5">
        <f t="shared" si="1"/>
        <v>0.2271984719</v>
      </c>
    </row>
    <row r="165">
      <c r="A165" s="21" t="s">
        <v>441</v>
      </c>
      <c r="B165" s="17">
        <v>85.0</v>
      </c>
      <c r="C165" s="17">
        <v>69.26345</v>
      </c>
      <c r="D165" s="5">
        <f t="shared" si="1"/>
        <v>0.2271984719</v>
      </c>
    </row>
    <row r="166">
      <c r="A166" s="21" t="s">
        <v>443</v>
      </c>
      <c r="B166" s="17">
        <v>85.0</v>
      </c>
      <c r="C166" s="17">
        <v>69.26345</v>
      </c>
      <c r="D166" s="5">
        <f t="shared" si="1"/>
        <v>0.2271984719</v>
      </c>
    </row>
    <row r="167">
      <c r="A167" s="21" t="s">
        <v>445</v>
      </c>
      <c r="B167" s="17">
        <v>85.0</v>
      </c>
      <c r="C167" s="17">
        <v>69.26345</v>
      </c>
      <c r="D167" s="5">
        <f t="shared" si="1"/>
        <v>0.2271984719</v>
      </c>
    </row>
    <row r="168">
      <c r="A168" s="21" t="s">
        <v>448</v>
      </c>
      <c r="B168" s="17">
        <v>85.0</v>
      </c>
      <c r="C168" s="17">
        <v>69.26345</v>
      </c>
      <c r="D168" s="5">
        <f t="shared" si="1"/>
        <v>0.2271984719</v>
      </c>
    </row>
    <row r="169">
      <c r="A169" s="21" t="s">
        <v>449</v>
      </c>
      <c r="B169" s="17">
        <v>85.0</v>
      </c>
      <c r="C169" s="17">
        <v>69.26345</v>
      </c>
      <c r="D169" s="5">
        <f t="shared" si="1"/>
        <v>0.2271984719</v>
      </c>
    </row>
    <row r="170">
      <c r="A170" s="21" t="s">
        <v>452</v>
      </c>
      <c r="B170" s="17">
        <v>105.0</v>
      </c>
      <c r="C170" s="17">
        <v>84.58845</v>
      </c>
      <c r="D170" s="5">
        <f t="shared" si="1"/>
        <v>0.2413042206</v>
      </c>
    </row>
    <row r="171">
      <c r="A171" s="21" t="s">
        <v>455</v>
      </c>
      <c r="B171" s="17">
        <v>85.0</v>
      </c>
      <c r="C171" s="17">
        <v>69.26345</v>
      </c>
      <c r="D171" s="5">
        <f t="shared" si="1"/>
        <v>0.2271984719</v>
      </c>
    </row>
    <row r="172">
      <c r="A172" s="21" t="s">
        <v>456</v>
      </c>
      <c r="B172" s="17">
        <v>85.0</v>
      </c>
      <c r="C172" s="17">
        <v>69.26345</v>
      </c>
      <c r="D172" s="5">
        <f t="shared" si="1"/>
        <v>0.2271984719</v>
      </c>
    </row>
    <row r="173">
      <c r="A173" s="21" t="s">
        <v>458</v>
      </c>
      <c r="B173" s="17">
        <v>85.0</v>
      </c>
      <c r="C173" s="17">
        <v>69.26345</v>
      </c>
      <c r="D173" s="5">
        <f t="shared" si="1"/>
        <v>0.2271984719</v>
      </c>
    </row>
    <row r="174">
      <c r="A174" s="21" t="s">
        <v>460</v>
      </c>
      <c r="B174" s="17">
        <v>20.0</v>
      </c>
      <c r="C174" s="17">
        <v>16.20895</v>
      </c>
      <c r="D174" s="5">
        <f t="shared" si="1"/>
        <v>0.2338862172</v>
      </c>
    </row>
    <row r="175">
      <c r="A175" s="21" t="s">
        <v>462</v>
      </c>
      <c r="B175" s="17">
        <v>20.0</v>
      </c>
      <c r="C175" s="17">
        <v>16.20895</v>
      </c>
      <c r="D175" s="5">
        <f t="shared" si="1"/>
        <v>0.2338862172</v>
      </c>
    </row>
    <row r="176">
      <c r="A176" s="21" t="s">
        <v>463</v>
      </c>
      <c r="B176" s="17">
        <v>25.0</v>
      </c>
      <c r="C176" s="17">
        <v>20.567375</v>
      </c>
      <c r="D176" s="5">
        <f t="shared" si="1"/>
        <v>0.2155172938</v>
      </c>
    </row>
    <row r="177">
      <c r="A177" s="21" t="s">
        <v>464</v>
      </c>
      <c r="B177" s="17">
        <v>25.0</v>
      </c>
      <c r="C177" s="17">
        <v>20.567375</v>
      </c>
      <c r="D177" s="5">
        <f t="shared" si="1"/>
        <v>0.2155172938</v>
      </c>
    </row>
    <row r="178">
      <c r="A178" s="21" t="s">
        <v>466</v>
      </c>
      <c r="B178" s="17">
        <v>75.0</v>
      </c>
      <c r="C178" s="17">
        <v>55.724999999999994</v>
      </c>
      <c r="D178" s="5">
        <f t="shared" si="1"/>
        <v>0.3458950202</v>
      </c>
    </row>
    <row r="179">
      <c r="A179" s="21" t="s">
        <v>467</v>
      </c>
      <c r="B179" s="17">
        <v>40.0</v>
      </c>
      <c r="C179" s="17">
        <v>30.4</v>
      </c>
      <c r="D179" s="5">
        <f t="shared" si="1"/>
        <v>0.3157894737</v>
      </c>
    </row>
    <row r="180">
      <c r="A180" s="21" t="s">
        <v>470</v>
      </c>
      <c r="B180" s="17">
        <v>80.0</v>
      </c>
      <c r="C180" s="17">
        <v>63.399</v>
      </c>
      <c r="D180" s="5">
        <f t="shared" si="1"/>
        <v>0.261849556</v>
      </c>
    </row>
    <row r="181">
      <c r="A181" s="21" t="s">
        <v>472</v>
      </c>
      <c r="B181" s="17">
        <v>13.0</v>
      </c>
      <c r="C181" s="17">
        <v>10.384</v>
      </c>
      <c r="D181" s="5">
        <f t="shared" si="1"/>
        <v>0.2519260401</v>
      </c>
    </row>
    <row r="182">
      <c r="A182" s="21" t="s">
        <v>473</v>
      </c>
      <c r="B182" s="17">
        <v>90.0</v>
      </c>
      <c r="C182" s="17">
        <v>78.66465</v>
      </c>
      <c r="D182" s="5">
        <f t="shared" si="1"/>
        <v>0.1440971262</v>
      </c>
    </row>
    <row r="183">
      <c r="A183" s="21" t="s">
        <v>474</v>
      </c>
      <c r="B183" s="17">
        <v>90.0</v>
      </c>
      <c r="C183" s="17">
        <v>78.66465</v>
      </c>
      <c r="D183" s="5">
        <f t="shared" si="1"/>
        <v>0.1440971262</v>
      </c>
    </row>
    <row r="184">
      <c r="A184" s="21" t="s">
        <v>477</v>
      </c>
      <c r="B184" s="17">
        <v>90.0</v>
      </c>
      <c r="C184" s="17">
        <v>78.66465</v>
      </c>
      <c r="D184" s="5">
        <f t="shared" si="1"/>
        <v>0.1440971262</v>
      </c>
    </row>
    <row r="185">
      <c r="A185" s="21" t="s">
        <v>478</v>
      </c>
      <c r="B185" s="17">
        <v>70.0</v>
      </c>
      <c r="C185" s="17">
        <v>56.07635</v>
      </c>
      <c r="D185" s="5">
        <f t="shared" si="1"/>
        <v>0.2482980793</v>
      </c>
    </row>
    <row r="186">
      <c r="A186" s="21" t="s">
        <v>480</v>
      </c>
      <c r="B186" s="17">
        <v>70.0</v>
      </c>
      <c r="C186" s="17">
        <v>56.07635</v>
      </c>
      <c r="D186" s="5">
        <f t="shared" si="1"/>
        <v>0.2482980793</v>
      </c>
    </row>
    <row r="187">
      <c r="A187" s="21" t="s">
        <v>482</v>
      </c>
      <c r="B187" s="17">
        <v>70.0</v>
      </c>
      <c r="C187" s="17">
        <v>56.07635</v>
      </c>
      <c r="D187" s="5">
        <f t="shared" si="1"/>
        <v>0.2482980793</v>
      </c>
    </row>
    <row r="188">
      <c r="A188" s="21" t="s">
        <v>485</v>
      </c>
      <c r="B188" s="17">
        <v>70.0</v>
      </c>
      <c r="C188" s="17">
        <v>56.07635</v>
      </c>
      <c r="D188" s="5">
        <f t="shared" si="1"/>
        <v>0.2482980793</v>
      </c>
    </row>
    <row r="189">
      <c r="A189" s="21" t="s">
        <v>486</v>
      </c>
      <c r="B189" s="17">
        <v>70.0</v>
      </c>
      <c r="C189" s="17">
        <v>56.07635</v>
      </c>
      <c r="D189" s="5">
        <f t="shared" si="1"/>
        <v>0.2482980793</v>
      </c>
    </row>
    <row r="190">
      <c r="A190" s="21" t="s">
        <v>489</v>
      </c>
      <c r="B190" s="17">
        <v>70.0</v>
      </c>
      <c r="C190" s="17">
        <v>56.07635</v>
      </c>
      <c r="D190" s="5">
        <f t="shared" si="1"/>
        <v>0.2482980793</v>
      </c>
    </row>
    <row r="191">
      <c r="A191" s="21" t="s">
        <v>491</v>
      </c>
      <c r="B191" s="17">
        <v>70.0</v>
      </c>
      <c r="C191" s="17">
        <v>56.07635</v>
      </c>
      <c r="D191" s="5">
        <f t="shared" si="1"/>
        <v>0.2482980793</v>
      </c>
    </row>
    <row r="192">
      <c r="A192" s="21" t="s">
        <v>493</v>
      </c>
      <c r="B192" s="17">
        <v>70.0</v>
      </c>
      <c r="C192" s="17">
        <v>56.07635</v>
      </c>
      <c r="D192" s="5">
        <f t="shared" si="1"/>
        <v>0.2482980793</v>
      </c>
    </row>
    <row r="193">
      <c r="A193" s="21" t="s">
        <v>495</v>
      </c>
      <c r="B193" s="17">
        <v>20.0</v>
      </c>
      <c r="C193" s="17">
        <v>14.14711</v>
      </c>
      <c r="D193" s="5">
        <f t="shared" si="1"/>
        <v>0.4137162997</v>
      </c>
    </row>
    <row r="194">
      <c r="A194" s="21" t="s">
        <v>498</v>
      </c>
      <c r="B194" s="17">
        <v>50.0</v>
      </c>
      <c r="C194" s="17">
        <v>37.20916</v>
      </c>
      <c r="D194" s="5">
        <f t="shared" si="1"/>
        <v>0.3437551399</v>
      </c>
    </row>
    <row r="195">
      <c r="A195" s="21" t="s">
        <v>500</v>
      </c>
      <c r="B195" s="17">
        <v>170.0</v>
      </c>
      <c r="C195" s="17">
        <v>144.11814999999999</v>
      </c>
      <c r="D195" s="5">
        <f t="shared" si="1"/>
        <v>0.1795877202</v>
      </c>
    </row>
    <row r="196">
      <c r="A196" s="21" t="s">
        <v>502</v>
      </c>
      <c r="B196" s="17">
        <v>85.0</v>
      </c>
      <c r="C196" s="17">
        <v>68.85875</v>
      </c>
      <c r="D196" s="5">
        <f t="shared" si="1"/>
        <v>0.2344110226</v>
      </c>
    </row>
    <row r="197">
      <c r="A197" s="21" t="s">
        <v>504</v>
      </c>
      <c r="B197" s="17">
        <v>85.0</v>
      </c>
      <c r="C197" s="17">
        <v>68.65639999999999</v>
      </c>
      <c r="D197" s="5">
        <f t="shared" si="1"/>
        <v>0.2380491841</v>
      </c>
    </row>
    <row r="198">
      <c r="A198" s="21" t="s">
        <v>506</v>
      </c>
      <c r="B198" s="17">
        <v>85.0</v>
      </c>
      <c r="C198" s="17">
        <v>68.959925</v>
      </c>
      <c r="D198" s="5">
        <f t="shared" si="1"/>
        <v>0.2325999484</v>
      </c>
    </row>
    <row r="199">
      <c r="A199" s="21" t="s">
        <v>507</v>
      </c>
      <c r="B199" s="17">
        <v>85.0</v>
      </c>
      <c r="C199" s="17">
        <v>68.2517</v>
      </c>
      <c r="D199" s="5">
        <f t="shared" si="1"/>
        <v>0.2453902247</v>
      </c>
    </row>
    <row r="200">
      <c r="A200" s="21" t="s">
        <v>509</v>
      </c>
      <c r="B200" s="17">
        <v>85.0</v>
      </c>
      <c r="C200" s="17">
        <v>68.65639999999999</v>
      </c>
      <c r="D200" s="5">
        <f t="shared" si="1"/>
        <v>0.2380491841</v>
      </c>
    </row>
    <row r="201">
      <c r="A201" s="21" t="s">
        <v>511</v>
      </c>
      <c r="B201" s="17">
        <v>85.0</v>
      </c>
      <c r="C201" s="17">
        <v>68.29217</v>
      </c>
      <c r="D201" s="5">
        <f t="shared" si="1"/>
        <v>0.2446522054</v>
      </c>
    </row>
    <row r="202">
      <c r="A202" s="21" t="s">
        <v>512</v>
      </c>
      <c r="B202" s="17">
        <v>85.0</v>
      </c>
      <c r="C202" s="17">
        <v>68.45405</v>
      </c>
      <c r="D202" s="5">
        <f t="shared" si="1"/>
        <v>0.2417088543</v>
      </c>
    </row>
    <row r="203">
      <c r="A203" s="21" t="s">
        <v>516</v>
      </c>
      <c r="B203" s="17">
        <v>80.0</v>
      </c>
      <c r="C203" s="17">
        <v>67.077625</v>
      </c>
      <c r="D203" s="5">
        <f t="shared" si="1"/>
        <v>0.1926480701</v>
      </c>
    </row>
    <row r="204">
      <c r="A204" s="21" t="s">
        <v>518</v>
      </c>
      <c r="B204" s="17">
        <v>80.0</v>
      </c>
      <c r="C204" s="17">
        <v>67.077625</v>
      </c>
      <c r="D204" s="5">
        <f t="shared" si="1"/>
        <v>0.1926480701</v>
      </c>
    </row>
    <row r="205">
      <c r="A205" s="21" t="s">
        <v>522</v>
      </c>
      <c r="B205" s="17">
        <v>85.0</v>
      </c>
      <c r="C205" s="17">
        <v>74.77482499999999</v>
      </c>
      <c r="D205" s="5">
        <f t="shared" si="1"/>
        <v>0.1367462244</v>
      </c>
    </row>
    <row r="206">
      <c r="A206" s="21" t="s">
        <v>525</v>
      </c>
      <c r="B206" s="17">
        <v>65.0</v>
      </c>
      <c r="C206" s="17">
        <v>50.833974999999995</v>
      </c>
      <c r="D206" s="5">
        <f t="shared" si="1"/>
        <v>0.278672384</v>
      </c>
    </row>
    <row r="207">
      <c r="A207" s="21" t="s">
        <v>526</v>
      </c>
      <c r="B207" s="17">
        <v>65.0</v>
      </c>
      <c r="C207" s="17">
        <v>50.833974999999995</v>
      </c>
      <c r="D207" s="5">
        <f t="shared" si="1"/>
        <v>0.278672384</v>
      </c>
    </row>
    <row r="208">
      <c r="A208" s="21" t="s">
        <v>528</v>
      </c>
      <c r="B208" s="17">
        <v>65.0</v>
      </c>
      <c r="C208" s="17">
        <v>50.833974999999995</v>
      </c>
      <c r="D208" s="5">
        <f t="shared" si="1"/>
        <v>0.278672384</v>
      </c>
    </row>
    <row r="209">
      <c r="A209" s="21" t="s">
        <v>530</v>
      </c>
      <c r="B209" s="17">
        <v>65.0</v>
      </c>
      <c r="C209" s="17">
        <v>50.833974999999995</v>
      </c>
      <c r="D209" s="5">
        <f t="shared" si="1"/>
        <v>0.278672384</v>
      </c>
    </row>
    <row r="210">
      <c r="A210" s="21" t="s">
        <v>531</v>
      </c>
      <c r="B210" s="17">
        <v>65.0</v>
      </c>
      <c r="C210" s="17">
        <v>54.412375</v>
      </c>
      <c r="D210" s="5">
        <f t="shared" si="1"/>
        <v>0.1945811959</v>
      </c>
    </row>
    <row r="211">
      <c r="A211" s="21" t="s">
        <v>534</v>
      </c>
      <c r="B211" s="17">
        <v>65.0</v>
      </c>
      <c r="C211" s="17">
        <v>50.833974999999995</v>
      </c>
      <c r="D211" s="5">
        <f t="shared" si="1"/>
        <v>0.278672384</v>
      </c>
    </row>
    <row r="212">
      <c r="A212" s="21" t="s">
        <v>536</v>
      </c>
      <c r="B212" s="17">
        <v>65.0</v>
      </c>
      <c r="C212" s="17">
        <v>50.833974999999995</v>
      </c>
      <c r="D212" s="5">
        <f t="shared" si="1"/>
        <v>0.278672384</v>
      </c>
    </row>
    <row r="213">
      <c r="A213" s="21" t="s">
        <v>537</v>
      </c>
      <c r="B213" s="17">
        <v>65.0</v>
      </c>
      <c r="C213" s="17">
        <v>50.833974999999995</v>
      </c>
      <c r="D213" s="5">
        <f t="shared" si="1"/>
        <v>0.278672384</v>
      </c>
    </row>
    <row r="214">
      <c r="A214" s="21" t="s">
        <v>539</v>
      </c>
      <c r="B214" s="17">
        <v>65.0</v>
      </c>
      <c r="C214" s="17">
        <v>50.833974999999995</v>
      </c>
      <c r="D214" s="5">
        <f t="shared" si="1"/>
        <v>0.278672384</v>
      </c>
    </row>
    <row r="215">
      <c r="A215" s="21" t="s">
        <v>540</v>
      </c>
      <c r="B215" s="17">
        <v>65.0</v>
      </c>
      <c r="C215" s="17">
        <v>50.833974999999995</v>
      </c>
      <c r="D215" s="5">
        <f t="shared" si="1"/>
        <v>0.278672384</v>
      </c>
    </row>
    <row r="216">
      <c r="A216" s="21" t="s">
        <v>543</v>
      </c>
      <c r="B216" s="17">
        <v>55.0</v>
      </c>
      <c r="C216" s="17">
        <v>43.237505</v>
      </c>
      <c r="D216" s="5">
        <f t="shared" si="1"/>
        <v>0.2720437962</v>
      </c>
    </row>
    <row r="217">
      <c r="A217" s="21" t="s">
        <v>544</v>
      </c>
      <c r="B217" s="17">
        <v>55.0</v>
      </c>
      <c r="C217" s="17">
        <v>43.237505</v>
      </c>
      <c r="D217" s="5">
        <f t="shared" si="1"/>
        <v>0.2720437962</v>
      </c>
    </row>
    <row r="218">
      <c r="A218" s="21" t="s">
        <v>546</v>
      </c>
      <c r="B218" s="17">
        <v>55.0</v>
      </c>
      <c r="C218" s="17">
        <v>43.237505</v>
      </c>
      <c r="D218" s="5">
        <f t="shared" si="1"/>
        <v>0.2720437962</v>
      </c>
    </row>
    <row r="219">
      <c r="A219" s="21" t="s">
        <v>547</v>
      </c>
      <c r="B219" s="17">
        <v>55.0</v>
      </c>
      <c r="C219" s="17">
        <v>43.237505</v>
      </c>
      <c r="D219" s="5">
        <f t="shared" si="1"/>
        <v>0.2720437962</v>
      </c>
    </row>
    <row r="220">
      <c r="A220" s="21" t="s">
        <v>549</v>
      </c>
      <c r="B220" s="17">
        <v>55.0</v>
      </c>
      <c r="C220" s="17">
        <v>43.237505</v>
      </c>
      <c r="D220" s="5">
        <f t="shared" si="1"/>
        <v>0.2720437962</v>
      </c>
    </row>
    <row r="221">
      <c r="A221" s="21" t="s">
        <v>551</v>
      </c>
      <c r="B221" s="17">
        <v>55.0</v>
      </c>
      <c r="C221" s="17">
        <v>43.237505</v>
      </c>
      <c r="D221" s="5">
        <f t="shared" si="1"/>
        <v>0.2720437962</v>
      </c>
    </row>
    <row r="222">
      <c r="A222" s="21" t="s">
        <v>553</v>
      </c>
      <c r="B222" s="17">
        <v>60.0</v>
      </c>
      <c r="C222" s="17">
        <v>47.327</v>
      </c>
      <c r="D222" s="5">
        <f t="shared" si="1"/>
        <v>0.2677752657</v>
      </c>
    </row>
    <row r="223">
      <c r="A223" s="21" t="s">
        <v>554</v>
      </c>
      <c r="B223" s="17">
        <v>60.0</v>
      </c>
      <c r="C223" s="17">
        <v>47.327</v>
      </c>
      <c r="D223" s="5">
        <f t="shared" si="1"/>
        <v>0.2677752657</v>
      </c>
    </row>
    <row r="224">
      <c r="A224" s="21" t="s">
        <v>558</v>
      </c>
      <c r="B224" s="17">
        <v>60.0</v>
      </c>
      <c r="C224" s="17">
        <v>47.327</v>
      </c>
      <c r="D224" s="5">
        <f t="shared" si="1"/>
        <v>0.2677752657</v>
      </c>
    </row>
    <row r="225">
      <c r="A225" s="21" t="s">
        <v>559</v>
      </c>
      <c r="B225" s="17">
        <v>75.0</v>
      </c>
      <c r="C225" s="17">
        <v>60.285675</v>
      </c>
      <c r="D225" s="5">
        <f t="shared" si="1"/>
        <v>0.2440766401</v>
      </c>
    </row>
    <row r="226">
      <c r="A226" s="21" t="s">
        <v>561</v>
      </c>
      <c r="B226" s="17">
        <v>75.0</v>
      </c>
      <c r="C226" s="17">
        <v>60.285675</v>
      </c>
      <c r="D226" s="5">
        <f t="shared" si="1"/>
        <v>0.2440766401</v>
      </c>
    </row>
    <row r="227">
      <c r="A227" s="21" t="s">
        <v>562</v>
      </c>
      <c r="B227" s="17">
        <v>75.0</v>
      </c>
      <c r="C227" s="17">
        <v>60.285675</v>
      </c>
      <c r="D227" s="5">
        <f t="shared" si="1"/>
        <v>0.2440766401</v>
      </c>
    </row>
    <row r="228">
      <c r="A228" s="21" t="s">
        <v>563</v>
      </c>
      <c r="B228" s="17">
        <v>184.0</v>
      </c>
      <c r="C228" s="17">
        <v>175.46033936651583</v>
      </c>
      <c r="D228" s="5">
        <f t="shared" si="1"/>
        <v>0.04867003372</v>
      </c>
    </row>
    <row r="229">
      <c r="A229" s="21" t="s">
        <v>565</v>
      </c>
      <c r="B229" s="17">
        <v>167.0</v>
      </c>
      <c r="C229" s="17">
        <v>159.70291855203618</v>
      </c>
      <c r="D229" s="5">
        <f t="shared" si="1"/>
        <v>0.04569159734</v>
      </c>
    </row>
    <row r="230">
      <c r="A230" s="21" t="s">
        <v>566</v>
      </c>
      <c r="B230" s="17">
        <v>90.0</v>
      </c>
      <c r="C230" s="17">
        <v>85.82299208144796</v>
      </c>
      <c r="D230" s="5">
        <f t="shared" si="1"/>
        <v>0.04867003372</v>
      </c>
    </row>
    <row r="231">
      <c r="A231" s="21" t="s">
        <v>571</v>
      </c>
      <c r="B231" s="17">
        <v>75.0</v>
      </c>
      <c r="C231" s="17">
        <v>37.5</v>
      </c>
      <c r="D231" s="5">
        <f t="shared" si="1"/>
        <v>1</v>
      </c>
    </row>
    <row r="232">
      <c r="A232" s="21" t="s">
        <v>575</v>
      </c>
      <c r="B232" s="17">
        <v>75.0</v>
      </c>
      <c r="C232" s="17">
        <v>37.5</v>
      </c>
      <c r="D232" s="5">
        <f t="shared" si="1"/>
        <v>1</v>
      </c>
    </row>
    <row r="233">
      <c r="A233" s="21" t="s">
        <v>577</v>
      </c>
      <c r="B233" s="17">
        <v>40.0</v>
      </c>
      <c r="C233" s="17">
        <v>32.404055</v>
      </c>
      <c r="D233" s="5">
        <f t="shared" si="1"/>
        <v>0.2344134091</v>
      </c>
    </row>
    <row r="234">
      <c r="A234" s="21" t="s">
        <v>582</v>
      </c>
      <c r="B234" s="17">
        <v>25.0</v>
      </c>
      <c r="C234" s="17">
        <v>19.96565</v>
      </c>
      <c r="D234" s="5">
        <f t="shared" si="1"/>
        <v>0.2521505686</v>
      </c>
    </row>
    <row r="235">
      <c r="A235" s="21" t="s">
        <v>585</v>
      </c>
      <c r="B235" s="17">
        <v>65.0</v>
      </c>
      <c r="C235" s="17">
        <v>52.267465</v>
      </c>
      <c r="D235" s="5">
        <f t="shared" si="1"/>
        <v>0.2436034539</v>
      </c>
    </row>
    <row r="236">
      <c r="A236" s="21" t="s">
        <v>588</v>
      </c>
      <c r="B236" s="17">
        <v>130.0</v>
      </c>
      <c r="C236" s="17">
        <v>109.13147000000001</v>
      </c>
      <c r="D236" s="5">
        <f t="shared" si="1"/>
        <v>0.1912237597</v>
      </c>
    </row>
    <row r="237">
      <c r="A237" s="21" t="s">
        <v>593</v>
      </c>
      <c r="B237" s="17">
        <v>65.0</v>
      </c>
      <c r="C237" s="17">
        <v>52.166290000000004</v>
      </c>
      <c r="D237" s="5">
        <f t="shared" si="1"/>
        <v>0.2460153866</v>
      </c>
    </row>
    <row r="238">
      <c r="A238" s="21" t="s">
        <v>594</v>
      </c>
      <c r="B238" s="17">
        <v>115.0</v>
      </c>
      <c r="C238" s="17">
        <v>99.00092000000001</v>
      </c>
      <c r="D238" s="5">
        <f t="shared" si="1"/>
        <v>0.1616053669</v>
      </c>
    </row>
    <row r="239">
      <c r="A239" s="21" t="s">
        <v>596</v>
      </c>
      <c r="B239" s="17">
        <v>65.0</v>
      </c>
      <c r="C239" s="17">
        <v>52.732870000000005</v>
      </c>
      <c r="D239" s="5">
        <f t="shared" si="1"/>
        <v>0.2326277709</v>
      </c>
    </row>
    <row r="240">
      <c r="A240" s="21" t="s">
        <v>599</v>
      </c>
      <c r="B240" s="17">
        <v>130.0</v>
      </c>
      <c r="C240" s="17">
        <v>121.41411500000001</v>
      </c>
      <c r="D240" s="5">
        <f t="shared" si="1"/>
        <v>0.07071570715</v>
      </c>
    </row>
    <row r="241">
      <c r="A241" s="21" t="s">
        <v>602</v>
      </c>
      <c r="B241" s="17">
        <v>120.0</v>
      </c>
      <c r="C241" s="17">
        <v>104.75875500000001</v>
      </c>
      <c r="D241" s="5">
        <f t="shared" si="1"/>
        <v>0.1454889856</v>
      </c>
    </row>
    <row r="242">
      <c r="A242" s="21" t="s">
        <v>608</v>
      </c>
      <c r="B242" s="17">
        <v>90.0</v>
      </c>
      <c r="C242" s="17">
        <v>78.654</v>
      </c>
      <c r="D242" s="5">
        <f t="shared" si="1"/>
        <v>0.1442520406</v>
      </c>
    </row>
    <row r="243">
      <c r="A243" s="21" t="s">
        <v>612</v>
      </c>
      <c r="B243" s="17">
        <v>90.0</v>
      </c>
      <c r="C243" s="17">
        <v>78.654</v>
      </c>
      <c r="D243" s="5">
        <f t="shared" si="1"/>
        <v>0.1442520406</v>
      </c>
    </row>
    <row r="244">
      <c r="A244" s="21" t="s">
        <v>613</v>
      </c>
      <c r="B244" s="17">
        <v>90.0</v>
      </c>
      <c r="C244" s="17">
        <v>78.654</v>
      </c>
      <c r="D244" s="5">
        <f t="shared" si="1"/>
        <v>0.1442520406</v>
      </c>
    </row>
    <row r="245">
      <c r="A245" s="21" t="s">
        <v>615</v>
      </c>
      <c r="B245" s="17">
        <v>90.0</v>
      </c>
      <c r="C245" s="17">
        <v>78.654</v>
      </c>
      <c r="D245" s="5">
        <f t="shared" si="1"/>
        <v>0.1442520406</v>
      </c>
    </row>
    <row r="246">
      <c r="A246" s="21" t="s">
        <v>616</v>
      </c>
      <c r="B246" s="17">
        <v>90.0</v>
      </c>
      <c r="C246" s="17">
        <v>73.8615</v>
      </c>
      <c r="D246" s="5">
        <f t="shared" si="1"/>
        <v>0.2184967811</v>
      </c>
    </row>
    <row r="247">
      <c r="A247" s="21" t="s">
        <v>618</v>
      </c>
      <c r="B247" s="17">
        <v>90.0</v>
      </c>
      <c r="C247" s="17">
        <v>78.654</v>
      </c>
      <c r="D247" s="5">
        <f t="shared" si="1"/>
        <v>0.1442520406</v>
      </c>
    </row>
    <row r="248">
      <c r="A248" s="21" t="s">
        <v>619</v>
      </c>
      <c r="B248" s="17">
        <v>90.0</v>
      </c>
      <c r="C248" s="17">
        <v>78.654</v>
      </c>
      <c r="D248" s="5">
        <f t="shared" si="1"/>
        <v>0.1442520406</v>
      </c>
    </row>
    <row r="249">
      <c r="A249" s="21" t="s">
        <v>621</v>
      </c>
      <c r="B249" s="17">
        <v>40.0</v>
      </c>
      <c r="C249" s="17">
        <v>30.677999999999997</v>
      </c>
      <c r="D249" s="5">
        <f t="shared" si="1"/>
        <v>0.3038659626</v>
      </c>
    </row>
    <row r="250">
      <c r="A250" s="21" t="s">
        <v>623</v>
      </c>
      <c r="B250" s="17">
        <v>40.0</v>
      </c>
      <c r="C250" s="17">
        <v>30.677999999999997</v>
      </c>
      <c r="D250" s="5">
        <f t="shared" si="1"/>
        <v>0.3038659626</v>
      </c>
    </row>
    <row r="251">
      <c r="A251" s="21" t="s">
        <v>625</v>
      </c>
      <c r="B251" s="17">
        <v>40.0</v>
      </c>
      <c r="C251" s="17">
        <v>30.677999999999997</v>
      </c>
      <c r="D251" s="5">
        <f t="shared" si="1"/>
        <v>0.3038659626</v>
      </c>
    </row>
    <row r="252">
      <c r="A252" s="21" t="s">
        <v>627</v>
      </c>
      <c r="B252" s="17">
        <v>20.0</v>
      </c>
      <c r="C252" s="17">
        <v>14.16</v>
      </c>
      <c r="D252" s="5">
        <f t="shared" si="1"/>
        <v>0.4124293785</v>
      </c>
    </row>
    <row r="253">
      <c r="A253" s="21" t="s">
        <v>629</v>
      </c>
      <c r="B253" s="17">
        <v>20.0</v>
      </c>
      <c r="C253" s="17">
        <v>14.16</v>
      </c>
      <c r="D253" s="5">
        <f t="shared" si="1"/>
        <v>0.4124293785</v>
      </c>
    </row>
    <row r="254">
      <c r="A254" s="21" t="s">
        <v>631</v>
      </c>
      <c r="B254" s="17">
        <v>20.0</v>
      </c>
      <c r="C254" s="17">
        <v>14.16</v>
      </c>
      <c r="D254" s="5">
        <f t="shared" si="1"/>
        <v>0.4124293785</v>
      </c>
    </row>
    <row r="255">
      <c r="A255" s="21" t="s">
        <v>634</v>
      </c>
      <c r="B255" s="17">
        <v>90.0</v>
      </c>
      <c r="C255" s="17">
        <v>76.8</v>
      </c>
      <c r="D255" s="5">
        <f t="shared" si="1"/>
        <v>0.171875</v>
      </c>
    </row>
    <row r="256">
      <c r="A256" s="21" t="s">
        <v>635</v>
      </c>
      <c r="B256" s="17">
        <v>90.0</v>
      </c>
      <c r="C256" s="17">
        <v>76.8</v>
      </c>
      <c r="D256" s="5">
        <f t="shared" si="1"/>
        <v>0.171875</v>
      </c>
    </row>
    <row r="257">
      <c r="A257" s="21" t="s">
        <v>638</v>
      </c>
      <c r="B257" s="17">
        <v>90.0</v>
      </c>
      <c r="C257" s="17">
        <v>76.8</v>
      </c>
      <c r="D257" s="5">
        <f t="shared" si="1"/>
        <v>0.171875</v>
      </c>
    </row>
    <row r="258">
      <c r="A258" s="21" t="s">
        <v>642</v>
      </c>
      <c r="B258" s="17">
        <v>90.0</v>
      </c>
      <c r="C258" s="17">
        <v>76.8</v>
      </c>
      <c r="D258" s="5">
        <f t="shared" si="1"/>
        <v>0.171875</v>
      </c>
    </row>
    <row r="259">
      <c r="A259" s="21" t="s">
        <v>643</v>
      </c>
      <c r="B259" s="17">
        <v>90.0</v>
      </c>
      <c r="C259" s="17">
        <v>76.8</v>
      </c>
      <c r="D259" s="5">
        <f t="shared" si="1"/>
        <v>0.171875</v>
      </c>
    </row>
    <row r="260">
      <c r="A260" s="21" t="s">
        <v>645</v>
      </c>
      <c r="B260" s="17">
        <v>16.0</v>
      </c>
      <c r="C260" s="17">
        <v>13.52735</v>
      </c>
      <c r="D260" s="5">
        <f t="shared" si="1"/>
        <v>0.1827889424</v>
      </c>
    </row>
    <row r="261">
      <c r="A261" s="21" t="s">
        <v>647</v>
      </c>
      <c r="B261" s="17">
        <v>16.0</v>
      </c>
      <c r="C261" s="17">
        <v>13.52735</v>
      </c>
      <c r="D261" s="5">
        <f t="shared" si="1"/>
        <v>0.1827889424</v>
      </c>
    </row>
    <row r="262">
      <c r="A262" s="21" t="s">
        <v>650</v>
      </c>
      <c r="B262" s="17">
        <v>16.0</v>
      </c>
      <c r="C262" s="17">
        <v>13.52735</v>
      </c>
      <c r="D262" s="5">
        <f t="shared" si="1"/>
        <v>0.1827889424</v>
      </c>
    </row>
    <row r="263">
      <c r="A263" s="21" t="s">
        <v>651</v>
      </c>
      <c r="B263" s="17">
        <v>16.0</v>
      </c>
      <c r="C263" s="17">
        <v>13.52735</v>
      </c>
      <c r="D263" s="5">
        <f t="shared" si="1"/>
        <v>0.1827889424</v>
      </c>
    </row>
    <row r="264">
      <c r="A264" s="21" t="s">
        <v>654</v>
      </c>
      <c r="B264" s="17">
        <v>16.0</v>
      </c>
      <c r="C264" s="17">
        <v>13.52735</v>
      </c>
      <c r="D264" s="5">
        <f t="shared" si="1"/>
        <v>0.1827889424</v>
      </c>
    </row>
    <row r="265">
      <c r="A265" s="21" t="s">
        <v>656</v>
      </c>
      <c r="B265" s="17">
        <v>16.0</v>
      </c>
      <c r="C265" s="17">
        <v>13.52735</v>
      </c>
      <c r="D265" s="5">
        <f t="shared" si="1"/>
        <v>0.1827889424</v>
      </c>
    </row>
    <row r="266">
      <c r="A266" s="21" t="s">
        <v>658</v>
      </c>
      <c r="B266" s="17">
        <v>16.0</v>
      </c>
      <c r="C266" s="17">
        <v>13.52735</v>
      </c>
      <c r="D266" s="5">
        <f t="shared" si="1"/>
        <v>0.1827889424</v>
      </c>
    </row>
    <row r="267">
      <c r="A267" s="21" t="s">
        <v>661</v>
      </c>
      <c r="B267" s="17">
        <v>16.0</v>
      </c>
      <c r="C267" s="17">
        <v>13.52735</v>
      </c>
      <c r="D267" s="5">
        <f t="shared" si="1"/>
        <v>0.1827889424</v>
      </c>
    </row>
    <row r="268">
      <c r="A268" s="21" t="s">
        <v>663</v>
      </c>
      <c r="B268" s="17">
        <v>60.0</v>
      </c>
      <c r="C268" s="17">
        <v>49.15</v>
      </c>
      <c r="D268" s="5">
        <f t="shared" si="1"/>
        <v>0.2207527976</v>
      </c>
    </row>
    <row r="269">
      <c r="A269" s="21" t="s">
        <v>665</v>
      </c>
      <c r="B269" s="17">
        <v>60.0</v>
      </c>
      <c r="C269" s="17">
        <v>48.428</v>
      </c>
      <c r="D269" s="5">
        <f t="shared" si="1"/>
        <v>0.238952672</v>
      </c>
    </row>
    <row r="270">
      <c r="A270" s="21" t="s">
        <v>668</v>
      </c>
      <c r="B270" s="17">
        <v>60.0</v>
      </c>
      <c r="C270" s="17">
        <v>48.370999999999995</v>
      </c>
      <c r="D270" s="5">
        <f t="shared" si="1"/>
        <v>0.2404126439</v>
      </c>
    </row>
    <row r="271">
      <c r="A271" s="21" t="s">
        <v>671</v>
      </c>
      <c r="B271" s="17">
        <v>25.0</v>
      </c>
      <c r="C271" s="17">
        <v>18.055</v>
      </c>
      <c r="D271" s="5">
        <f t="shared" si="1"/>
        <v>0.3846579895</v>
      </c>
    </row>
    <row r="272">
      <c r="A272" s="21" t="s">
        <v>674</v>
      </c>
      <c r="B272" s="17">
        <v>25.0</v>
      </c>
      <c r="C272" s="17">
        <v>18.055</v>
      </c>
      <c r="D272" s="5">
        <f t="shared" si="1"/>
        <v>0.3846579895</v>
      </c>
    </row>
    <row r="273">
      <c r="A273" s="21" t="s">
        <v>677</v>
      </c>
      <c r="B273" s="17">
        <v>25.0</v>
      </c>
      <c r="C273" s="17">
        <v>18.59</v>
      </c>
      <c r="D273" s="5">
        <f t="shared" si="1"/>
        <v>0.3448090371</v>
      </c>
    </row>
    <row r="274">
      <c r="A274" s="21" t="s">
        <v>679</v>
      </c>
      <c r="B274" s="17">
        <v>25.0</v>
      </c>
      <c r="C274" s="17">
        <v>18.59</v>
      </c>
      <c r="D274" s="5">
        <f t="shared" si="1"/>
        <v>0.3448090371</v>
      </c>
    </row>
    <row r="275">
      <c r="A275" s="21" t="s">
        <v>681</v>
      </c>
      <c r="B275" s="17">
        <v>60.0</v>
      </c>
      <c r="C275" s="17">
        <v>49.455</v>
      </c>
      <c r="D275" s="5">
        <f t="shared" si="1"/>
        <v>0.2132241432</v>
      </c>
    </row>
    <row r="276">
      <c r="A276" s="21" t="s">
        <v>683</v>
      </c>
      <c r="B276" s="17">
        <v>60.0</v>
      </c>
      <c r="C276" s="17">
        <v>49.455</v>
      </c>
      <c r="D276" s="5">
        <f t="shared" si="1"/>
        <v>0.2132241432</v>
      </c>
    </row>
    <row r="277">
      <c r="A277" s="21" t="s">
        <v>685</v>
      </c>
      <c r="B277" s="17">
        <v>125.0</v>
      </c>
      <c r="C277" s="17">
        <v>108.25</v>
      </c>
      <c r="D277" s="5">
        <f t="shared" si="1"/>
        <v>0.1547344111</v>
      </c>
    </row>
    <row r="278">
      <c r="A278" s="21" t="s">
        <v>687</v>
      </c>
      <c r="B278" s="17">
        <v>8.0</v>
      </c>
      <c r="C278" s="17">
        <v>6.115</v>
      </c>
      <c r="D278" s="5">
        <f t="shared" si="1"/>
        <v>0.308258381</v>
      </c>
    </row>
    <row r="279">
      <c r="A279" s="21" t="s">
        <v>689</v>
      </c>
      <c r="B279" s="17">
        <v>8.0</v>
      </c>
      <c r="C279" s="17">
        <v>6.115</v>
      </c>
      <c r="D279" s="5">
        <f t="shared" si="1"/>
        <v>0.308258381</v>
      </c>
    </row>
    <row r="280">
      <c r="A280" s="21" t="s">
        <v>692</v>
      </c>
      <c r="B280" s="17">
        <v>8.0</v>
      </c>
      <c r="C280" s="17">
        <v>6.115</v>
      </c>
      <c r="D280" s="5">
        <f t="shared" si="1"/>
        <v>0.308258381</v>
      </c>
    </row>
    <row r="281">
      <c r="A281" s="21" t="s">
        <v>693</v>
      </c>
      <c r="B281" s="17">
        <v>8.0</v>
      </c>
      <c r="C281" s="17">
        <v>6.115</v>
      </c>
      <c r="D281" s="5">
        <f t="shared" si="1"/>
        <v>0.308258381</v>
      </c>
    </row>
    <row r="282">
      <c r="A282" s="21" t="s">
        <v>696</v>
      </c>
      <c r="B282" s="17">
        <v>8.0</v>
      </c>
      <c r="C282" s="17">
        <v>6.115</v>
      </c>
      <c r="D282" s="5">
        <f t="shared" si="1"/>
        <v>0.308258381</v>
      </c>
    </row>
    <row r="283">
      <c r="A283" s="21" t="s">
        <v>698</v>
      </c>
      <c r="B283" s="17">
        <v>8.0</v>
      </c>
      <c r="C283" s="17">
        <v>6.115</v>
      </c>
      <c r="D283" s="5">
        <f t="shared" si="1"/>
        <v>0.308258381</v>
      </c>
    </row>
    <row r="284">
      <c r="A284" s="21" t="s">
        <v>700</v>
      </c>
      <c r="B284" s="17">
        <v>8.0</v>
      </c>
      <c r="C284" s="17">
        <v>6.115</v>
      </c>
      <c r="D284" s="5">
        <f t="shared" si="1"/>
        <v>0.308258381</v>
      </c>
    </row>
    <row r="285">
      <c r="A285" s="21" t="s">
        <v>703</v>
      </c>
      <c r="B285" s="17">
        <v>20.0</v>
      </c>
      <c r="C285" s="17">
        <v>14.75</v>
      </c>
      <c r="D285" s="5">
        <f t="shared" si="1"/>
        <v>0.3559322034</v>
      </c>
    </row>
    <row r="286">
      <c r="A286" s="21" t="s">
        <v>706</v>
      </c>
      <c r="B286" s="17">
        <v>20.0</v>
      </c>
      <c r="C286" s="17">
        <v>14.75</v>
      </c>
      <c r="D286" s="5">
        <f t="shared" si="1"/>
        <v>0.3559322034</v>
      </c>
    </row>
    <row r="287">
      <c r="A287" s="21" t="s">
        <v>707</v>
      </c>
      <c r="B287" s="17">
        <v>80.0</v>
      </c>
      <c r="C287" s="17">
        <v>62.025</v>
      </c>
      <c r="D287" s="5">
        <f t="shared" si="1"/>
        <v>0.289802499</v>
      </c>
    </row>
    <row r="288">
      <c r="A288" s="21" t="s">
        <v>710</v>
      </c>
      <c r="B288" s="17">
        <v>16.0</v>
      </c>
      <c r="C288" s="17">
        <v>14.03</v>
      </c>
      <c r="D288" s="5">
        <f t="shared" si="1"/>
        <v>0.1404133999</v>
      </c>
    </row>
    <row r="289">
      <c r="A289" s="21" t="s">
        <v>712</v>
      </c>
      <c r="B289" s="17">
        <v>16.0</v>
      </c>
      <c r="C289" s="17">
        <v>14.03</v>
      </c>
      <c r="D289" s="5">
        <f t="shared" si="1"/>
        <v>0.1404133999</v>
      </c>
    </row>
    <row r="290">
      <c r="A290" s="21" t="s">
        <v>714</v>
      </c>
      <c r="B290" s="17">
        <v>16.0</v>
      </c>
      <c r="C290" s="17">
        <v>14.03</v>
      </c>
      <c r="D290" s="5">
        <f t="shared" si="1"/>
        <v>0.1404133999</v>
      </c>
    </row>
    <row r="291">
      <c r="A291" s="21" t="s">
        <v>716</v>
      </c>
      <c r="B291" s="17">
        <v>16.0</v>
      </c>
      <c r="C291" s="17">
        <v>14.03</v>
      </c>
      <c r="D291" s="5">
        <f t="shared" si="1"/>
        <v>0.1404133999</v>
      </c>
    </row>
    <row r="292">
      <c r="A292" s="21" t="s">
        <v>719</v>
      </c>
      <c r="B292" s="17">
        <v>16.0</v>
      </c>
      <c r="C292" s="17">
        <v>14.03</v>
      </c>
      <c r="D292" s="5">
        <f t="shared" si="1"/>
        <v>0.1404133999</v>
      </c>
    </row>
    <row r="293">
      <c r="A293" s="21" t="s">
        <v>720</v>
      </c>
      <c r="B293" s="17">
        <v>11.0</v>
      </c>
      <c r="C293" s="17">
        <v>9.58</v>
      </c>
      <c r="D293" s="5">
        <f t="shared" si="1"/>
        <v>0.1482254697</v>
      </c>
    </row>
    <row r="294">
      <c r="A294" s="21" t="s">
        <v>723</v>
      </c>
      <c r="B294" s="17">
        <v>11.0</v>
      </c>
      <c r="C294" s="17">
        <v>9.58</v>
      </c>
      <c r="D294" s="5">
        <f t="shared" si="1"/>
        <v>0.1482254697</v>
      </c>
    </row>
    <row r="295">
      <c r="A295" s="21" t="s">
        <v>724</v>
      </c>
      <c r="B295" s="17">
        <v>125.0</v>
      </c>
      <c r="C295" s="17">
        <v>111.5</v>
      </c>
      <c r="D295" s="5">
        <f t="shared" si="1"/>
        <v>0.1210762332</v>
      </c>
    </row>
    <row r="296">
      <c r="A296" s="21" t="s">
        <v>727</v>
      </c>
      <c r="B296" s="17">
        <v>100.0</v>
      </c>
      <c r="C296" s="17">
        <v>89.666</v>
      </c>
      <c r="D296" s="5">
        <f t="shared" si="1"/>
        <v>0.1152499275</v>
      </c>
    </row>
    <row r="297">
      <c r="A297" s="21" t="s">
        <v>728</v>
      </c>
      <c r="B297" s="17">
        <v>20.0</v>
      </c>
      <c r="C297" s="17">
        <v>15.04384</v>
      </c>
      <c r="D297" s="5">
        <f t="shared" si="1"/>
        <v>0.3294478006</v>
      </c>
    </row>
    <row r="298">
      <c r="A298" s="21" t="s">
        <v>731</v>
      </c>
      <c r="B298" s="17">
        <v>20.0</v>
      </c>
      <c r="C298" s="17">
        <v>15.00337</v>
      </c>
      <c r="D298" s="5">
        <f t="shared" si="1"/>
        <v>0.3330338451</v>
      </c>
    </row>
    <row r="299">
      <c r="A299" s="21" t="s">
        <v>733</v>
      </c>
      <c r="B299" s="17" t="s">
        <v>733</v>
      </c>
      <c r="C299" s="17" t="s">
        <v>733</v>
      </c>
      <c r="D299" s="5"/>
    </row>
    <row r="300">
      <c r="A300" s="21" t="s">
        <v>735</v>
      </c>
      <c r="B300" s="17">
        <v>9.0</v>
      </c>
      <c r="C300" s="17">
        <v>7.545</v>
      </c>
      <c r="D300" s="5"/>
    </row>
    <row r="301">
      <c r="A301" s="21" t="s">
        <v>736</v>
      </c>
      <c r="B301" s="17">
        <v>12.0</v>
      </c>
      <c r="C301" s="17">
        <v>9.945</v>
      </c>
      <c r="D301" s="5"/>
    </row>
    <row r="302">
      <c r="A302" s="21" t="s">
        <v>737</v>
      </c>
      <c r="B302" s="17">
        <v>9.0</v>
      </c>
      <c r="C302" s="17">
        <v>7.545</v>
      </c>
      <c r="D302" s="5"/>
    </row>
    <row r="303">
      <c r="A303" s="21" t="s">
        <v>740</v>
      </c>
      <c r="B303" s="17">
        <v>299.0</v>
      </c>
      <c r="C303" s="17">
        <v>267.502</v>
      </c>
      <c r="D303" s="5"/>
    </row>
    <row r="304">
      <c r="A304" s="21" t="s">
        <v>733</v>
      </c>
      <c r="B304" s="17" t="s">
        <v>733</v>
      </c>
      <c r="C304" s="17" t="s">
        <v>733</v>
      </c>
      <c r="D304" s="5"/>
    </row>
    <row r="305">
      <c r="A305" s="21" t="s">
        <v>733</v>
      </c>
      <c r="B305" s="17" t="s">
        <v>733</v>
      </c>
      <c r="C305" s="17" t="s">
        <v>733</v>
      </c>
      <c r="D305" s="5"/>
    </row>
    <row r="306">
      <c r="A306" s="21" t="s">
        <v>733</v>
      </c>
      <c r="B306" s="17" t="s">
        <v>733</v>
      </c>
      <c r="C306" s="17" t="s">
        <v>733</v>
      </c>
      <c r="D306" s="5"/>
    </row>
    <row r="307">
      <c r="A307" s="21" t="s">
        <v>733</v>
      </c>
      <c r="B307" s="17" t="s">
        <v>733</v>
      </c>
      <c r="C307" s="17" t="s">
        <v>733</v>
      </c>
      <c r="D307" s="5"/>
    </row>
    <row r="308">
      <c r="A308" s="21" t="s">
        <v>733</v>
      </c>
      <c r="B308" s="17" t="s">
        <v>733</v>
      </c>
      <c r="C308" s="17" t="s">
        <v>733</v>
      </c>
      <c r="D308" s="5"/>
    </row>
    <row r="309">
      <c r="A309" s="21" t="s">
        <v>743</v>
      </c>
      <c r="B309" s="17">
        <v>15.0</v>
      </c>
      <c r="C309" s="17">
        <v>7.5</v>
      </c>
      <c r="D309" s="5"/>
    </row>
    <row r="310">
      <c r="A310" s="21" t="s">
        <v>746</v>
      </c>
      <c r="B310" s="17">
        <v>12.0</v>
      </c>
      <c r="C310" s="17">
        <v>6.0</v>
      </c>
      <c r="D310" s="5"/>
    </row>
    <row r="311">
      <c r="A311" s="21" t="s">
        <v>747</v>
      </c>
      <c r="B311" s="17">
        <v>12.0</v>
      </c>
      <c r="C311" s="17">
        <v>6.0</v>
      </c>
      <c r="D311" s="5"/>
    </row>
    <row r="312">
      <c r="A312" s="21" t="s">
        <v>749</v>
      </c>
      <c r="B312" s="17">
        <v>330.0</v>
      </c>
      <c r="C312" s="17">
        <v>165.0</v>
      </c>
      <c r="D312" s="5"/>
    </row>
    <row r="313">
      <c r="A313" s="21" t="s">
        <v>752</v>
      </c>
      <c r="B313" s="17">
        <v>310.0</v>
      </c>
      <c r="C313" s="17">
        <v>155.0</v>
      </c>
      <c r="D313" s="5"/>
    </row>
    <row r="314">
      <c r="A314" s="21" t="s">
        <v>753</v>
      </c>
      <c r="B314" s="17">
        <v>110.0</v>
      </c>
      <c r="C314" s="17">
        <v>55.0</v>
      </c>
      <c r="D314" s="5"/>
    </row>
    <row r="315">
      <c r="A315" s="21" t="s">
        <v>756</v>
      </c>
      <c r="B315" s="17">
        <v>25.0</v>
      </c>
      <c r="C315" s="17">
        <v>12.5</v>
      </c>
      <c r="D315" s="5"/>
    </row>
    <row r="316">
      <c r="A316" s="21" t="s">
        <v>757</v>
      </c>
      <c r="B316" s="17">
        <v>30.0</v>
      </c>
      <c r="C316" s="17">
        <v>23.675</v>
      </c>
      <c r="D316" s="5"/>
    </row>
    <row r="317">
      <c r="A317" s="21" t="s">
        <v>759</v>
      </c>
      <c r="B317" s="17">
        <v>85.0</v>
      </c>
      <c r="C317" s="17">
        <v>42.5</v>
      </c>
      <c r="D317" s="5"/>
    </row>
    <row r="318">
      <c r="A318" s="21" t="s">
        <v>761</v>
      </c>
      <c r="B318" s="17">
        <v>25.0</v>
      </c>
      <c r="C318" s="17">
        <v>12.5</v>
      </c>
      <c r="D318" s="5"/>
    </row>
    <row r="319">
      <c r="A319" s="21" t="s">
        <v>762</v>
      </c>
      <c r="B319" s="17">
        <v>25.0</v>
      </c>
      <c r="C319" s="17">
        <v>12.5</v>
      </c>
      <c r="D319" s="5"/>
    </row>
    <row r="320">
      <c r="A320" s="21" t="s">
        <v>764</v>
      </c>
      <c r="B320" s="17">
        <v>40.0</v>
      </c>
      <c r="C320" s="17">
        <v>20.0</v>
      </c>
      <c r="D320" s="5"/>
    </row>
    <row r="321">
      <c r="A321" s="21" t="s">
        <v>766</v>
      </c>
      <c r="B321" s="17">
        <v>45.0</v>
      </c>
      <c r="C321" s="17">
        <v>22.5</v>
      </c>
      <c r="D321" s="5"/>
    </row>
    <row r="322">
      <c r="A322" s="21" t="s">
        <v>767</v>
      </c>
      <c r="B322" s="17">
        <v>60.0</v>
      </c>
      <c r="C322" s="17">
        <v>30.0</v>
      </c>
      <c r="D322" s="5"/>
    </row>
    <row r="323">
      <c r="A323" s="21" t="s">
        <v>768</v>
      </c>
      <c r="B323" s="17">
        <v>55.0</v>
      </c>
      <c r="C323" s="17">
        <v>27.5</v>
      </c>
      <c r="D323" s="5"/>
    </row>
    <row r="324">
      <c r="A324" s="21" t="s">
        <v>769</v>
      </c>
      <c r="B324" s="17">
        <v>40.0</v>
      </c>
      <c r="C324" s="17">
        <v>20.0</v>
      </c>
      <c r="D324" s="5"/>
    </row>
    <row r="325">
      <c r="A325" s="21" t="s">
        <v>771</v>
      </c>
      <c r="B325" s="17">
        <v>30.0</v>
      </c>
      <c r="C325" s="17">
        <v>15.0</v>
      </c>
      <c r="D325" s="5"/>
    </row>
    <row r="326">
      <c r="A326" s="21" t="s">
        <v>772</v>
      </c>
      <c r="B326" s="17">
        <v>28.0</v>
      </c>
      <c r="C326" s="17">
        <v>14.0</v>
      </c>
      <c r="D326" s="5"/>
    </row>
    <row r="327">
      <c r="A327" s="21" t="s">
        <v>773</v>
      </c>
      <c r="B327" s="17">
        <v>27.0</v>
      </c>
      <c r="C327" s="17">
        <v>13.5</v>
      </c>
      <c r="D327" s="5"/>
    </row>
    <row r="328">
      <c r="A328" s="21" t="s">
        <v>775</v>
      </c>
      <c r="B328" s="17">
        <v>15.0</v>
      </c>
      <c r="C328" s="17">
        <v>7.5</v>
      </c>
      <c r="D328" s="5"/>
    </row>
    <row r="329">
      <c r="A329" s="21" t="s">
        <v>777</v>
      </c>
      <c r="B329" s="17">
        <v>25.0</v>
      </c>
      <c r="C329" s="17">
        <v>12.5</v>
      </c>
      <c r="D329" s="5"/>
    </row>
    <row r="330">
      <c r="A330" s="21" t="s">
        <v>778</v>
      </c>
      <c r="B330" s="17">
        <v>150.0</v>
      </c>
      <c r="C330" s="17">
        <v>75.0</v>
      </c>
      <c r="D330" s="5"/>
    </row>
    <row r="331">
      <c r="A331" s="21" t="s">
        <v>779</v>
      </c>
      <c r="B331" s="17">
        <v>30.0</v>
      </c>
      <c r="C331" s="17">
        <v>15.0</v>
      </c>
      <c r="D331" s="5"/>
    </row>
    <row r="332">
      <c r="A332" s="21" t="s">
        <v>780</v>
      </c>
      <c r="B332" s="17">
        <v>30.0</v>
      </c>
      <c r="C332" s="17">
        <v>15.0</v>
      </c>
      <c r="D332" s="5"/>
    </row>
    <row r="333">
      <c r="A333" s="21" t="s">
        <v>781</v>
      </c>
      <c r="B333" s="17">
        <v>30.0</v>
      </c>
      <c r="C333" s="17">
        <v>15.0</v>
      </c>
      <c r="D333" s="5"/>
    </row>
    <row r="334">
      <c r="A334" s="21" t="s">
        <v>782</v>
      </c>
      <c r="B334" s="17">
        <v>35.0</v>
      </c>
      <c r="C334" s="17">
        <v>17.5</v>
      </c>
      <c r="D334" s="5"/>
    </row>
    <row r="335">
      <c r="A335" s="21" t="s">
        <v>783</v>
      </c>
      <c r="B335" s="17">
        <v>330.0</v>
      </c>
      <c r="C335" s="17">
        <v>288.23464043822565</v>
      </c>
      <c r="D335" s="5"/>
    </row>
    <row r="336">
      <c r="A336" s="21" t="s">
        <v>784</v>
      </c>
      <c r="B336" s="17">
        <v>330.0</v>
      </c>
      <c r="C336" s="17">
        <v>288.23464043822565</v>
      </c>
      <c r="D336" s="5"/>
    </row>
    <row r="337">
      <c r="A337" s="21" t="s">
        <v>785</v>
      </c>
      <c r="B337" s="17">
        <v>330.0</v>
      </c>
      <c r="C337" s="17">
        <v>288.23464043822565</v>
      </c>
      <c r="D337" s="5"/>
    </row>
    <row r="338">
      <c r="A338" s="21" t="s">
        <v>786</v>
      </c>
      <c r="B338" s="17">
        <v>330.0</v>
      </c>
      <c r="C338" s="17">
        <v>288.23464043822565</v>
      </c>
      <c r="D338" s="5"/>
    </row>
    <row r="339">
      <c r="A339" s="21" t="s">
        <v>788</v>
      </c>
      <c r="B339" s="17">
        <v>270.0</v>
      </c>
      <c r="C339" s="17">
        <v>235.66776403475058</v>
      </c>
      <c r="D339" s="5"/>
    </row>
    <row r="340">
      <c r="A340" s="21" t="s">
        <v>789</v>
      </c>
      <c r="B340" s="17">
        <v>270.0</v>
      </c>
      <c r="C340" s="17">
        <v>235.66776403475058</v>
      </c>
      <c r="D340" s="5"/>
    </row>
    <row r="341">
      <c r="A341" s="21" t="s">
        <v>790</v>
      </c>
      <c r="B341" s="17">
        <v>14.0</v>
      </c>
      <c r="C341" s="17">
        <v>12.189775280695011</v>
      </c>
      <c r="D341" s="5"/>
    </row>
    <row r="342">
      <c r="A342" s="21" t="s">
        <v>794</v>
      </c>
      <c r="B342" s="17">
        <v>270.0</v>
      </c>
      <c r="C342" s="17">
        <v>235.66776403475058</v>
      </c>
      <c r="D342" s="5"/>
    </row>
    <row r="343">
      <c r="A343" s="21" t="s">
        <v>795</v>
      </c>
      <c r="B343" s="17">
        <v>270.0</v>
      </c>
      <c r="C343" s="17">
        <v>235.66776403475058</v>
      </c>
      <c r="D343" s="5"/>
    </row>
    <row r="344">
      <c r="A344" s="21" t="s">
        <v>796</v>
      </c>
      <c r="B344" s="17">
        <v>210.0</v>
      </c>
      <c r="C344" s="17">
        <v>183.91780010556477</v>
      </c>
      <c r="D344" s="5"/>
    </row>
    <row r="345">
      <c r="A345" s="21" t="s">
        <v>799</v>
      </c>
      <c r="B345" s="17">
        <v>190.0</v>
      </c>
      <c r="C345" s="17">
        <v>164.37070785946034</v>
      </c>
      <c r="D345" s="5"/>
    </row>
    <row r="346">
      <c r="A346" s="21" t="s">
        <v>541</v>
      </c>
      <c r="B346" s="17">
        <v>20.0</v>
      </c>
      <c r="C346" s="17">
        <v>16.012999999999998</v>
      </c>
      <c r="D346" s="5"/>
    </row>
    <row r="347">
      <c r="A347" s="21" t="s">
        <v>550</v>
      </c>
      <c r="B347" s="17">
        <v>20.0</v>
      </c>
      <c r="C347" s="17">
        <v>18.012999999999998</v>
      </c>
      <c r="D347" s="5"/>
    </row>
    <row r="348">
      <c r="A348" s="21" t="s">
        <v>801</v>
      </c>
      <c r="B348" s="17">
        <v>20.0</v>
      </c>
      <c r="C348" s="17">
        <v>16.0</v>
      </c>
      <c r="D348" s="5"/>
    </row>
    <row r="349">
      <c r="A349" s="21" t="s">
        <v>803</v>
      </c>
      <c r="B349" s="17">
        <v>20.0</v>
      </c>
      <c r="C349" s="17">
        <v>16.0</v>
      </c>
      <c r="D349" s="5"/>
    </row>
    <row r="350">
      <c r="A350" s="21" t="s">
        <v>804</v>
      </c>
      <c r="B350" s="17">
        <v>20.0</v>
      </c>
      <c r="C350" s="17">
        <v>16.0</v>
      </c>
      <c r="D350" s="5"/>
    </row>
    <row r="351">
      <c r="A351" s="21" t="s">
        <v>555</v>
      </c>
      <c r="B351" s="17">
        <v>270.0</v>
      </c>
      <c r="C351" s="17">
        <v>247.14</v>
      </c>
      <c r="D351" s="5"/>
    </row>
    <row r="352">
      <c r="A352" s="21" t="s">
        <v>807</v>
      </c>
      <c r="B352" s="17">
        <v>310.0</v>
      </c>
      <c r="C352" s="17">
        <v>155.0</v>
      </c>
      <c r="D352" s="5"/>
    </row>
    <row r="353">
      <c r="A353" s="21" t="s">
        <v>808</v>
      </c>
      <c r="B353" s="17">
        <v>30.0</v>
      </c>
      <c r="C353" s="17">
        <v>33.44834318175445</v>
      </c>
      <c r="D353" s="5"/>
    </row>
    <row r="354">
      <c r="A354" s="21" t="s">
        <v>809</v>
      </c>
      <c r="B354" s="17">
        <v>10.0</v>
      </c>
      <c r="C354" s="17">
        <v>5.0</v>
      </c>
      <c r="D354" s="5"/>
    </row>
    <row r="355">
      <c r="A355" s="21" t="s">
        <v>812</v>
      </c>
      <c r="B355" s="17">
        <v>26.0</v>
      </c>
      <c r="C355" s="17">
        <v>23.630000000000003</v>
      </c>
      <c r="D355" s="5"/>
    </row>
    <row r="356">
      <c r="A356" s="21" t="s">
        <v>813</v>
      </c>
      <c r="B356" s="17">
        <v>80.0</v>
      </c>
      <c r="C356" s="17">
        <v>70.2403693980995</v>
      </c>
      <c r="D356" s="5"/>
    </row>
    <row r="357">
      <c r="A357" s="21" t="s">
        <v>814</v>
      </c>
      <c r="B357" s="17">
        <v>25.0</v>
      </c>
      <c r="C357" s="17">
        <v>21.816316965409403</v>
      </c>
      <c r="D357" s="5"/>
    </row>
    <row r="358">
      <c r="A358" s="21" t="s">
        <v>817</v>
      </c>
      <c r="B358" s="17">
        <v>260.0</v>
      </c>
      <c r="C358" s="17">
        <v>227.59657912885993</v>
      </c>
      <c r="D358" s="5"/>
    </row>
    <row r="359">
      <c r="A359" s="21" t="s">
        <v>819</v>
      </c>
      <c r="B359" s="17">
        <v>50.0</v>
      </c>
      <c r="C359" s="17">
        <v>43.44834318175445</v>
      </c>
      <c r="D359" s="5"/>
    </row>
    <row r="360">
      <c r="A360" s="21" t="s">
        <v>821</v>
      </c>
      <c r="B360" s="17">
        <v>15.0</v>
      </c>
      <c r="C360" s="17">
        <v>12.84069149758438</v>
      </c>
      <c r="D360" s="5"/>
    </row>
    <row r="361">
      <c r="A361" s="21" t="s">
        <v>823</v>
      </c>
      <c r="B361" s="17">
        <v>1.3</v>
      </c>
      <c r="C361" s="17">
        <v>0.9</v>
      </c>
      <c r="D361" s="5"/>
    </row>
    <row r="362">
      <c r="A362" s="21" t="s">
        <v>825</v>
      </c>
      <c r="B362" s="17">
        <v>1.5</v>
      </c>
      <c r="C362" s="17">
        <v>1.0</v>
      </c>
      <c r="D362" s="5"/>
    </row>
    <row r="363">
      <c r="A363" s="21" t="s">
        <v>826</v>
      </c>
      <c r="B363" s="17">
        <v>10.0</v>
      </c>
      <c r="C363" s="17">
        <v>7.5</v>
      </c>
      <c r="D363" s="5"/>
    </row>
    <row r="364">
      <c r="A364" s="21" t="s">
        <v>733</v>
      </c>
      <c r="B364" s="17" t="s">
        <v>733</v>
      </c>
      <c r="C364" s="17" t="s">
        <v>733</v>
      </c>
      <c r="D364" s="5"/>
    </row>
    <row r="365">
      <c r="A365" s="21" t="s">
        <v>733</v>
      </c>
      <c r="B365" s="17" t="s">
        <v>733</v>
      </c>
      <c r="C365" s="17" t="s">
        <v>733</v>
      </c>
      <c r="D365" s="5"/>
    </row>
    <row r="366">
      <c r="A366" s="21" t="s">
        <v>733</v>
      </c>
      <c r="B366" s="17" t="s">
        <v>733</v>
      </c>
      <c r="C366" s="17" t="s">
        <v>733</v>
      </c>
      <c r="D366" s="5"/>
    </row>
    <row r="367">
      <c r="A367" s="21" t="s">
        <v>733</v>
      </c>
      <c r="B367" s="17" t="s">
        <v>733</v>
      </c>
      <c r="C367" s="17" t="s">
        <v>733</v>
      </c>
      <c r="D367" s="5"/>
    </row>
    <row r="368">
      <c r="A368" s="21" t="s">
        <v>733</v>
      </c>
      <c r="B368" s="17" t="s">
        <v>733</v>
      </c>
      <c r="C368" s="17" t="s">
        <v>733</v>
      </c>
      <c r="D368" s="5"/>
    </row>
    <row r="369">
      <c r="A369" s="21" t="s">
        <v>733</v>
      </c>
      <c r="B369" s="17" t="s">
        <v>733</v>
      </c>
      <c r="C369" s="17" t="s">
        <v>733</v>
      </c>
      <c r="D369" s="5"/>
    </row>
    <row r="370">
      <c r="A370" s="21" t="s">
        <v>733</v>
      </c>
      <c r="B370" s="17" t="s">
        <v>733</v>
      </c>
      <c r="C370" s="17" t="s">
        <v>733</v>
      </c>
      <c r="D370" s="5"/>
    </row>
    <row r="371">
      <c r="A371" s="21" t="s">
        <v>733</v>
      </c>
      <c r="B371" s="17" t="s">
        <v>733</v>
      </c>
      <c r="C371" s="17" t="s">
        <v>733</v>
      </c>
      <c r="D371" s="5"/>
    </row>
    <row r="372">
      <c r="A372" s="21" t="s">
        <v>733</v>
      </c>
      <c r="B372" s="17" t="s">
        <v>733</v>
      </c>
      <c r="C372" s="17" t="s">
        <v>733</v>
      </c>
      <c r="D372" s="5"/>
    </row>
    <row r="373">
      <c r="A373" s="21" t="s">
        <v>733</v>
      </c>
      <c r="B373" s="17" t="s">
        <v>733</v>
      </c>
      <c r="C373" s="17" t="s">
        <v>733</v>
      </c>
      <c r="D373" s="5"/>
    </row>
    <row r="374">
      <c r="A374" s="21" t="s">
        <v>733</v>
      </c>
      <c r="B374" s="17" t="s">
        <v>733</v>
      </c>
      <c r="C374" s="17" t="s">
        <v>733</v>
      </c>
      <c r="D374" s="5"/>
    </row>
    <row r="375">
      <c r="A375" s="21" t="s">
        <v>733</v>
      </c>
      <c r="B375" s="17" t="s">
        <v>733</v>
      </c>
      <c r="C375" s="17" t="s">
        <v>733</v>
      </c>
      <c r="D375" s="5"/>
    </row>
    <row r="376">
      <c r="A376" s="21" t="s">
        <v>733</v>
      </c>
      <c r="B376" s="17" t="s">
        <v>733</v>
      </c>
      <c r="C376" s="17" t="s">
        <v>733</v>
      </c>
      <c r="D376" s="5"/>
    </row>
    <row r="377">
      <c r="A377" s="21" t="s">
        <v>733</v>
      </c>
      <c r="B377" s="17" t="s">
        <v>733</v>
      </c>
      <c r="C377" s="17" t="s">
        <v>733</v>
      </c>
      <c r="D377" s="5"/>
    </row>
    <row r="378">
      <c r="A378" s="21" t="s">
        <v>733</v>
      </c>
      <c r="B378" s="17" t="s">
        <v>733</v>
      </c>
      <c r="C378" s="17" t="s">
        <v>733</v>
      </c>
      <c r="D378" s="5"/>
    </row>
    <row r="379">
      <c r="A379" s="21" t="s">
        <v>733</v>
      </c>
      <c r="B379" s="17" t="s">
        <v>733</v>
      </c>
      <c r="C379" s="17" t="s">
        <v>733</v>
      </c>
      <c r="D379" s="5"/>
    </row>
    <row r="380">
      <c r="A380" s="21" t="s">
        <v>733</v>
      </c>
      <c r="B380" s="17" t="s">
        <v>733</v>
      </c>
      <c r="C380" s="17" t="s">
        <v>733</v>
      </c>
      <c r="D380" s="5"/>
    </row>
    <row r="381">
      <c r="A381" s="21" t="s">
        <v>733</v>
      </c>
      <c r="B381" s="17" t="s">
        <v>733</v>
      </c>
      <c r="C381" s="17" t="s">
        <v>733</v>
      </c>
      <c r="D381" s="5"/>
    </row>
    <row r="382">
      <c r="A382" s="21" t="s">
        <v>733</v>
      </c>
      <c r="B382" s="17" t="s">
        <v>733</v>
      </c>
      <c r="C382" s="17" t="s">
        <v>733</v>
      </c>
      <c r="D382" s="5"/>
    </row>
    <row r="383">
      <c r="A383" s="21" t="s">
        <v>733</v>
      </c>
      <c r="B383" s="17" t="s">
        <v>733</v>
      </c>
      <c r="C383" s="17" t="s">
        <v>733</v>
      </c>
      <c r="D383" s="5"/>
    </row>
    <row r="384">
      <c r="A384" s="21" t="s">
        <v>733</v>
      </c>
      <c r="B384" s="17" t="s">
        <v>733</v>
      </c>
      <c r="C384" s="17" t="s">
        <v>733</v>
      </c>
      <c r="D384" s="5"/>
    </row>
    <row r="385">
      <c r="A385" s="21" t="s">
        <v>733</v>
      </c>
      <c r="B385" s="17" t="s">
        <v>733</v>
      </c>
      <c r="C385" s="17" t="s">
        <v>733</v>
      </c>
      <c r="D385" s="5"/>
    </row>
    <row r="386">
      <c r="A386" s="21" t="s">
        <v>733</v>
      </c>
      <c r="B386" s="17" t="s">
        <v>733</v>
      </c>
      <c r="C386" s="17" t="s">
        <v>733</v>
      </c>
      <c r="D386" s="5"/>
    </row>
    <row r="387">
      <c r="A387" s="21" t="s">
        <v>733</v>
      </c>
      <c r="B387" s="17" t="s">
        <v>733</v>
      </c>
      <c r="C387" s="17" t="s">
        <v>733</v>
      </c>
      <c r="D387" s="5"/>
    </row>
    <row r="388">
      <c r="A388" s="21" t="s">
        <v>733</v>
      </c>
      <c r="B388" s="17" t="s">
        <v>733</v>
      </c>
      <c r="C388" s="17" t="s">
        <v>733</v>
      </c>
      <c r="D388" s="5"/>
    </row>
    <row r="389">
      <c r="A389" s="21" t="s">
        <v>733</v>
      </c>
      <c r="B389" s="17" t="s">
        <v>733</v>
      </c>
      <c r="C389" s="17" t="s">
        <v>733</v>
      </c>
      <c r="D389" s="5"/>
    </row>
    <row r="390">
      <c r="A390" s="21" t="s">
        <v>733</v>
      </c>
      <c r="B390" s="17" t="s">
        <v>733</v>
      </c>
      <c r="C390" s="17" t="s">
        <v>733</v>
      </c>
      <c r="D390" s="5"/>
    </row>
    <row r="391">
      <c r="A391" s="21" t="s">
        <v>733</v>
      </c>
      <c r="B391" s="17" t="s">
        <v>733</v>
      </c>
      <c r="C391" s="17" t="s">
        <v>733</v>
      </c>
      <c r="D391" s="5"/>
    </row>
    <row r="392">
      <c r="A392" s="21" t="s">
        <v>733</v>
      </c>
      <c r="B392" s="17" t="s">
        <v>733</v>
      </c>
      <c r="C392" s="17" t="s">
        <v>733</v>
      </c>
      <c r="D392" s="5"/>
    </row>
    <row r="393">
      <c r="A393" s="21" t="s">
        <v>733</v>
      </c>
      <c r="B393" s="17" t="s">
        <v>733</v>
      </c>
      <c r="C393" s="17" t="s">
        <v>733</v>
      </c>
      <c r="D393" s="5"/>
    </row>
    <row r="394">
      <c r="A394" s="21" t="s">
        <v>733</v>
      </c>
      <c r="B394" s="17" t="s">
        <v>733</v>
      </c>
      <c r="C394" s="17" t="s">
        <v>733</v>
      </c>
      <c r="D394" s="5"/>
    </row>
    <row r="395">
      <c r="A395" s="21" t="s">
        <v>733</v>
      </c>
      <c r="B395" s="17" t="s">
        <v>733</v>
      </c>
      <c r="C395" s="17" t="s">
        <v>733</v>
      </c>
      <c r="D395" s="5"/>
    </row>
    <row r="396">
      <c r="A396" s="21" t="s">
        <v>733</v>
      </c>
      <c r="B396" s="17" t="s">
        <v>733</v>
      </c>
      <c r="C396" s="17" t="s">
        <v>733</v>
      </c>
      <c r="D396" s="5"/>
    </row>
    <row r="397">
      <c r="A397" s="21" t="s">
        <v>733</v>
      </c>
      <c r="B397" s="17" t="s">
        <v>733</v>
      </c>
      <c r="C397" s="17" t="s">
        <v>733</v>
      </c>
      <c r="D397" s="5"/>
    </row>
    <row r="398">
      <c r="A398" s="21" t="s">
        <v>733</v>
      </c>
      <c r="B398" s="17" t="s">
        <v>733</v>
      </c>
      <c r="C398" s="17" t="s">
        <v>733</v>
      </c>
      <c r="D398" s="5"/>
    </row>
    <row r="399">
      <c r="A399" s="21" t="s">
        <v>733</v>
      </c>
      <c r="B399" s="17" t="s">
        <v>733</v>
      </c>
      <c r="C399" s="17" t="s">
        <v>733</v>
      </c>
      <c r="D399" s="5"/>
    </row>
    <row r="400">
      <c r="A400" s="21" t="s">
        <v>733</v>
      </c>
      <c r="B400" s="17" t="s">
        <v>733</v>
      </c>
      <c r="C400" s="17" t="s">
        <v>733</v>
      </c>
      <c r="D400" s="5"/>
    </row>
    <row r="401">
      <c r="A401" s="21" t="s">
        <v>733</v>
      </c>
      <c r="B401" s="17" t="s">
        <v>733</v>
      </c>
      <c r="C401" s="17" t="s">
        <v>733</v>
      </c>
      <c r="D401" s="5"/>
    </row>
    <row r="402">
      <c r="A402" s="21" t="s">
        <v>733</v>
      </c>
      <c r="B402" s="17" t="s">
        <v>733</v>
      </c>
      <c r="C402" s="17" t="s">
        <v>733</v>
      </c>
      <c r="D402" s="5"/>
    </row>
    <row r="403">
      <c r="A403" s="21" t="s">
        <v>733</v>
      </c>
      <c r="B403" s="17" t="s">
        <v>733</v>
      </c>
      <c r="C403" s="17" t="s">
        <v>733</v>
      </c>
      <c r="D403" s="5"/>
    </row>
    <row r="404">
      <c r="A404" s="21" t="s">
        <v>733</v>
      </c>
      <c r="B404" s="17" t="s">
        <v>733</v>
      </c>
      <c r="C404" s="17" t="s">
        <v>733</v>
      </c>
      <c r="D404" s="5"/>
    </row>
    <row r="405">
      <c r="A405" s="21" t="s">
        <v>733</v>
      </c>
      <c r="B405" s="17" t="s">
        <v>733</v>
      </c>
      <c r="C405" s="17" t="s">
        <v>733</v>
      </c>
      <c r="D405" s="5"/>
    </row>
    <row r="406">
      <c r="A406" s="21" t="s">
        <v>733</v>
      </c>
      <c r="B406" s="17" t="s">
        <v>733</v>
      </c>
      <c r="C406" s="17" t="s">
        <v>733</v>
      </c>
      <c r="D406" s="5"/>
    </row>
    <row r="407">
      <c r="A407" s="21" t="s">
        <v>733</v>
      </c>
      <c r="B407" s="17" t="s">
        <v>733</v>
      </c>
      <c r="C407" s="17" t="s">
        <v>733</v>
      </c>
      <c r="D407" s="5"/>
    </row>
    <row r="408">
      <c r="A408" s="21" t="s">
        <v>733</v>
      </c>
      <c r="B408" s="17" t="s">
        <v>733</v>
      </c>
      <c r="C408" s="17" t="s">
        <v>733</v>
      </c>
      <c r="D408" s="5"/>
    </row>
    <row r="409">
      <c r="A409" s="21" t="s">
        <v>733</v>
      </c>
      <c r="B409" s="17" t="s">
        <v>733</v>
      </c>
      <c r="C409" s="17" t="s">
        <v>733</v>
      </c>
      <c r="D409" s="5"/>
    </row>
    <row r="410">
      <c r="A410" s="21" t="s">
        <v>733</v>
      </c>
      <c r="B410" s="17" t="s">
        <v>733</v>
      </c>
      <c r="C410" s="17" t="s">
        <v>733</v>
      </c>
      <c r="D410" s="5"/>
    </row>
    <row r="411">
      <c r="A411" s="21" t="s">
        <v>733</v>
      </c>
      <c r="B411" s="17" t="s">
        <v>733</v>
      </c>
      <c r="C411" s="17" t="s">
        <v>733</v>
      </c>
      <c r="D411" s="5"/>
    </row>
    <row r="412">
      <c r="A412" s="21" t="s">
        <v>733</v>
      </c>
      <c r="B412" s="17" t="s">
        <v>733</v>
      </c>
      <c r="C412" s="17" t="s">
        <v>733</v>
      </c>
      <c r="D412" s="5"/>
    </row>
    <row r="413">
      <c r="A413" s="21" t="s">
        <v>733</v>
      </c>
      <c r="B413" s="17" t="s">
        <v>733</v>
      </c>
      <c r="C413" s="17" t="s">
        <v>733</v>
      </c>
      <c r="D413" s="5"/>
    </row>
    <row r="414">
      <c r="A414" s="21" t="s">
        <v>733</v>
      </c>
      <c r="B414" s="17" t="s">
        <v>733</v>
      </c>
      <c r="C414" s="17" t="s">
        <v>733</v>
      </c>
      <c r="D414" s="5"/>
    </row>
    <row r="415">
      <c r="A415" s="21" t="s">
        <v>733</v>
      </c>
      <c r="B415" s="17" t="s">
        <v>733</v>
      </c>
      <c r="C415" s="17" t="s">
        <v>733</v>
      </c>
      <c r="D415" s="5"/>
    </row>
    <row r="416">
      <c r="A416" s="21" t="s">
        <v>733</v>
      </c>
      <c r="B416" s="17" t="s">
        <v>733</v>
      </c>
      <c r="C416" s="17" t="s">
        <v>733</v>
      </c>
      <c r="D416" s="5"/>
    </row>
    <row r="417">
      <c r="A417" s="21" t="s">
        <v>733</v>
      </c>
      <c r="B417" s="17" t="s">
        <v>733</v>
      </c>
      <c r="C417" s="17" t="s">
        <v>733</v>
      </c>
      <c r="D417" s="5"/>
    </row>
    <row r="418">
      <c r="A418" s="21" t="s">
        <v>733</v>
      </c>
      <c r="B418" s="17" t="s">
        <v>733</v>
      </c>
      <c r="C418" s="17" t="s">
        <v>733</v>
      </c>
      <c r="D418" s="5"/>
    </row>
    <row r="419">
      <c r="A419" s="21" t="s">
        <v>733</v>
      </c>
      <c r="B419" s="17" t="s">
        <v>733</v>
      </c>
      <c r="C419" s="17" t="s">
        <v>733</v>
      </c>
      <c r="D419" s="5"/>
    </row>
    <row r="420">
      <c r="A420" s="21" t="s">
        <v>733</v>
      </c>
      <c r="B420" s="17" t="s">
        <v>733</v>
      </c>
      <c r="C420" s="17" t="s">
        <v>733</v>
      </c>
      <c r="D420" s="5"/>
    </row>
    <row r="421">
      <c r="A421" s="21" t="s">
        <v>733</v>
      </c>
      <c r="B421" s="17" t="s">
        <v>733</v>
      </c>
      <c r="C421" s="17" t="s">
        <v>733</v>
      </c>
      <c r="D421" s="5"/>
    </row>
    <row r="422">
      <c r="A422" s="21" t="s">
        <v>733</v>
      </c>
      <c r="B422" s="17" t="s">
        <v>733</v>
      </c>
      <c r="C422" s="17" t="s">
        <v>733</v>
      </c>
      <c r="D422" s="5"/>
    </row>
    <row r="423">
      <c r="A423" s="21" t="s">
        <v>733</v>
      </c>
      <c r="B423" s="17" t="s">
        <v>733</v>
      </c>
      <c r="C423" s="17" t="s">
        <v>733</v>
      </c>
      <c r="D423" s="5"/>
    </row>
    <row r="424">
      <c r="A424" s="21" t="s">
        <v>733</v>
      </c>
      <c r="B424" s="17" t="s">
        <v>733</v>
      </c>
      <c r="C424" s="17" t="s">
        <v>733</v>
      </c>
      <c r="D424" s="5"/>
    </row>
    <row r="425">
      <c r="A425" s="21" t="s">
        <v>733</v>
      </c>
      <c r="B425" s="17" t="s">
        <v>733</v>
      </c>
      <c r="C425" s="17" t="s">
        <v>733</v>
      </c>
      <c r="D425" s="5"/>
    </row>
    <row r="426">
      <c r="A426" s="21" t="s">
        <v>733</v>
      </c>
      <c r="B426" s="17" t="s">
        <v>733</v>
      </c>
      <c r="C426" s="17" t="s">
        <v>733</v>
      </c>
      <c r="D426" s="5"/>
    </row>
    <row r="427">
      <c r="A427" s="21" t="s">
        <v>733</v>
      </c>
      <c r="B427" s="17" t="s">
        <v>733</v>
      </c>
      <c r="C427" s="17" t="s">
        <v>733</v>
      </c>
      <c r="D427" s="5"/>
    </row>
    <row r="428">
      <c r="A428" s="21" t="s">
        <v>733</v>
      </c>
      <c r="B428" s="17" t="s">
        <v>733</v>
      </c>
      <c r="C428" s="17" t="s">
        <v>733</v>
      </c>
      <c r="D428" s="5"/>
    </row>
    <row r="429">
      <c r="A429" s="21" t="s">
        <v>733</v>
      </c>
      <c r="B429" s="17" t="s">
        <v>733</v>
      </c>
      <c r="C429" s="17" t="s">
        <v>733</v>
      </c>
      <c r="D429" s="5"/>
    </row>
    <row r="430">
      <c r="A430" s="21" t="s">
        <v>733</v>
      </c>
      <c r="B430" s="17" t="s">
        <v>733</v>
      </c>
      <c r="C430" s="17" t="s">
        <v>733</v>
      </c>
      <c r="D430" s="5"/>
    </row>
    <row r="431">
      <c r="A431" s="21" t="s">
        <v>733</v>
      </c>
      <c r="B431" s="17" t="s">
        <v>733</v>
      </c>
      <c r="C431" s="17" t="s">
        <v>733</v>
      </c>
      <c r="D431" s="5"/>
    </row>
    <row r="432">
      <c r="A432" s="21" t="s">
        <v>733</v>
      </c>
      <c r="B432" s="17" t="s">
        <v>733</v>
      </c>
      <c r="C432" s="17" t="s">
        <v>733</v>
      </c>
      <c r="D432" s="5"/>
    </row>
    <row r="433">
      <c r="A433" s="21" t="s">
        <v>733</v>
      </c>
      <c r="B433" s="17" t="s">
        <v>733</v>
      </c>
      <c r="C433" s="17" t="s">
        <v>733</v>
      </c>
      <c r="D433" s="5"/>
    </row>
    <row r="434">
      <c r="A434" s="21" t="s">
        <v>733</v>
      </c>
      <c r="B434" s="17" t="s">
        <v>733</v>
      </c>
      <c r="C434" s="17" t="s">
        <v>733</v>
      </c>
      <c r="D434" s="5"/>
    </row>
    <row r="435">
      <c r="A435" s="21" t="s">
        <v>733</v>
      </c>
      <c r="B435" s="17" t="s">
        <v>733</v>
      </c>
      <c r="C435" s="17" t="s">
        <v>733</v>
      </c>
      <c r="D435" s="5"/>
    </row>
    <row r="436">
      <c r="A436" s="21" t="s">
        <v>733</v>
      </c>
      <c r="B436" s="17" t="s">
        <v>733</v>
      </c>
      <c r="C436" s="17" t="s">
        <v>733</v>
      </c>
      <c r="D436" s="5"/>
    </row>
    <row r="437">
      <c r="A437" s="21" t="s">
        <v>733</v>
      </c>
      <c r="B437" s="17" t="s">
        <v>733</v>
      </c>
      <c r="C437" s="17" t="s">
        <v>733</v>
      </c>
      <c r="D437" s="5"/>
    </row>
    <row r="438">
      <c r="A438" s="21" t="s">
        <v>733</v>
      </c>
      <c r="B438" s="17" t="s">
        <v>733</v>
      </c>
      <c r="C438" s="17" t="s">
        <v>733</v>
      </c>
      <c r="D438" s="5"/>
    </row>
    <row r="439">
      <c r="A439" s="21" t="s">
        <v>733</v>
      </c>
      <c r="B439" s="17" t="s">
        <v>733</v>
      </c>
      <c r="C439" s="17" t="s">
        <v>733</v>
      </c>
      <c r="D439" s="5"/>
    </row>
    <row r="440">
      <c r="A440" s="21" t="s">
        <v>733</v>
      </c>
      <c r="B440" s="17" t="s">
        <v>733</v>
      </c>
      <c r="C440" s="17" t="s">
        <v>733</v>
      </c>
      <c r="D440" s="5"/>
    </row>
    <row r="441">
      <c r="A441" s="21" t="s">
        <v>733</v>
      </c>
      <c r="B441" s="17" t="s">
        <v>733</v>
      </c>
      <c r="C441" s="17" t="s">
        <v>733</v>
      </c>
      <c r="D441" s="5"/>
    </row>
    <row r="442">
      <c r="A442" s="21" t="s">
        <v>733</v>
      </c>
      <c r="B442" s="17" t="s">
        <v>733</v>
      </c>
      <c r="C442" s="17" t="s">
        <v>733</v>
      </c>
      <c r="D442" s="5"/>
    </row>
    <row r="443">
      <c r="A443" s="21" t="s">
        <v>733</v>
      </c>
      <c r="B443" s="17" t="s">
        <v>733</v>
      </c>
      <c r="C443" s="17" t="s">
        <v>733</v>
      </c>
      <c r="D443" s="5"/>
    </row>
    <row r="444">
      <c r="A444" s="21" t="s">
        <v>733</v>
      </c>
      <c r="B444" s="17" t="s">
        <v>733</v>
      </c>
      <c r="C444" s="17" t="s">
        <v>733</v>
      </c>
      <c r="D444" s="5"/>
    </row>
    <row r="445">
      <c r="A445" s="21" t="s">
        <v>733</v>
      </c>
      <c r="B445" s="17" t="s">
        <v>733</v>
      </c>
      <c r="C445" s="17" t="s">
        <v>733</v>
      </c>
      <c r="D445" s="5"/>
    </row>
    <row r="446">
      <c r="A446" s="21" t="s">
        <v>733</v>
      </c>
      <c r="B446" s="17" t="s">
        <v>733</v>
      </c>
      <c r="C446" s="17" t="s">
        <v>733</v>
      </c>
      <c r="D446" s="5"/>
    </row>
    <row r="447">
      <c r="A447" s="21" t="s">
        <v>733</v>
      </c>
      <c r="B447" s="17" t="s">
        <v>733</v>
      </c>
      <c r="C447" s="17" t="s">
        <v>733</v>
      </c>
      <c r="D447" s="5"/>
    </row>
    <row r="448">
      <c r="A448" s="21" t="s">
        <v>733</v>
      </c>
      <c r="B448" s="17" t="s">
        <v>733</v>
      </c>
      <c r="C448" s="17" t="s">
        <v>733</v>
      </c>
      <c r="D448" s="5"/>
    </row>
    <row r="449">
      <c r="A449" s="21" t="s">
        <v>733</v>
      </c>
      <c r="B449" s="17" t="s">
        <v>733</v>
      </c>
      <c r="C449" s="17" t="s">
        <v>733</v>
      </c>
      <c r="D449" s="5"/>
    </row>
    <row r="450">
      <c r="A450" s="21" t="s">
        <v>733</v>
      </c>
      <c r="B450" s="17" t="s">
        <v>733</v>
      </c>
      <c r="C450" s="17" t="s">
        <v>733</v>
      </c>
      <c r="D450" s="5"/>
    </row>
    <row r="451">
      <c r="A451" s="21" t="s">
        <v>733</v>
      </c>
      <c r="B451" s="17" t="s">
        <v>733</v>
      </c>
      <c r="C451" s="17" t="s">
        <v>733</v>
      </c>
      <c r="D451" s="5"/>
    </row>
    <row r="452">
      <c r="A452" s="21" t="s">
        <v>733</v>
      </c>
      <c r="B452" s="17" t="s">
        <v>733</v>
      </c>
      <c r="C452" s="17" t="s">
        <v>733</v>
      </c>
      <c r="D452" s="5"/>
    </row>
    <row r="453">
      <c r="A453" s="21" t="s">
        <v>733</v>
      </c>
      <c r="B453" s="17" t="s">
        <v>733</v>
      </c>
      <c r="C453" s="17" t="s">
        <v>733</v>
      </c>
      <c r="D453" s="5"/>
    </row>
    <row r="454">
      <c r="A454" s="21" t="s">
        <v>733</v>
      </c>
      <c r="B454" s="17" t="s">
        <v>733</v>
      </c>
      <c r="C454" s="17" t="s">
        <v>733</v>
      </c>
      <c r="D454" s="5"/>
    </row>
    <row r="455">
      <c r="A455" s="21" t="s">
        <v>733</v>
      </c>
      <c r="B455" s="17" t="s">
        <v>733</v>
      </c>
      <c r="C455" s="17" t="s">
        <v>733</v>
      </c>
      <c r="D455" s="5"/>
    </row>
    <row r="456">
      <c r="A456" s="21" t="s">
        <v>733</v>
      </c>
      <c r="B456" s="17" t="s">
        <v>733</v>
      </c>
      <c r="C456" s="17" t="s">
        <v>733</v>
      </c>
      <c r="D456" s="5"/>
    </row>
    <row r="457">
      <c r="A457" s="21" t="s">
        <v>733</v>
      </c>
      <c r="B457" s="17" t="s">
        <v>733</v>
      </c>
      <c r="C457" s="17" t="s">
        <v>733</v>
      </c>
      <c r="D457" s="5"/>
    </row>
    <row r="458">
      <c r="A458" s="21" t="s">
        <v>733</v>
      </c>
      <c r="B458" s="17" t="s">
        <v>733</v>
      </c>
      <c r="C458" s="17" t="s">
        <v>733</v>
      </c>
      <c r="D458" s="5"/>
    </row>
    <row r="459">
      <c r="A459" s="21" t="s">
        <v>733</v>
      </c>
      <c r="B459" s="17" t="s">
        <v>733</v>
      </c>
      <c r="C459" s="17" t="s">
        <v>733</v>
      </c>
      <c r="D459" s="5"/>
    </row>
    <row r="460">
      <c r="A460" s="21" t="s">
        <v>733</v>
      </c>
      <c r="B460" s="17" t="s">
        <v>733</v>
      </c>
      <c r="C460" s="17" t="s">
        <v>733</v>
      </c>
      <c r="D460" s="5"/>
    </row>
    <row r="461">
      <c r="A461" s="21" t="s">
        <v>733</v>
      </c>
      <c r="B461" s="17" t="s">
        <v>733</v>
      </c>
      <c r="C461" s="17" t="s">
        <v>733</v>
      </c>
      <c r="D461" s="5"/>
    </row>
    <row r="462">
      <c r="A462" s="21" t="s">
        <v>733</v>
      </c>
      <c r="B462" s="17" t="s">
        <v>733</v>
      </c>
      <c r="C462" s="17" t="s">
        <v>733</v>
      </c>
      <c r="D462" s="5"/>
    </row>
    <row r="463">
      <c r="A463" s="21" t="s">
        <v>733</v>
      </c>
      <c r="B463" s="17" t="s">
        <v>733</v>
      </c>
      <c r="C463" s="17" t="s">
        <v>733</v>
      </c>
      <c r="D463" s="5"/>
    </row>
    <row r="464">
      <c r="A464" s="21" t="s">
        <v>733</v>
      </c>
      <c r="B464" s="17" t="s">
        <v>733</v>
      </c>
      <c r="C464" s="17" t="s">
        <v>733</v>
      </c>
      <c r="D464" s="5"/>
    </row>
    <row r="465">
      <c r="A465" s="21" t="s">
        <v>733</v>
      </c>
      <c r="B465" s="17" t="s">
        <v>733</v>
      </c>
      <c r="C465" s="17" t="s">
        <v>733</v>
      </c>
      <c r="D465" s="5"/>
    </row>
    <row r="466">
      <c r="A466" s="21" t="s">
        <v>733</v>
      </c>
      <c r="B466" s="17" t="s">
        <v>733</v>
      </c>
      <c r="C466" s="17" t="s">
        <v>733</v>
      </c>
      <c r="D466" s="5"/>
    </row>
    <row r="467">
      <c r="A467" s="21" t="s">
        <v>733</v>
      </c>
      <c r="B467" s="17" t="s">
        <v>733</v>
      </c>
      <c r="C467" s="17" t="s">
        <v>733</v>
      </c>
      <c r="D467" s="5"/>
    </row>
    <row r="468">
      <c r="A468" s="21" t="s">
        <v>733</v>
      </c>
      <c r="B468" s="17" t="s">
        <v>733</v>
      </c>
      <c r="C468" s="17" t="s">
        <v>733</v>
      </c>
      <c r="D468" s="5"/>
    </row>
    <row r="469">
      <c r="A469" s="21" t="s">
        <v>733</v>
      </c>
      <c r="B469" s="17" t="s">
        <v>733</v>
      </c>
      <c r="C469" s="17" t="s">
        <v>733</v>
      </c>
      <c r="D469" s="5"/>
    </row>
    <row r="470">
      <c r="A470" s="21" t="s">
        <v>733</v>
      </c>
      <c r="B470" s="17" t="s">
        <v>733</v>
      </c>
      <c r="C470" s="17" t="s">
        <v>733</v>
      </c>
      <c r="D470" s="5"/>
    </row>
    <row r="471">
      <c r="A471" s="21" t="s">
        <v>733</v>
      </c>
      <c r="B471" s="17" t="s">
        <v>733</v>
      </c>
      <c r="C471" s="17" t="s">
        <v>733</v>
      </c>
      <c r="D471" s="5"/>
    </row>
    <row r="472">
      <c r="A472" s="21" t="s">
        <v>733</v>
      </c>
      <c r="B472" s="17" t="s">
        <v>733</v>
      </c>
      <c r="C472" s="17" t="s">
        <v>733</v>
      </c>
      <c r="D472" s="5"/>
    </row>
    <row r="473">
      <c r="A473" s="21" t="s">
        <v>733</v>
      </c>
      <c r="B473" s="17" t="s">
        <v>733</v>
      </c>
      <c r="C473" s="17" t="s">
        <v>733</v>
      </c>
      <c r="D473" s="5"/>
    </row>
    <row r="474">
      <c r="A474" s="21" t="s">
        <v>733</v>
      </c>
      <c r="B474" s="17" t="s">
        <v>733</v>
      </c>
      <c r="C474" s="17" t="s">
        <v>733</v>
      </c>
      <c r="D474" s="5"/>
    </row>
    <row r="475">
      <c r="A475" s="21" t="s">
        <v>733</v>
      </c>
      <c r="B475" s="17" t="s">
        <v>733</v>
      </c>
      <c r="C475" s="17" t="s">
        <v>733</v>
      </c>
      <c r="D475" s="5"/>
    </row>
    <row r="476">
      <c r="A476" s="21" t="s">
        <v>733</v>
      </c>
      <c r="B476" s="17" t="s">
        <v>733</v>
      </c>
      <c r="C476" s="17" t="s">
        <v>733</v>
      </c>
      <c r="D476" s="5"/>
    </row>
    <row r="477">
      <c r="A477" s="21" t="s">
        <v>733</v>
      </c>
      <c r="B477" s="17" t="s">
        <v>733</v>
      </c>
      <c r="C477" s="17" t="s">
        <v>733</v>
      </c>
      <c r="D477" s="5"/>
    </row>
    <row r="478">
      <c r="A478" s="21" t="s">
        <v>733</v>
      </c>
      <c r="B478" s="17" t="s">
        <v>733</v>
      </c>
      <c r="C478" s="17" t="s">
        <v>733</v>
      </c>
      <c r="D478" s="5"/>
    </row>
    <row r="479">
      <c r="A479" s="21" t="s">
        <v>733</v>
      </c>
      <c r="B479" s="17" t="s">
        <v>733</v>
      </c>
      <c r="C479" s="17" t="s">
        <v>733</v>
      </c>
      <c r="D479" s="5"/>
    </row>
    <row r="480">
      <c r="A480" s="21" t="s">
        <v>733</v>
      </c>
      <c r="B480" s="17" t="s">
        <v>733</v>
      </c>
      <c r="C480" s="17" t="s">
        <v>733</v>
      </c>
      <c r="D480" s="5"/>
    </row>
    <row r="481">
      <c r="A481" s="21" t="s">
        <v>733</v>
      </c>
      <c r="B481" s="17" t="s">
        <v>733</v>
      </c>
      <c r="C481" s="17" t="s">
        <v>733</v>
      </c>
      <c r="D481" s="5"/>
    </row>
    <row r="482">
      <c r="A482" s="21" t="s">
        <v>733</v>
      </c>
      <c r="B482" s="17" t="s">
        <v>733</v>
      </c>
      <c r="C482" s="17" t="s">
        <v>733</v>
      </c>
      <c r="D482" s="5"/>
    </row>
    <row r="483">
      <c r="A483" s="21" t="s">
        <v>733</v>
      </c>
      <c r="B483" s="17" t="s">
        <v>733</v>
      </c>
      <c r="C483" s="17" t="s">
        <v>733</v>
      </c>
      <c r="D483" s="5"/>
    </row>
    <row r="484">
      <c r="A484" s="21" t="s">
        <v>733</v>
      </c>
      <c r="B484" s="17" t="s">
        <v>733</v>
      </c>
      <c r="C484" s="17" t="s">
        <v>733</v>
      </c>
      <c r="D484" s="5"/>
    </row>
    <row r="485">
      <c r="A485" s="21" t="s">
        <v>733</v>
      </c>
      <c r="B485" s="17" t="s">
        <v>733</v>
      </c>
      <c r="C485" s="17" t="s">
        <v>733</v>
      </c>
      <c r="D485" s="5"/>
    </row>
    <row r="486">
      <c r="A486" s="21" t="s">
        <v>733</v>
      </c>
      <c r="B486" s="17" t="s">
        <v>733</v>
      </c>
      <c r="C486" s="17" t="s">
        <v>733</v>
      </c>
      <c r="D486" s="5"/>
    </row>
    <row r="487">
      <c r="A487" s="21" t="s">
        <v>733</v>
      </c>
      <c r="B487" s="17" t="s">
        <v>733</v>
      </c>
      <c r="C487" s="17" t="s">
        <v>733</v>
      </c>
      <c r="D487" s="5"/>
    </row>
    <row r="488">
      <c r="A488" s="21" t="s">
        <v>733</v>
      </c>
      <c r="B488" s="17" t="s">
        <v>733</v>
      </c>
      <c r="C488" s="17" t="s">
        <v>733</v>
      </c>
      <c r="D488" s="5"/>
    </row>
    <row r="489">
      <c r="A489" s="21" t="s">
        <v>733</v>
      </c>
      <c r="B489" s="17" t="s">
        <v>733</v>
      </c>
      <c r="C489" s="17" t="s">
        <v>733</v>
      </c>
      <c r="D489" s="5"/>
    </row>
    <row r="490">
      <c r="A490" s="21" t="s">
        <v>733</v>
      </c>
      <c r="B490" s="17" t="s">
        <v>733</v>
      </c>
      <c r="C490" s="17" t="s">
        <v>733</v>
      </c>
      <c r="D490" s="5"/>
    </row>
    <row r="491">
      <c r="A491" s="21" t="s">
        <v>733</v>
      </c>
      <c r="B491" s="17" t="s">
        <v>733</v>
      </c>
      <c r="C491" s="17" t="s">
        <v>733</v>
      </c>
      <c r="D491" s="5"/>
    </row>
    <row r="492">
      <c r="A492" s="21" t="s">
        <v>733</v>
      </c>
      <c r="B492" s="17" t="s">
        <v>733</v>
      </c>
      <c r="C492" s="17" t="s">
        <v>733</v>
      </c>
      <c r="D492" s="5"/>
    </row>
    <row r="493">
      <c r="A493" s="21" t="s">
        <v>733</v>
      </c>
      <c r="B493" s="17" t="s">
        <v>733</v>
      </c>
      <c r="C493" s="17" t="s">
        <v>733</v>
      </c>
      <c r="D493" s="5"/>
    </row>
    <row r="494">
      <c r="A494" s="21" t="s">
        <v>733</v>
      </c>
      <c r="B494" s="17" t="s">
        <v>733</v>
      </c>
      <c r="C494" s="17" t="s">
        <v>733</v>
      </c>
      <c r="D494" s="5"/>
    </row>
    <row r="495">
      <c r="A495" s="21" t="s">
        <v>733</v>
      </c>
      <c r="B495" s="17" t="s">
        <v>733</v>
      </c>
      <c r="C495" s="17" t="s">
        <v>733</v>
      </c>
      <c r="D495" s="5"/>
    </row>
    <row r="496">
      <c r="A496" s="21" t="s">
        <v>733</v>
      </c>
      <c r="B496" s="17" t="s">
        <v>733</v>
      </c>
      <c r="C496" s="17" t="s">
        <v>733</v>
      </c>
      <c r="D496" s="5"/>
    </row>
    <row r="497">
      <c r="A497" s="21" t="s">
        <v>733</v>
      </c>
      <c r="B497" s="17" t="s">
        <v>733</v>
      </c>
      <c r="C497" s="17" t="s">
        <v>733</v>
      </c>
      <c r="D497" s="5"/>
    </row>
    <row r="498">
      <c r="A498" s="21" t="s">
        <v>733</v>
      </c>
      <c r="B498" s="17" t="s">
        <v>733</v>
      </c>
      <c r="C498" s="17" t="s">
        <v>733</v>
      </c>
      <c r="D498" s="5"/>
    </row>
    <row r="499">
      <c r="A499" s="21" t="s">
        <v>733</v>
      </c>
      <c r="B499" s="17" t="s">
        <v>733</v>
      </c>
      <c r="C499" s="17" t="s">
        <v>733</v>
      </c>
      <c r="D499" s="5"/>
    </row>
    <row r="500">
      <c r="A500" s="21" t="s">
        <v>733</v>
      </c>
      <c r="B500" s="17" t="s">
        <v>733</v>
      </c>
      <c r="C500" s="17" t="s">
        <v>733</v>
      </c>
      <c r="D500" s="5"/>
    </row>
    <row r="501">
      <c r="A501" s="21" t="s">
        <v>733</v>
      </c>
      <c r="B501" s="17" t="s">
        <v>733</v>
      </c>
      <c r="C501" s="17" t="s">
        <v>733</v>
      </c>
      <c r="D501" s="5"/>
    </row>
    <row r="502">
      <c r="A502" s="21" t="s">
        <v>733</v>
      </c>
      <c r="B502" s="17" t="s">
        <v>733</v>
      </c>
      <c r="C502" s="17" t="s">
        <v>733</v>
      </c>
      <c r="D502" s="5"/>
    </row>
    <row r="503">
      <c r="A503" s="21" t="s">
        <v>733</v>
      </c>
      <c r="B503" s="17" t="s">
        <v>733</v>
      </c>
      <c r="C503" s="17" t="s">
        <v>733</v>
      </c>
      <c r="D503" s="5"/>
    </row>
    <row r="504">
      <c r="A504" s="21" t="s">
        <v>733</v>
      </c>
      <c r="B504" s="17" t="s">
        <v>733</v>
      </c>
      <c r="C504" s="17" t="s">
        <v>733</v>
      </c>
      <c r="D504" s="5"/>
    </row>
    <row r="505">
      <c r="A505" s="21" t="s">
        <v>733</v>
      </c>
      <c r="B505" s="17" t="s">
        <v>733</v>
      </c>
      <c r="C505" s="17" t="s">
        <v>733</v>
      </c>
      <c r="D505" s="5"/>
    </row>
    <row r="506">
      <c r="A506" s="21" t="s">
        <v>733</v>
      </c>
      <c r="B506" s="17" t="s">
        <v>733</v>
      </c>
      <c r="C506" s="17" t="s">
        <v>733</v>
      </c>
      <c r="D506" s="5"/>
    </row>
    <row r="507">
      <c r="A507" s="21" t="s">
        <v>733</v>
      </c>
      <c r="B507" s="17" t="s">
        <v>733</v>
      </c>
      <c r="C507" s="17" t="s">
        <v>733</v>
      </c>
      <c r="D507" s="5"/>
    </row>
    <row r="508">
      <c r="A508" s="21" t="s">
        <v>733</v>
      </c>
      <c r="B508" s="17" t="s">
        <v>733</v>
      </c>
      <c r="C508" s="17" t="s">
        <v>733</v>
      </c>
      <c r="D508" s="5"/>
    </row>
    <row r="509">
      <c r="A509" s="21" t="s">
        <v>733</v>
      </c>
      <c r="B509" s="17" t="s">
        <v>733</v>
      </c>
      <c r="C509" s="17" t="s">
        <v>733</v>
      </c>
      <c r="D509" s="5"/>
    </row>
    <row r="510">
      <c r="A510" s="21" t="s">
        <v>733</v>
      </c>
      <c r="B510" s="17" t="s">
        <v>733</v>
      </c>
      <c r="C510" s="17" t="s">
        <v>733</v>
      </c>
      <c r="D510" s="5"/>
    </row>
    <row r="511">
      <c r="A511" s="21" t="s">
        <v>733</v>
      </c>
      <c r="B511" s="17" t="s">
        <v>733</v>
      </c>
      <c r="C511" s="17" t="s">
        <v>733</v>
      </c>
      <c r="D511" s="5"/>
    </row>
    <row r="512">
      <c r="A512" s="21" t="s">
        <v>733</v>
      </c>
      <c r="B512" s="17" t="s">
        <v>733</v>
      </c>
      <c r="C512" s="17" t="s">
        <v>733</v>
      </c>
      <c r="D512" s="5"/>
    </row>
    <row r="513">
      <c r="A513" s="21" t="s">
        <v>733</v>
      </c>
      <c r="B513" s="17" t="s">
        <v>733</v>
      </c>
      <c r="C513" s="17" t="s">
        <v>733</v>
      </c>
      <c r="D513" s="5"/>
    </row>
    <row r="514">
      <c r="A514" s="21" t="s">
        <v>733</v>
      </c>
      <c r="B514" s="17" t="s">
        <v>733</v>
      </c>
      <c r="C514" s="17" t="s">
        <v>733</v>
      </c>
      <c r="D514" s="5"/>
    </row>
    <row r="515">
      <c r="A515" s="21" t="s">
        <v>733</v>
      </c>
      <c r="B515" s="17" t="s">
        <v>733</v>
      </c>
      <c r="C515" s="17" t="s">
        <v>733</v>
      </c>
      <c r="D515" s="5"/>
    </row>
    <row r="516">
      <c r="A516" s="21" t="s">
        <v>733</v>
      </c>
      <c r="B516" s="17" t="s">
        <v>733</v>
      </c>
      <c r="C516" s="17" t="s">
        <v>733</v>
      </c>
      <c r="D516" s="5"/>
    </row>
    <row r="517">
      <c r="A517" s="21" t="s">
        <v>733</v>
      </c>
      <c r="B517" s="17" t="s">
        <v>733</v>
      </c>
      <c r="C517" s="17" t="s">
        <v>733</v>
      </c>
      <c r="D517" s="5"/>
    </row>
    <row r="518">
      <c r="A518" s="21" t="s">
        <v>733</v>
      </c>
      <c r="B518" s="17" t="s">
        <v>733</v>
      </c>
      <c r="C518" s="17" t="s">
        <v>733</v>
      </c>
      <c r="D518" s="5"/>
    </row>
    <row r="519">
      <c r="A519" s="21" t="s">
        <v>733</v>
      </c>
      <c r="B519" s="17" t="s">
        <v>733</v>
      </c>
      <c r="C519" s="17" t="s">
        <v>733</v>
      </c>
      <c r="D519" s="5"/>
    </row>
    <row r="520">
      <c r="A520" s="21" t="s">
        <v>733</v>
      </c>
      <c r="B520" s="17" t="s">
        <v>733</v>
      </c>
      <c r="C520" s="17" t="s">
        <v>733</v>
      </c>
      <c r="D520" s="5"/>
    </row>
    <row r="521">
      <c r="A521" s="21" t="s">
        <v>733</v>
      </c>
      <c r="B521" s="17" t="s">
        <v>733</v>
      </c>
      <c r="C521" s="17" t="s">
        <v>733</v>
      </c>
      <c r="D521" s="5"/>
    </row>
    <row r="522">
      <c r="A522" s="21" t="s">
        <v>733</v>
      </c>
      <c r="B522" s="17" t="s">
        <v>733</v>
      </c>
      <c r="C522" s="17" t="s">
        <v>733</v>
      </c>
      <c r="D522" s="5"/>
    </row>
    <row r="523">
      <c r="A523" s="21" t="s">
        <v>733</v>
      </c>
      <c r="B523" s="17" t="s">
        <v>733</v>
      </c>
      <c r="C523" s="17" t="s">
        <v>733</v>
      </c>
      <c r="D523" s="5"/>
    </row>
    <row r="524">
      <c r="A524" s="21" t="s">
        <v>733</v>
      </c>
      <c r="B524" s="17" t="s">
        <v>733</v>
      </c>
      <c r="C524" s="17" t="s">
        <v>733</v>
      </c>
      <c r="D524" s="5"/>
    </row>
    <row r="525">
      <c r="A525" s="21" t="s">
        <v>733</v>
      </c>
      <c r="B525" s="17" t="s">
        <v>733</v>
      </c>
      <c r="C525" s="17" t="s">
        <v>733</v>
      </c>
      <c r="D525" s="5"/>
    </row>
    <row r="526">
      <c r="A526" s="21" t="s">
        <v>733</v>
      </c>
      <c r="B526" s="17" t="s">
        <v>733</v>
      </c>
      <c r="C526" s="17" t="s">
        <v>733</v>
      </c>
      <c r="D526" s="5"/>
    </row>
    <row r="527">
      <c r="A527" s="21" t="s">
        <v>733</v>
      </c>
      <c r="B527" s="17" t="s">
        <v>733</v>
      </c>
      <c r="C527" s="17" t="s">
        <v>733</v>
      </c>
      <c r="D527" s="5"/>
    </row>
    <row r="528">
      <c r="A528" s="21" t="s">
        <v>733</v>
      </c>
      <c r="B528" s="17" t="s">
        <v>733</v>
      </c>
      <c r="C528" s="17" t="s">
        <v>733</v>
      </c>
      <c r="D528" s="5"/>
    </row>
    <row r="529">
      <c r="A529" s="21" t="s">
        <v>733</v>
      </c>
      <c r="B529" s="17" t="s">
        <v>733</v>
      </c>
      <c r="C529" s="17" t="s">
        <v>733</v>
      </c>
      <c r="D529" s="5"/>
    </row>
    <row r="530">
      <c r="A530" s="21" t="s">
        <v>733</v>
      </c>
      <c r="B530" s="17" t="s">
        <v>733</v>
      </c>
      <c r="C530" s="17" t="s">
        <v>733</v>
      </c>
      <c r="D530" s="5"/>
    </row>
    <row r="531">
      <c r="A531" s="21" t="s">
        <v>733</v>
      </c>
      <c r="B531" s="17" t="s">
        <v>733</v>
      </c>
      <c r="C531" s="17" t="s">
        <v>733</v>
      </c>
      <c r="D531" s="5"/>
    </row>
    <row r="532">
      <c r="A532" s="21" t="s">
        <v>733</v>
      </c>
      <c r="B532" s="17" t="s">
        <v>733</v>
      </c>
      <c r="C532" s="17" t="s">
        <v>733</v>
      </c>
      <c r="D532" s="5"/>
    </row>
    <row r="533">
      <c r="A533" s="21" t="s">
        <v>733</v>
      </c>
      <c r="B533" s="17" t="s">
        <v>733</v>
      </c>
      <c r="C533" s="17" t="s">
        <v>733</v>
      </c>
      <c r="D533" s="5"/>
    </row>
    <row r="534">
      <c r="A534" s="21" t="s">
        <v>733</v>
      </c>
      <c r="B534" s="17" t="s">
        <v>733</v>
      </c>
      <c r="C534" s="17" t="s">
        <v>733</v>
      </c>
      <c r="D534" s="5"/>
    </row>
    <row r="535">
      <c r="A535" s="21" t="s">
        <v>733</v>
      </c>
      <c r="B535" s="17" t="s">
        <v>733</v>
      </c>
      <c r="C535" s="17" t="s">
        <v>733</v>
      </c>
      <c r="D535" s="5"/>
    </row>
    <row r="536">
      <c r="A536" s="21" t="s">
        <v>733</v>
      </c>
      <c r="B536" s="17" t="s">
        <v>733</v>
      </c>
      <c r="C536" s="17" t="s">
        <v>733</v>
      </c>
      <c r="D536" s="5"/>
    </row>
    <row r="537">
      <c r="A537" s="21" t="s">
        <v>733</v>
      </c>
      <c r="B537" s="17" t="s">
        <v>733</v>
      </c>
      <c r="C537" s="17" t="s">
        <v>733</v>
      </c>
      <c r="D537" s="5"/>
    </row>
    <row r="538">
      <c r="A538" s="21" t="s">
        <v>733</v>
      </c>
      <c r="B538" s="17" t="s">
        <v>733</v>
      </c>
      <c r="C538" s="17" t="s">
        <v>733</v>
      </c>
      <c r="D538" s="5"/>
    </row>
    <row r="539">
      <c r="A539" s="21" t="s">
        <v>733</v>
      </c>
      <c r="B539" s="17" t="s">
        <v>733</v>
      </c>
      <c r="C539" s="17" t="s">
        <v>733</v>
      </c>
      <c r="D539" s="5"/>
    </row>
    <row r="540">
      <c r="A540" s="21" t="s">
        <v>733</v>
      </c>
      <c r="B540" s="17" t="s">
        <v>733</v>
      </c>
      <c r="C540" s="17" t="s">
        <v>733</v>
      </c>
      <c r="D540" s="5"/>
    </row>
    <row r="541">
      <c r="A541" s="21" t="s">
        <v>733</v>
      </c>
      <c r="B541" s="17" t="s">
        <v>733</v>
      </c>
      <c r="C541" s="17" t="s">
        <v>733</v>
      </c>
      <c r="D541" s="5"/>
    </row>
    <row r="542">
      <c r="A542" s="21" t="s">
        <v>733</v>
      </c>
      <c r="B542" s="17" t="s">
        <v>733</v>
      </c>
      <c r="C542" s="17" t="s">
        <v>733</v>
      </c>
      <c r="D542" s="5"/>
    </row>
    <row r="543">
      <c r="A543" s="21" t="s">
        <v>733</v>
      </c>
      <c r="B543" s="17" t="s">
        <v>733</v>
      </c>
      <c r="C543" s="17" t="s">
        <v>733</v>
      </c>
      <c r="D543" s="5"/>
    </row>
    <row r="544">
      <c r="A544" s="21" t="s">
        <v>733</v>
      </c>
      <c r="B544" s="17" t="s">
        <v>733</v>
      </c>
      <c r="C544" s="17" t="s">
        <v>733</v>
      </c>
      <c r="D544" s="5"/>
    </row>
    <row r="545">
      <c r="A545" s="21" t="s">
        <v>733</v>
      </c>
      <c r="B545" s="17" t="s">
        <v>733</v>
      </c>
      <c r="C545" s="17" t="s">
        <v>733</v>
      </c>
      <c r="D545" s="5"/>
    </row>
    <row r="546">
      <c r="A546" s="21" t="s">
        <v>733</v>
      </c>
      <c r="B546" s="17" t="s">
        <v>733</v>
      </c>
      <c r="C546" s="17" t="s">
        <v>733</v>
      </c>
      <c r="D546" s="5"/>
    </row>
    <row r="547">
      <c r="A547" s="21" t="s">
        <v>733</v>
      </c>
      <c r="B547" s="17" t="s">
        <v>733</v>
      </c>
      <c r="C547" s="17" t="s">
        <v>733</v>
      </c>
      <c r="D547" s="5"/>
    </row>
    <row r="548">
      <c r="A548" s="21" t="s">
        <v>733</v>
      </c>
      <c r="B548" s="17" t="s">
        <v>733</v>
      </c>
      <c r="C548" s="17" t="s">
        <v>733</v>
      </c>
      <c r="D548" s="5"/>
    </row>
    <row r="549">
      <c r="A549" s="21" t="s">
        <v>733</v>
      </c>
      <c r="B549" s="17" t="s">
        <v>733</v>
      </c>
      <c r="C549" s="17" t="s">
        <v>733</v>
      </c>
      <c r="D549" s="5"/>
    </row>
    <row r="550">
      <c r="A550" s="21" t="s">
        <v>733</v>
      </c>
      <c r="B550" s="17" t="s">
        <v>733</v>
      </c>
      <c r="C550" s="17" t="s">
        <v>733</v>
      </c>
      <c r="D550" s="5"/>
    </row>
    <row r="551">
      <c r="A551" s="21" t="s">
        <v>733</v>
      </c>
      <c r="B551" s="17" t="s">
        <v>733</v>
      </c>
      <c r="C551" s="17" t="s">
        <v>733</v>
      </c>
      <c r="D551" s="5"/>
    </row>
    <row r="552">
      <c r="A552" s="21" t="s">
        <v>733</v>
      </c>
      <c r="B552" s="17" t="s">
        <v>733</v>
      </c>
      <c r="C552" s="17" t="s">
        <v>733</v>
      </c>
      <c r="D552" s="5"/>
    </row>
    <row r="553">
      <c r="A553" s="21" t="s">
        <v>733</v>
      </c>
      <c r="B553" s="17" t="s">
        <v>733</v>
      </c>
      <c r="C553" s="17" t="s">
        <v>733</v>
      </c>
      <c r="D553" s="5"/>
    </row>
    <row r="554">
      <c r="A554" s="21" t="s">
        <v>733</v>
      </c>
      <c r="B554" s="17" t="s">
        <v>733</v>
      </c>
      <c r="C554" s="17" t="s">
        <v>733</v>
      </c>
      <c r="D554" s="5"/>
    </row>
    <row r="555">
      <c r="A555" s="21" t="s">
        <v>733</v>
      </c>
      <c r="B555" s="17" t="s">
        <v>733</v>
      </c>
      <c r="C555" s="17" t="s">
        <v>733</v>
      </c>
      <c r="D555" s="5"/>
    </row>
    <row r="556">
      <c r="A556" s="21" t="s">
        <v>733</v>
      </c>
      <c r="B556" s="17" t="s">
        <v>733</v>
      </c>
      <c r="C556" s="17" t="s">
        <v>733</v>
      </c>
      <c r="D556" s="5"/>
    </row>
    <row r="557">
      <c r="A557" s="21" t="s">
        <v>733</v>
      </c>
      <c r="B557" s="17" t="s">
        <v>733</v>
      </c>
      <c r="C557" s="17" t="s">
        <v>733</v>
      </c>
      <c r="D557" s="5"/>
    </row>
    <row r="558">
      <c r="A558" s="21" t="s">
        <v>733</v>
      </c>
      <c r="B558" s="17" t="s">
        <v>733</v>
      </c>
      <c r="C558" s="17" t="s">
        <v>733</v>
      </c>
      <c r="D558" s="5"/>
    </row>
    <row r="559">
      <c r="A559" s="21" t="s">
        <v>733</v>
      </c>
      <c r="B559" s="17" t="s">
        <v>733</v>
      </c>
      <c r="C559" s="17" t="s">
        <v>733</v>
      </c>
      <c r="D559" s="5"/>
    </row>
    <row r="560">
      <c r="A560" s="21" t="s">
        <v>733</v>
      </c>
      <c r="B560" s="17" t="s">
        <v>733</v>
      </c>
      <c r="C560" s="17" t="s">
        <v>733</v>
      </c>
      <c r="D560" s="5"/>
    </row>
    <row r="561">
      <c r="A561" s="21" t="s">
        <v>733</v>
      </c>
      <c r="B561" s="17" t="s">
        <v>733</v>
      </c>
      <c r="C561" s="17" t="s">
        <v>733</v>
      </c>
      <c r="D561" s="5"/>
    </row>
    <row r="562">
      <c r="A562" s="21" t="s">
        <v>733</v>
      </c>
      <c r="B562" s="17" t="s">
        <v>733</v>
      </c>
      <c r="C562" s="17" t="s">
        <v>733</v>
      </c>
      <c r="D562" s="5"/>
    </row>
    <row r="563">
      <c r="A563" s="21" t="s">
        <v>733</v>
      </c>
      <c r="B563" s="17" t="s">
        <v>733</v>
      </c>
      <c r="C563" s="17" t="s">
        <v>733</v>
      </c>
      <c r="D563" s="5"/>
    </row>
    <row r="564">
      <c r="A564" s="21" t="s">
        <v>733</v>
      </c>
      <c r="B564" s="17" t="s">
        <v>733</v>
      </c>
      <c r="C564" s="17" t="s">
        <v>733</v>
      </c>
      <c r="D564" s="5"/>
    </row>
    <row r="565">
      <c r="A565" s="21" t="s">
        <v>733</v>
      </c>
      <c r="B565" s="17" t="s">
        <v>733</v>
      </c>
      <c r="C565" s="17" t="s">
        <v>733</v>
      </c>
      <c r="D565" s="5"/>
    </row>
    <row r="566">
      <c r="A566" s="21" t="s">
        <v>733</v>
      </c>
      <c r="B566" s="17" t="s">
        <v>733</v>
      </c>
      <c r="C566" s="17" t="s">
        <v>733</v>
      </c>
      <c r="D566" s="5"/>
    </row>
    <row r="567">
      <c r="A567" s="21" t="s">
        <v>733</v>
      </c>
      <c r="B567" s="17" t="s">
        <v>733</v>
      </c>
      <c r="C567" s="17" t="s">
        <v>733</v>
      </c>
      <c r="D567" s="5"/>
    </row>
    <row r="568">
      <c r="A568" s="21" t="s">
        <v>733</v>
      </c>
      <c r="B568" s="17" t="s">
        <v>733</v>
      </c>
      <c r="C568" s="17" t="s">
        <v>733</v>
      </c>
      <c r="D568" s="5"/>
    </row>
    <row r="569">
      <c r="A569" s="21" t="s">
        <v>733</v>
      </c>
      <c r="B569" s="17" t="s">
        <v>733</v>
      </c>
      <c r="C569" s="17" t="s">
        <v>733</v>
      </c>
      <c r="D569" s="5"/>
    </row>
    <row r="570">
      <c r="A570" s="21" t="s">
        <v>733</v>
      </c>
      <c r="B570" s="17" t="s">
        <v>733</v>
      </c>
      <c r="C570" s="17" t="s">
        <v>733</v>
      </c>
      <c r="D570" s="5"/>
    </row>
    <row r="571">
      <c r="A571" s="21" t="s">
        <v>733</v>
      </c>
      <c r="B571" s="17" t="s">
        <v>733</v>
      </c>
      <c r="C571" s="17" t="s">
        <v>733</v>
      </c>
      <c r="D571" s="5"/>
    </row>
    <row r="572">
      <c r="A572" s="21" t="s">
        <v>733</v>
      </c>
      <c r="B572" s="17" t="s">
        <v>733</v>
      </c>
      <c r="C572" s="17" t="s">
        <v>733</v>
      </c>
      <c r="D572" s="5"/>
    </row>
    <row r="573">
      <c r="A573" s="21" t="s">
        <v>733</v>
      </c>
      <c r="B573" s="17" t="s">
        <v>733</v>
      </c>
      <c r="C573" s="17" t="s">
        <v>733</v>
      </c>
      <c r="D573" s="5"/>
    </row>
    <row r="574">
      <c r="A574" s="21" t="s">
        <v>733</v>
      </c>
      <c r="B574" s="17" t="s">
        <v>733</v>
      </c>
      <c r="C574" s="17" t="s">
        <v>733</v>
      </c>
      <c r="D574" s="5"/>
    </row>
    <row r="575">
      <c r="A575" s="21" t="s">
        <v>733</v>
      </c>
      <c r="B575" s="17" t="s">
        <v>733</v>
      </c>
      <c r="C575" s="17" t="s">
        <v>733</v>
      </c>
      <c r="D575" s="5"/>
    </row>
    <row r="576">
      <c r="A576" s="21" t="s">
        <v>733</v>
      </c>
      <c r="B576" s="17" t="s">
        <v>733</v>
      </c>
      <c r="C576" s="17" t="s">
        <v>733</v>
      </c>
      <c r="D576" s="5"/>
    </row>
    <row r="577">
      <c r="A577" s="21" t="s">
        <v>733</v>
      </c>
      <c r="B577" s="17" t="s">
        <v>733</v>
      </c>
      <c r="C577" s="17" t="s">
        <v>733</v>
      </c>
      <c r="D577" s="5"/>
    </row>
    <row r="578">
      <c r="A578" s="21" t="s">
        <v>733</v>
      </c>
      <c r="B578" s="17" t="s">
        <v>733</v>
      </c>
      <c r="C578" s="17" t="s">
        <v>733</v>
      </c>
      <c r="D578" s="5"/>
    </row>
    <row r="579">
      <c r="A579" s="21" t="s">
        <v>733</v>
      </c>
      <c r="B579" s="17" t="s">
        <v>733</v>
      </c>
      <c r="C579" s="17" t="s">
        <v>733</v>
      </c>
      <c r="D579" s="5"/>
    </row>
    <row r="580">
      <c r="A580" s="21" t="s">
        <v>733</v>
      </c>
      <c r="B580" s="17" t="s">
        <v>733</v>
      </c>
      <c r="C580" s="17" t="s">
        <v>733</v>
      </c>
      <c r="D580" s="5"/>
    </row>
    <row r="581">
      <c r="A581" s="21" t="s">
        <v>733</v>
      </c>
      <c r="B581" s="17" t="s">
        <v>733</v>
      </c>
      <c r="C581" s="17" t="s">
        <v>733</v>
      </c>
      <c r="D581" s="5"/>
    </row>
    <row r="582">
      <c r="A582" s="21" t="s">
        <v>733</v>
      </c>
      <c r="B582" s="17" t="s">
        <v>733</v>
      </c>
      <c r="C582" s="17" t="s">
        <v>733</v>
      </c>
      <c r="D582" s="5"/>
    </row>
    <row r="583">
      <c r="A583" s="21" t="s">
        <v>733</v>
      </c>
      <c r="B583" s="17" t="s">
        <v>733</v>
      </c>
      <c r="C583" s="17" t="s">
        <v>733</v>
      </c>
      <c r="D583" s="5"/>
    </row>
    <row r="584">
      <c r="A584" s="21" t="s">
        <v>733</v>
      </c>
      <c r="B584" s="17" t="s">
        <v>733</v>
      </c>
      <c r="C584" s="17" t="s">
        <v>733</v>
      </c>
      <c r="D584" s="5"/>
    </row>
    <row r="585">
      <c r="A585" s="21" t="s">
        <v>733</v>
      </c>
      <c r="B585" s="17" t="s">
        <v>733</v>
      </c>
      <c r="C585" s="17" t="s">
        <v>733</v>
      </c>
      <c r="D585" s="5"/>
    </row>
    <row r="586">
      <c r="A586" s="21" t="s">
        <v>733</v>
      </c>
      <c r="B586" s="17" t="s">
        <v>733</v>
      </c>
      <c r="C586" s="17" t="s">
        <v>733</v>
      </c>
      <c r="D586" s="5"/>
    </row>
    <row r="587">
      <c r="A587" s="21" t="s">
        <v>733</v>
      </c>
      <c r="B587" s="17" t="s">
        <v>733</v>
      </c>
      <c r="C587" s="17" t="s">
        <v>733</v>
      </c>
      <c r="D587" s="5"/>
    </row>
    <row r="588">
      <c r="A588" s="21" t="s">
        <v>733</v>
      </c>
      <c r="B588" s="17" t="s">
        <v>733</v>
      </c>
      <c r="C588" s="17" t="s">
        <v>733</v>
      </c>
      <c r="D588" s="5"/>
    </row>
    <row r="589">
      <c r="A589" s="21" t="s">
        <v>733</v>
      </c>
      <c r="B589" s="17" t="s">
        <v>733</v>
      </c>
      <c r="C589" s="17" t="s">
        <v>733</v>
      </c>
      <c r="D589" s="5"/>
    </row>
    <row r="590">
      <c r="A590" s="21" t="s">
        <v>733</v>
      </c>
      <c r="B590" s="17" t="s">
        <v>733</v>
      </c>
      <c r="C590" s="17" t="s">
        <v>733</v>
      </c>
      <c r="D590" s="5"/>
    </row>
    <row r="591">
      <c r="A591" s="21" t="s">
        <v>733</v>
      </c>
      <c r="B591" s="17" t="s">
        <v>733</v>
      </c>
      <c r="C591" s="17" t="s">
        <v>733</v>
      </c>
      <c r="D591" s="5"/>
    </row>
    <row r="592">
      <c r="A592" s="21" t="s">
        <v>733</v>
      </c>
      <c r="B592" s="17" t="s">
        <v>733</v>
      </c>
      <c r="C592" s="17" t="s">
        <v>733</v>
      </c>
      <c r="D592" s="5"/>
    </row>
    <row r="593">
      <c r="A593" s="21" t="s">
        <v>733</v>
      </c>
      <c r="B593" s="17" t="s">
        <v>733</v>
      </c>
      <c r="C593" s="17" t="s">
        <v>733</v>
      </c>
      <c r="D593" s="5"/>
    </row>
    <row r="594">
      <c r="A594" s="21" t="s">
        <v>733</v>
      </c>
      <c r="B594" s="17" t="s">
        <v>733</v>
      </c>
      <c r="C594" s="17" t="s">
        <v>733</v>
      </c>
      <c r="D594" s="5"/>
    </row>
    <row r="595">
      <c r="A595" s="21" t="s">
        <v>733</v>
      </c>
      <c r="B595" s="17" t="s">
        <v>733</v>
      </c>
      <c r="C595" s="17" t="s">
        <v>733</v>
      </c>
      <c r="D595" s="5"/>
    </row>
    <row r="596">
      <c r="A596" s="21" t="s">
        <v>733</v>
      </c>
      <c r="B596" s="17" t="s">
        <v>733</v>
      </c>
      <c r="C596" s="17" t="s">
        <v>733</v>
      </c>
      <c r="D596" s="5"/>
    </row>
    <row r="597">
      <c r="A597" s="21" t="s">
        <v>733</v>
      </c>
      <c r="B597" s="17" t="s">
        <v>733</v>
      </c>
      <c r="C597" s="17" t="s">
        <v>733</v>
      </c>
      <c r="D597" s="5"/>
    </row>
    <row r="598">
      <c r="A598" s="21" t="s">
        <v>733</v>
      </c>
      <c r="B598" s="17" t="s">
        <v>733</v>
      </c>
      <c r="C598" s="17" t="s">
        <v>733</v>
      </c>
      <c r="D598" s="5"/>
    </row>
    <row r="599">
      <c r="A599" s="21" t="s">
        <v>733</v>
      </c>
      <c r="B599" s="17" t="s">
        <v>733</v>
      </c>
      <c r="C599" s="17" t="s">
        <v>733</v>
      </c>
      <c r="D599" s="5"/>
    </row>
    <row r="600">
      <c r="A600" s="21" t="s">
        <v>733</v>
      </c>
      <c r="B600" s="17" t="s">
        <v>733</v>
      </c>
      <c r="C600" s="17" t="s">
        <v>733</v>
      </c>
      <c r="D600" s="5"/>
    </row>
    <row r="601">
      <c r="A601" s="21" t="s">
        <v>733</v>
      </c>
      <c r="B601" s="17" t="s">
        <v>733</v>
      </c>
      <c r="C601" s="17" t="s">
        <v>733</v>
      </c>
      <c r="D601" s="5"/>
    </row>
    <row r="602">
      <c r="A602" s="21" t="s">
        <v>733</v>
      </c>
      <c r="B602" s="17" t="s">
        <v>733</v>
      </c>
      <c r="C602" s="17" t="s">
        <v>733</v>
      </c>
      <c r="D602" s="5"/>
    </row>
    <row r="603">
      <c r="A603" s="21" t="s">
        <v>733</v>
      </c>
      <c r="B603" s="17" t="s">
        <v>733</v>
      </c>
      <c r="C603" s="17" t="s">
        <v>733</v>
      </c>
      <c r="D603" s="5"/>
    </row>
    <row r="604">
      <c r="A604" s="21" t="s">
        <v>733</v>
      </c>
      <c r="B604" s="17" t="s">
        <v>733</v>
      </c>
      <c r="C604" s="17" t="s">
        <v>733</v>
      </c>
      <c r="D604" s="5"/>
    </row>
    <row r="605">
      <c r="A605" s="21" t="s">
        <v>733</v>
      </c>
      <c r="B605" s="17" t="s">
        <v>733</v>
      </c>
      <c r="C605" s="17" t="s">
        <v>733</v>
      </c>
      <c r="D605" s="5"/>
    </row>
    <row r="606">
      <c r="A606" s="21" t="s">
        <v>733</v>
      </c>
      <c r="B606" s="17" t="s">
        <v>733</v>
      </c>
      <c r="C606" s="17" t="s">
        <v>733</v>
      </c>
      <c r="D606" s="5"/>
    </row>
    <row r="607">
      <c r="A607" s="21" t="s">
        <v>733</v>
      </c>
      <c r="B607" s="17" t="s">
        <v>733</v>
      </c>
      <c r="C607" s="17" t="s">
        <v>733</v>
      </c>
      <c r="D607" s="5"/>
    </row>
    <row r="608">
      <c r="A608" s="21" t="s">
        <v>733</v>
      </c>
      <c r="B608" s="17" t="s">
        <v>733</v>
      </c>
      <c r="C608" s="17" t="s">
        <v>733</v>
      </c>
      <c r="D608" s="5"/>
    </row>
    <row r="609">
      <c r="A609" s="21" t="s">
        <v>733</v>
      </c>
      <c r="B609" s="17" t="s">
        <v>733</v>
      </c>
      <c r="C609" s="17" t="s">
        <v>733</v>
      </c>
      <c r="D609" s="5"/>
    </row>
    <row r="610">
      <c r="A610" s="21" t="s">
        <v>733</v>
      </c>
      <c r="B610" s="17" t="s">
        <v>733</v>
      </c>
      <c r="C610" s="17" t="s">
        <v>733</v>
      </c>
      <c r="D610" s="5"/>
    </row>
    <row r="611">
      <c r="A611" s="21" t="s">
        <v>733</v>
      </c>
      <c r="B611" s="17" t="s">
        <v>733</v>
      </c>
      <c r="C611" s="17" t="s">
        <v>733</v>
      </c>
      <c r="D611" s="5"/>
    </row>
    <row r="612">
      <c r="A612" s="21" t="s">
        <v>733</v>
      </c>
      <c r="B612" s="17" t="s">
        <v>733</v>
      </c>
      <c r="C612" s="17" t="s">
        <v>733</v>
      </c>
      <c r="D612" s="5"/>
    </row>
    <row r="613">
      <c r="A613" s="21" t="s">
        <v>733</v>
      </c>
      <c r="B613" s="17" t="s">
        <v>733</v>
      </c>
      <c r="C613" s="17" t="s">
        <v>733</v>
      </c>
      <c r="D613" s="5"/>
    </row>
    <row r="614">
      <c r="A614" s="21" t="s">
        <v>733</v>
      </c>
      <c r="B614" s="17" t="s">
        <v>733</v>
      </c>
      <c r="C614" s="17" t="s">
        <v>733</v>
      </c>
      <c r="D614" s="5"/>
    </row>
    <row r="615">
      <c r="A615" s="21" t="s">
        <v>733</v>
      </c>
      <c r="B615" s="17" t="s">
        <v>733</v>
      </c>
      <c r="C615" s="17" t="s">
        <v>733</v>
      </c>
      <c r="D615" s="5"/>
    </row>
    <row r="616">
      <c r="A616" s="21" t="s">
        <v>733</v>
      </c>
      <c r="B616" s="17" t="s">
        <v>733</v>
      </c>
      <c r="C616" s="17" t="s">
        <v>733</v>
      </c>
      <c r="D616" s="5"/>
    </row>
    <row r="617">
      <c r="A617" s="21" t="s">
        <v>733</v>
      </c>
      <c r="B617" s="17" t="s">
        <v>733</v>
      </c>
      <c r="C617" s="17" t="s">
        <v>733</v>
      </c>
      <c r="D617" s="5"/>
    </row>
    <row r="618">
      <c r="A618" s="21" t="s">
        <v>733</v>
      </c>
      <c r="B618" s="17" t="s">
        <v>733</v>
      </c>
      <c r="C618" s="17" t="s">
        <v>733</v>
      </c>
      <c r="D618" s="5"/>
    </row>
    <row r="619">
      <c r="A619" s="21" t="s">
        <v>733</v>
      </c>
      <c r="B619" s="17" t="s">
        <v>733</v>
      </c>
      <c r="C619" s="17" t="s">
        <v>733</v>
      </c>
      <c r="D619" s="5"/>
    </row>
    <row r="620">
      <c r="A620" s="21" t="s">
        <v>733</v>
      </c>
      <c r="B620" s="17" t="s">
        <v>733</v>
      </c>
      <c r="C620" s="17" t="s">
        <v>733</v>
      </c>
      <c r="D620" s="5"/>
    </row>
    <row r="621">
      <c r="A621" s="21" t="s">
        <v>733</v>
      </c>
      <c r="B621" s="17" t="s">
        <v>733</v>
      </c>
      <c r="C621" s="17" t="s">
        <v>733</v>
      </c>
      <c r="D621" s="5"/>
    </row>
    <row r="622">
      <c r="A622" s="21" t="s">
        <v>733</v>
      </c>
      <c r="B622" s="17" t="s">
        <v>733</v>
      </c>
      <c r="C622" s="17" t="s">
        <v>733</v>
      </c>
      <c r="D622" s="5"/>
    </row>
    <row r="623">
      <c r="A623" s="21" t="s">
        <v>733</v>
      </c>
      <c r="B623" s="17" t="s">
        <v>733</v>
      </c>
      <c r="C623" s="17" t="s">
        <v>733</v>
      </c>
      <c r="D623" s="5"/>
    </row>
    <row r="624">
      <c r="A624" s="21" t="s">
        <v>733</v>
      </c>
      <c r="B624" s="17" t="s">
        <v>733</v>
      </c>
      <c r="C624" s="17" t="s">
        <v>733</v>
      </c>
      <c r="D624" s="5"/>
    </row>
    <row r="625">
      <c r="A625" s="21" t="s">
        <v>733</v>
      </c>
      <c r="B625" s="17" t="s">
        <v>733</v>
      </c>
      <c r="C625" s="17" t="s">
        <v>733</v>
      </c>
      <c r="D625" s="5"/>
    </row>
    <row r="626">
      <c r="A626" s="21" t="s">
        <v>733</v>
      </c>
      <c r="B626" s="17" t="s">
        <v>733</v>
      </c>
      <c r="C626" s="17" t="s">
        <v>733</v>
      </c>
      <c r="D626" s="5"/>
    </row>
    <row r="627">
      <c r="A627" s="21" t="s">
        <v>733</v>
      </c>
      <c r="B627" s="17" t="s">
        <v>733</v>
      </c>
      <c r="C627" s="17" t="s">
        <v>733</v>
      </c>
      <c r="D627" s="5"/>
    </row>
    <row r="628">
      <c r="A628" s="21" t="s">
        <v>733</v>
      </c>
      <c r="B628" s="17" t="s">
        <v>733</v>
      </c>
      <c r="C628" s="17" t="s">
        <v>733</v>
      </c>
      <c r="D628" s="5"/>
    </row>
    <row r="629">
      <c r="A629" s="21" t="s">
        <v>733</v>
      </c>
      <c r="B629" s="17" t="s">
        <v>733</v>
      </c>
      <c r="C629" s="17" t="s">
        <v>733</v>
      </c>
      <c r="D629" s="5"/>
    </row>
    <row r="630">
      <c r="A630" s="21" t="s">
        <v>733</v>
      </c>
      <c r="B630" s="17" t="s">
        <v>733</v>
      </c>
      <c r="C630" s="17" t="s">
        <v>733</v>
      </c>
      <c r="D630" s="5"/>
    </row>
    <row r="631">
      <c r="A631" s="21" t="s">
        <v>733</v>
      </c>
      <c r="B631" s="17" t="s">
        <v>733</v>
      </c>
      <c r="C631" s="17" t="s">
        <v>733</v>
      </c>
      <c r="D631" s="5"/>
    </row>
    <row r="632">
      <c r="A632" s="21" t="s">
        <v>733</v>
      </c>
      <c r="B632" s="17" t="s">
        <v>733</v>
      </c>
      <c r="C632" s="17" t="s">
        <v>733</v>
      </c>
      <c r="D632" s="5"/>
    </row>
    <row r="633">
      <c r="A633" s="21" t="s">
        <v>733</v>
      </c>
      <c r="B633" s="17" t="s">
        <v>733</v>
      </c>
      <c r="C633" s="17" t="s">
        <v>733</v>
      </c>
      <c r="D633" s="5"/>
    </row>
    <row r="634">
      <c r="A634" s="21" t="s">
        <v>733</v>
      </c>
      <c r="B634" s="17" t="s">
        <v>733</v>
      </c>
      <c r="C634" s="17" t="s">
        <v>733</v>
      </c>
      <c r="D634" s="5"/>
    </row>
    <row r="635">
      <c r="A635" s="21" t="s">
        <v>733</v>
      </c>
      <c r="B635" s="17" t="s">
        <v>733</v>
      </c>
      <c r="C635" s="17" t="s">
        <v>733</v>
      </c>
      <c r="D635" s="5"/>
    </row>
    <row r="636">
      <c r="A636" s="21" t="s">
        <v>733</v>
      </c>
      <c r="B636" s="17" t="s">
        <v>733</v>
      </c>
      <c r="C636" s="17" t="s">
        <v>733</v>
      </c>
      <c r="D636" s="5"/>
    </row>
    <row r="637">
      <c r="A637" s="21" t="s">
        <v>733</v>
      </c>
      <c r="B637" s="17" t="s">
        <v>733</v>
      </c>
      <c r="C637" s="17" t="s">
        <v>733</v>
      </c>
      <c r="D637" s="5"/>
    </row>
    <row r="638">
      <c r="A638" s="21" t="s">
        <v>733</v>
      </c>
      <c r="B638" s="17" t="s">
        <v>733</v>
      </c>
      <c r="C638" s="17" t="s">
        <v>733</v>
      </c>
      <c r="D638" s="5"/>
    </row>
    <row r="639">
      <c r="A639" s="21" t="s">
        <v>733</v>
      </c>
      <c r="B639" s="17" t="s">
        <v>733</v>
      </c>
      <c r="C639" s="17" t="s">
        <v>733</v>
      </c>
      <c r="D639" s="5"/>
    </row>
    <row r="640">
      <c r="A640" s="21" t="s">
        <v>733</v>
      </c>
      <c r="B640" s="17" t="s">
        <v>733</v>
      </c>
      <c r="C640" s="17" t="s">
        <v>733</v>
      </c>
      <c r="D640" s="5"/>
    </row>
    <row r="641">
      <c r="A641" s="21" t="s">
        <v>733</v>
      </c>
      <c r="B641" s="17" t="s">
        <v>733</v>
      </c>
      <c r="C641" s="17" t="s">
        <v>733</v>
      </c>
      <c r="D641" s="5"/>
    </row>
    <row r="642">
      <c r="A642" s="21" t="s">
        <v>733</v>
      </c>
      <c r="B642" s="17" t="s">
        <v>733</v>
      </c>
      <c r="C642" s="17" t="s">
        <v>733</v>
      </c>
      <c r="D642" s="5"/>
    </row>
    <row r="643">
      <c r="A643" s="21" t="s">
        <v>733</v>
      </c>
      <c r="B643" s="17" t="s">
        <v>733</v>
      </c>
      <c r="C643" s="17" t="s">
        <v>733</v>
      </c>
      <c r="D643" s="5"/>
    </row>
    <row r="644">
      <c r="A644" s="21" t="s">
        <v>733</v>
      </c>
      <c r="B644" s="17" t="s">
        <v>733</v>
      </c>
      <c r="C644" s="17" t="s">
        <v>733</v>
      </c>
      <c r="D644" s="5"/>
    </row>
    <row r="645">
      <c r="A645" s="21" t="s">
        <v>733</v>
      </c>
      <c r="B645" s="17" t="s">
        <v>733</v>
      </c>
      <c r="C645" s="17" t="s">
        <v>733</v>
      </c>
      <c r="D645" s="5"/>
    </row>
    <row r="646">
      <c r="A646" s="21" t="s">
        <v>733</v>
      </c>
      <c r="B646" s="17" t="s">
        <v>733</v>
      </c>
      <c r="C646" s="17" t="s">
        <v>733</v>
      </c>
      <c r="D646" s="5"/>
    </row>
    <row r="647">
      <c r="A647" s="21" t="s">
        <v>733</v>
      </c>
      <c r="B647" s="17" t="s">
        <v>733</v>
      </c>
      <c r="C647" s="17" t="s">
        <v>733</v>
      </c>
      <c r="D647" s="5"/>
    </row>
    <row r="648">
      <c r="A648" s="21" t="s">
        <v>733</v>
      </c>
      <c r="B648" s="17" t="s">
        <v>733</v>
      </c>
      <c r="C648" s="17" t="s">
        <v>733</v>
      </c>
      <c r="D648" s="5"/>
    </row>
    <row r="649">
      <c r="A649" s="21" t="s">
        <v>733</v>
      </c>
      <c r="B649" s="17" t="s">
        <v>733</v>
      </c>
      <c r="C649" s="17" t="s">
        <v>733</v>
      </c>
      <c r="D649" s="5"/>
    </row>
    <row r="650">
      <c r="A650" s="21" t="s">
        <v>733</v>
      </c>
      <c r="B650" s="17" t="s">
        <v>733</v>
      </c>
      <c r="C650" s="17" t="s">
        <v>733</v>
      </c>
      <c r="D650" s="5"/>
    </row>
    <row r="651">
      <c r="A651" s="21" t="s">
        <v>733</v>
      </c>
      <c r="B651" s="17" t="s">
        <v>733</v>
      </c>
      <c r="C651" s="17" t="s">
        <v>733</v>
      </c>
      <c r="D651" s="5"/>
    </row>
    <row r="652">
      <c r="A652" s="21" t="s">
        <v>733</v>
      </c>
      <c r="B652" s="17" t="s">
        <v>733</v>
      </c>
      <c r="C652" s="17" t="s">
        <v>733</v>
      </c>
      <c r="D652" s="5"/>
    </row>
    <row r="653">
      <c r="A653" s="21" t="s">
        <v>733</v>
      </c>
      <c r="B653" s="17" t="s">
        <v>733</v>
      </c>
      <c r="C653" s="17" t="s">
        <v>733</v>
      </c>
      <c r="D653" s="5"/>
    </row>
    <row r="654">
      <c r="A654" s="21" t="s">
        <v>733</v>
      </c>
      <c r="B654" s="17" t="s">
        <v>733</v>
      </c>
      <c r="C654" s="17" t="s">
        <v>733</v>
      </c>
      <c r="D654" s="5"/>
    </row>
    <row r="655">
      <c r="A655" s="21" t="s">
        <v>733</v>
      </c>
      <c r="B655" s="17" t="s">
        <v>733</v>
      </c>
      <c r="C655" s="17" t="s">
        <v>733</v>
      </c>
      <c r="D655" s="5"/>
    </row>
    <row r="656">
      <c r="A656" s="21" t="s">
        <v>733</v>
      </c>
      <c r="B656" s="17" t="s">
        <v>733</v>
      </c>
      <c r="C656" s="17" t="s">
        <v>733</v>
      </c>
      <c r="D656" s="5"/>
    </row>
    <row r="657">
      <c r="A657" s="21" t="s">
        <v>733</v>
      </c>
      <c r="B657" s="17" t="s">
        <v>733</v>
      </c>
      <c r="C657" s="17" t="s">
        <v>733</v>
      </c>
      <c r="D657" s="5"/>
    </row>
    <row r="658">
      <c r="A658" s="21" t="s">
        <v>733</v>
      </c>
      <c r="B658" s="17" t="s">
        <v>733</v>
      </c>
      <c r="C658" s="17" t="s">
        <v>733</v>
      </c>
      <c r="D658" s="5"/>
    </row>
    <row r="659">
      <c r="A659" s="21" t="s">
        <v>733</v>
      </c>
      <c r="B659" s="17" t="s">
        <v>733</v>
      </c>
      <c r="C659" s="17" t="s">
        <v>733</v>
      </c>
      <c r="D659" s="5"/>
    </row>
    <row r="660">
      <c r="A660" s="21" t="s">
        <v>733</v>
      </c>
      <c r="B660" s="17" t="s">
        <v>733</v>
      </c>
      <c r="C660" s="17" t="s">
        <v>733</v>
      </c>
      <c r="D660" s="5"/>
    </row>
    <row r="661">
      <c r="A661" s="21" t="s">
        <v>733</v>
      </c>
      <c r="B661" s="17" t="s">
        <v>733</v>
      </c>
      <c r="C661" s="17" t="s">
        <v>733</v>
      </c>
      <c r="D661" s="5"/>
    </row>
    <row r="662">
      <c r="A662" s="21" t="s">
        <v>733</v>
      </c>
      <c r="B662" s="17" t="s">
        <v>733</v>
      </c>
      <c r="C662" s="17" t="s">
        <v>733</v>
      </c>
      <c r="D662" s="5"/>
    </row>
    <row r="663">
      <c r="A663" s="21" t="s">
        <v>733</v>
      </c>
      <c r="B663" s="17" t="s">
        <v>733</v>
      </c>
      <c r="C663" s="17" t="s">
        <v>733</v>
      </c>
      <c r="D663" s="5"/>
    </row>
    <row r="664">
      <c r="A664" s="21" t="s">
        <v>733</v>
      </c>
      <c r="B664" s="17" t="s">
        <v>733</v>
      </c>
      <c r="C664" s="17" t="s">
        <v>733</v>
      </c>
      <c r="D664" s="5"/>
    </row>
    <row r="665">
      <c r="A665" s="21" t="s">
        <v>733</v>
      </c>
      <c r="B665" s="17" t="s">
        <v>733</v>
      </c>
      <c r="C665" s="17" t="s">
        <v>733</v>
      </c>
      <c r="D665" s="5"/>
    </row>
    <row r="666">
      <c r="A666" s="21" t="s">
        <v>733</v>
      </c>
      <c r="B666" s="17" t="s">
        <v>733</v>
      </c>
      <c r="C666" s="17" t="s">
        <v>733</v>
      </c>
      <c r="D666" s="5"/>
    </row>
    <row r="667">
      <c r="A667" s="21" t="s">
        <v>733</v>
      </c>
      <c r="B667" s="17" t="s">
        <v>733</v>
      </c>
      <c r="C667" s="17" t="s">
        <v>733</v>
      </c>
      <c r="D667" s="5"/>
    </row>
    <row r="668">
      <c r="A668" s="21" t="s">
        <v>733</v>
      </c>
      <c r="B668" s="17" t="s">
        <v>733</v>
      </c>
      <c r="C668" s="17" t="s">
        <v>733</v>
      </c>
      <c r="D668" s="5"/>
    </row>
    <row r="669">
      <c r="A669" s="21" t="s">
        <v>733</v>
      </c>
      <c r="B669" s="17" t="s">
        <v>733</v>
      </c>
      <c r="C669" s="17" t="s">
        <v>733</v>
      </c>
      <c r="D669" s="5"/>
    </row>
    <row r="670">
      <c r="A670" s="21" t="s">
        <v>733</v>
      </c>
      <c r="B670" s="17" t="s">
        <v>733</v>
      </c>
      <c r="C670" s="17" t="s">
        <v>733</v>
      </c>
      <c r="D670" s="5"/>
    </row>
    <row r="671">
      <c r="A671" s="21" t="s">
        <v>733</v>
      </c>
      <c r="B671" s="17" t="s">
        <v>733</v>
      </c>
      <c r="C671" s="17" t="s">
        <v>733</v>
      </c>
      <c r="D671" s="5"/>
    </row>
    <row r="672">
      <c r="A672" s="21" t="s">
        <v>733</v>
      </c>
      <c r="B672" s="17" t="s">
        <v>733</v>
      </c>
      <c r="C672" s="17" t="s">
        <v>733</v>
      </c>
      <c r="D672" s="5"/>
    </row>
    <row r="673">
      <c r="A673" s="21" t="s">
        <v>733</v>
      </c>
      <c r="B673" s="17" t="s">
        <v>733</v>
      </c>
      <c r="C673" s="17" t="s">
        <v>733</v>
      </c>
      <c r="D673" s="5"/>
    </row>
    <row r="674">
      <c r="A674" s="21" t="s">
        <v>733</v>
      </c>
      <c r="B674" s="17" t="s">
        <v>733</v>
      </c>
      <c r="C674" s="17" t="s">
        <v>733</v>
      </c>
      <c r="D674" s="5"/>
    </row>
    <row r="675">
      <c r="A675" s="21" t="s">
        <v>733</v>
      </c>
      <c r="B675" s="17" t="s">
        <v>733</v>
      </c>
      <c r="C675" s="17" t="s">
        <v>733</v>
      </c>
      <c r="D675" s="5"/>
    </row>
    <row r="676">
      <c r="A676" s="21" t="s">
        <v>733</v>
      </c>
      <c r="B676" s="17" t="s">
        <v>733</v>
      </c>
      <c r="C676" s="17" t="s">
        <v>733</v>
      </c>
      <c r="D676" s="5"/>
    </row>
    <row r="677">
      <c r="A677" s="21" t="s">
        <v>733</v>
      </c>
      <c r="B677" s="17" t="s">
        <v>733</v>
      </c>
      <c r="C677" s="17" t="s">
        <v>733</v>
      </c>
      <c r="D677" s="5"/>
    </row>
    <row r="678">
      <c r="A678" s="21" t="s">
        <v>733</v>
      </c>
      <c r="B678" s="17" t="s">
        <v>733</v>
      </c>
      <c r="C678" s="17" t="s">
        <v>733</v>
      </c>
      <c r="D678" s="5"/>
    </row>
    <row r="679">
      <c r="A679" s="21" t="s">
        <v>733</v>
      </c>
      <c r="B679" s="17" t="s">
        <v>733</v>
      </c>
      <c r="C679" s="17" t="s">
        <v>733</v>
      </c>
      <c r="D679" s="5"/>
    </row>
    <row r="680">
      <c r="A680" s="21" t="s">
        <v>733</v>
      </c>
      <c r="B680" s="17" t="s">
        <v>733</v>
      </c>
      <c r="C680" s="17" t="s">
        <v>733</v>
      </c>
      <c r="D680" s="5"/>
    </row>
    <row r="681">
      <c r="A681" s="21" t="s">
        <v>733</v>
      </c>
      <c r="B681" s="17" t="s">
        <v>733</v>
      </c>
      <c r="C681" s="17" t="s">
        <v>733</v>
      </c>
      <c r="D681" s="5"/>
    </row>
    <row r="682">
      <c r="A682" s="21" t="s">
        <v>733</v>
      </c>
      <c r="B682" s="17" t="s">
        <v>733</v>
      </c>
      <c r="C682" s="17" t="s">
        <v>733</v>
      </c>
      <c r="D682" s="5"/>
    </row>
    <row r="683">
      <c r="A683" s="21" t="s">
        <v>733</v>
      </c>
      <c r="B683" s="17" t="s">
        <v>733</v>
      </c>
      <c r="C683" s="17" t="s">
        <v>733</v>
      </c>
      <c r="D683" s="5"/>
    </row>
    <row r="684">
      <c r="A684" s="21" t="s">
        <v>733</v>
      </c>
      <c r="B684" s="17" t="s">
        <v>733</v>
      </c>
      <c r="C684" s="17" t="s">
        <v>733</v>
      </c>
      <c r="D684" s="5"/>
    </row>
    <row r="685">
      <c r="A685" s="21" t="s">
        <v>733</v>
      </c>
      <c r="B685" s="17" t="s">
        <v>733</v>
      </c>
      <c r="C685" s="17" t="s">
        <v>733</v>
      </c>
      <c r="D685" s="5"/>
    </row>
    <row r="686">
      <c r="A686" s="21" t="s">
        <v>733</v>
      </c>
      <c r="B686" s="17" t="s">
        <v>733</v>
      </c>
      <c r="C686" s="17" t="s">
        <v>733</v>
      </c>
      <c r="D686" s="5"/>
    </row>
    <row r="687">
      <c r="A687" s="21" t="s">
        <v>733</v>
      </c>
      <c r="B687" s="17" t="s">
        <v>733</v>
      </c>
      <c r="C687" s="17" t="s">
        <v>733</v>
      </c>
      <c r="D687" s="5"/>
    </row>
    <row r="688">
      <c r="A688" s="21" t="s">
        <v>733</v>
      </c>
      <c r="B688" s="17" t="s">
        <v>733</v>
      </c>
      <c r="C688" s="17" t="s">
        <v>733</v>
      </c>
      <c r="D688" s="5"/>
    </row>
    <row r="689">
      <c r="A689" s="21" t="s">
        <v>733</v>
      </c>
      <c r="B689" s="17" t="s">
        <v>733</v>
      </c>
      <c r="C689" s="17" t="s">
        <v>733</v>
      </c>
      <c r="D689" s="5"/>
    </row>
    <row r="690">
      <c r="A690" s="21" t="s">
        <v>733</v>
      </c>
      <c r="B690" s="17" t="s">
        <v>733</v>
      </c>
      <c r="C690" s="17" t="s">
        <v>733</v>
      </c>
      <c r="D690" s="5"/>
    </row>
    <row r="691">
      <c r="A691" s="21" t="s">
        <v>733</v>
      </c>
      <c r="B691" s="17" t="s">
        <v>733</v>
      </c>
      <c r="C691" s="17" t="s">
        <v>733</v>
      </c>
      <c r="D691" s="5"/>
    </row>
    <row r="692">
      <c r="A692" s="21" t="s">
        <v>733</v>
      </c>
      <c r="B692" s="17" t="s">
        <v>733</v>
      </c>
      <c r="C692" s="17" t="s">
        <v>733</v>
      </c>
      <c r="D692" s="5"/>
    </row>
    <row r="693">
      <c r="A693" s="21" t="s">
        <v>733</v>
      </c>
      <c r="B693" s="17" t="s">
        <v>733</v>
      </c>
      <c r="C693" s="17" t="s">
        <v>733</v>
      </c>
      <c r="D693" s="5"/>
    </row>
    <row r="694">
      <c r="A694" s="21" t="s">
        <v>733</v>
      </c>
      <c r="B694" s="17" t="s">
        <v>733</v>
      </c>
      <c r="C694" s="17" t="s">
        <v>733</v>
      </c>
      <c r="D694" s="5"/>
    </row>
    <row r="695">
      <c r="A695" s="21" t="s">
        <v>733</v>
      </c>
      <c r="B695" s="17" t="s">
        <v>733</v>
      </c>
      <c r="C695" s="17" t="s">
        <v>733</v>
      </c>
      <c r="D695" s="5"/>
    </row>
    <row r="696">
      <c r="A696" s="21" t="s">
        <v>733</v>
      </c>
      <c r="B696" s="17" t="s">
        <v>733</v>
      </c>
      <c r="C696" s="17" t="s">
        <v>733</v>
      </c>
      <c r="D696" s="5"/>
    </row>
    <row r="697">
      <c r="A697" s="21" t="s">
        <v>733</v>
      </c>
      <c r="B697" s="17" t="s">
        <v>733</v>
      </c>
      <c r="C697" s="17" t="s">
        <v>733</v>
      </c>
      <c r="D697" s="5"/>
    </row>
    <row r="698">
      <c r="A698" s="21" t="s">
        <v>733</v>
      </c>
      <c r="B698" s="17" t="s">
        <v>733</v>
      </c>
      <c r="C698" s="17" t="s">
        <v>733</v>
      </c>
      <c r="D698" s="5"/>
    </row>
    <row r="699">
      <c r="A699" s="21" t="s">
        <v>733</v>
      </c>
      <c r="B699" s="17" t="s">
        <v>733</v>
      </c>
      <c r="C699" s="17" t="s">
        <v>733</v>
      </c>
      <c r="D699" s="5"/>
    </row>
    <row r="700">
      <c r="A700" s="21" t="s">
        <v>733</v>
      </c>
      <c r="B700" s="17" t="s">
        <v>733</v>
      </c>
      <c r="C700" s="17" t="s">
        <v>733</v>
      </c>
      <c r="D700" s="5"/>
    </row>
    <row r="701">
      <c r="A701" s="21" t="s">
        <v>733</v>
      </c>
      <c r="B701" s="17" t="s">
        <v>733</v>
      </c>
      <c r="C701" s="17" t="s">
        <v>733</v>
      </c>
      <c r="D701" s="5"/>
    </row>
    <row r="702">
      <c r="A702" s="21" t="s">
        <v>733</v>
      </c>
      <c r="B702" s="17" t="s">
        <v>733</v>
      </c>
      <c r="C702" s="17" t="s">
        <v>733</v>
      </c>
      <c r="D702" s="5"/>
    </row>
    <row r="703">
      <c r="A703" s="21" t="s">
        <v>733</v>
      </c>
      <c r="B703" s="17" t="s">
        <v>733</v>
      </c>
      <c r="C703" s="17" t="s">
        <v>733</v>
      </c>
      <c r="D703" s="5"/>
    </row>
    <row r="704">
      <c r="A704" s="21" t="s">
        <v>733</v>
      </c>
      <c r="B704" s="17" t="s">
        <v>733</v>
      </c>
      <c r="C704" s="17" t="s">
        <v>733</v>
      </c>
      <c r="D704" s="5"/>
    </row>
    <row r="705">
      <c r="A705" s="21" t="s">
        <v>733</v>
      </c>
      <c r="B705" s="17" t="s">
        <v>733</v>
      </c>
      <c r="C705" s="17" t="s">
        <v>733</v>
      </c>
      <c r="D705" s="5"/>
    </row>
    <row r="706">
      <c r="A706" s="21" t="s">
        <v>733</v>
      </c>
      <c r="B706" s="17" t="s">
        <v>733</v>
      </c>
      <c r="C706" s="17" t="s">
        <v>733</v>
      </c>
      <c r="D706" s="5"/>
    </row>
    <row r="707">
      <c r="A707" s="21" t="s">
        <v>733</v>
      </c>
      <c r="B707" s="17" t="s">
        <v>733</v>
      </c>
      <c r="C707" s="17" t="s">
        <v>733</v>
      </c>
      <c r="D707" s="5"/>
    </row>
    <row r="708">
      <c r="A708" s="21" t="s">
        <v>733</v>
      </c>
      <c r="B708" s="17" t="s">
        <v>733</v>
      </c>
      <c r="C708" s="17" t="s">
        <v>733</v>
      </c>
      <c r="D708" s="5"/>
    </row>
    <row r="709">
      <c r="A709" s="21" t="s">
        <v>733</v>
      </c>
      <c r="B709" s="17" t="s">
        <v>733</v>
      </c>
      <c r="C709" s="17" t="s">
        <v>733</v>
      </c>
      <c r="D709" s="5"/>
    </row>
    <row r="710">
      <c r="A710" s="21" t="s">
        <v>733</v>
      </c>
      <c r="B710" s="17" t="s">
        <v>733</v>
      </c>
      <c r="C710" s="17" t="s">
        <v>733</v>
      </c>
      <c r="D710" s="5"/>
    </row>
    <row r="711">
      <c r="A711" s="21" t="s">
        <v>733</v>
      </c>
      <c r="B711" s="17" t="s">
        <v>733</v>
      </c>
      <c r="C711" s="17" t="s">
        <v>733</v>
      </c>
      <c r="D711" s="5"/>
    </row>
    <row r="712">
      <c r="A712" s="21" t="s">
        <v>733</v>
      </c>
      <c r="B712" s="17" t="s">
        <v>733</v>
      </c>
      <c r="C712" s="17" t="s">
        <v>733</v>
      </c>
      <c r="D712" s="5"/>
    </row>
    <row r="713">
      <c r="A713" s="21" t="s">
        <v>733</v>
      </c>
      <c r="B713" s="17" t="s">
        <v>733</v>
      </c>
      <c r="C713" s="17" t="s">
        <v>733</v>
      </c>
      <c r="D713" s="5"/>
    </row>
    <row r="714">
      <c r="A714" s="21" t="s">
        <v>733</v>
      </c>
      <c r="B714" s="17" t="s">
        <v>733</v>
      </c>
      <c r="C714" s="17" t="s">
        <v>733</v>
      </c>
      <c r="D714" s="5"/>
    </row>
    <row r="715">
      <c r="A715" s="21" t="s">
        <v>733</v>
      </c>
      <c r="B715" s="17" t="s">
        <v>733</v>
      </c>
      <c r="C715" s="17" t="s">
        <v>733</v>
      </c>
      <c r="D715" s="5"/>
    </row>
    <row r="716">
      <c r="A716" s="21" t="s">
        <v>733</v>
      </c>
      <c r="B716" s="17" t="s">
        <v>733</v>
      </c>
      <c r="C716" s="17" t="s">
        <v>733</v>
      </c>
      <c r="D716" s="5"/>
    </row>
    <row r="717">
      <c r="A717" s="21" t="s">
        <v>733</v>
      </c>
      <c r="B717" s="17" t="s">
        <v>733</v>
      </c>
      <c r="C717" s="17" t="s">
        <v>733</v>
      </c>
      <c r="D717" s="5"/>
    </row>
    <row r="718">
      <c r="A718" s="21" t="s">
        <v>733</v>
      </c>
      <c r="B718" s="17" t="s">
        <v>733</v>
      </c>
      <c r="C718" s="17" t="s">
        <v>733</v>
      </c>
      <c r="D718" s="5"/>
    </row>
    <row r="719">
      <c r="A719" s="21" t="s">
        <v>733</v>
      </c>
      <c r="B719" s="17" t="s">
        <v>733</v>
      </c>
      <c r="C719" s="17" t="s">
        <v>733</v>
      </c>
      <c r="D719" s="5"/>
    </row>
    <row r="720">
      <c r="A720" s="21" t="s">
        <v>733</v>
      </c>
      <c r="B720" s="17" t="s">
        <v>733</v>
      </c>
      <c r="C720" s="17" t="s">
        <v>733</v>
      </c>
      <c r="D720" s="5"/>
    </row>
    <row r="721">
      <c r="A721" s="21" t="s">
        <v>733</v>
      </c>
      <c r="B721" s="17" t="s">
        <v>733</v>
      </c>
      <c r="C721" s="17" t="s">
        <v>733</v>
      </c>
      <c r="D721" s="5"/>
    </row>
    <row r="722">
      <c r="A722" s="21" t="s">
        <v>733</v>
      </c>
      <c r="B722" s="17" t="s">
        <v>733</v>
      </c>
      <c r="C722" s="17" t="s">
        <v>733</v>
      </c>
      <c r="D722" s="5"/>
    </row>
    <row r="723">
      <c r="A723" s="21" t="s">
        <v>733</v>
      </c>
      <c r="B723" s="17" t="s">
        <v>733</v>
      </c>
      <c r="C723" s="17" t="s">
        <v>733</v>
      </c>
      <c r="D723" s="5"/>
    </row>
    <row r="724">
      <c r="A724" s="21" t="s">
        <v>733</v>
      </c>
      <c r="B724" s="17" t="s">
        <v>733</v>
      </c>
      <c r="C724" s="17" t="s">
        <v>733</v>
      </c>
      <c r="D724" s="5"/>
    </row>
    <row r="725">
      <c r="A725" s="21" t="s">
        <v>733</v>
      </c>
      <c r="B725" s="17" t="s">
        <v>733</v>
      </c>
      <c r="C725" s="17" t="s">
        <v>733</v>
      </c>
      <c r="D725" s="5"/>
    </row>
    <row r="726">
      <c r="A726" s="21" t="s">
        <v>733</v>
      </c>
      <c r="B726" s="17" t="s">
        <v>733</v>
      </c>
      <c r="C726" s="17" t="s">
        <v>733</v>
      </c>
      <c r="D726" s="5"/>
    </row>
    <row r="727">
      <c r="A727" s="21" t="s">
        <v>733</v>
      </c>
      <c r="B727" s="17" t="s">
        <v>733</v>
      </c>
      <c r="C727" s="17" t="s">
        <v>733</v>
      </c>
      <c r="D727" s="5"/>
    </row>
    <row r="728">
      <c r="A728" s="21" t="s">
        <v>733</v>
      </c>
      <c r="B728" s="17" t="s">
        <v>733</v>
      </c>
      <c r="C728" s="17" t="s">
        <v>733</v>
      </c>
      <c r="D728" s="5"/>
    </row>
    <row r="729">
      <c r="A729" s="21" t="s">
        <v>733</v>
      </c>
      <c r="B729" s="17" t="s">
        <v>733</v>
      </c>
      <c r="C729" s="17" t="s">
        <v>733</v>
      </c>
      <c r="D729" s="5"/>
    </row>
    <row r="730">
      <c r="A730" s="21" t="s">
        <v>733</v>
      </c>
      <c r="B730" s="17" t="s">
        <v>733</v>
      </c>
      <c r="C730" s="17" t="s">
        <v>733</v>
      </c>
      <c r="D730" s="5"/>
    </row>
    <row r="731">
      <c r="A731" s="21" t="s">
        <v>733</v>
      </c>
      <c r="B731" s="17" t="s">
        <v>733</v>
      </c>
      <c r="C731" s="17" t="s">
        <v>733</v>
      </c>
      <c r="D731" s="5"/>
    </row>
    <row r="732">
      <c r="A732" s="21" t="s">
        <v>733</v>
      </c>
      <c r="B732" s="17" t="s">
        <v>733</v>
      </c>
      <c r="C732" s="17" t="s">
        <v>733</v>
      </c>
      <c r="D732" s="5"/>
    </row>
    <row r="733">
      <c r="A733" s="21" t="s">
        <v>733</v>
      </c>
      <c r="B733" s="17" t="s">
        <v>733</v>
      </c>
      <c r="C733" s="17" t="s">
        <v>733</v>
      </c>
      <c r="D733" s="5"/>
    </row>
    <row r="734">
      <c r="A734" s="21" t="s">
        <v>733</v>
      </c>
      <c r="B734" s="17" t="s">
        <v>733</v>
      </c>
      <c r="C734" s="17" t="s">
        <v>733</v>
      </c>
      <c r="D734" s="5"/>
    </row>
    <row r="735">
      <c r="A735" s="21" t="s">
        <v>733</v>
      </c>
      <c r="B735" s="17" t="s">
        <v>733</v>
      </c>
      <c r="C735" s="17" t="s">
        <v>733</v>
      </c>
      <c r="D735" s="5"/>
    </row>
    <row r="736">
      <c r="A736" s="21" t="s">
        <v>733</v>
      </c>
      <c r="B736" s="17" t="s">
        <v>733</v>
      </c>
      <c r="C736" s="17" t="s">
        <v>733</v>
      </c>
      <c r="D736" s="5"/>
    </row>
    <row r="737">
      <c r="A737" s="21" t="s">
        <v>733</v>
      </c>
      <c r="B737" s="17" t="s">
        <v>733</v>
      </c>
      <c r="C737" s="17" t="s">
        <v>733</v>
      </c>
      <c r="D737" s="5"/>
    </row>
    <row r="738">
      <c r="A738" s="21" t="s">
        <v>733</v>
      </c>
      <c r="B738" s="17" t="s">
        <v>733</v>
      </c>
      <c r="C738" s="17" t="s">
        <v>733</v>
      </c>
      <c r="D738" s="5"/>
    </row>
    <row r="739">
      <c r="A739" s="21" t="s">
        <v>733</v>
      </c>
      <c r="B739" s="17" t="s">
        <v>733</v>
      </c>
      <c r="C739" s="17" t="s">
        <v>733</v>
      </c>
      <c r="D739" s="5"/>
    </row>
    <row r="740">
      <c r="A740" s="21" t="s">
        <v>733</v>
      </c>
      <c r="B740" s="17" t="s">
        <v>733</v>
      </c>
      <c r="C740" s="17" t="s">
        <v>733</v>
      </c>
      <c r="D740" s="5"/>
    </row>
    <row r="741">
      <c r="A741" s="21" t="s">
        <v>733</v>
      </c>
      <c r="B741" s="17" t="s">
        <v>733</v>
      </c>
      <c r="C741" s="17" t="s">
        <v>733</v>
      </c>
      <c r="D741" s="5"/>
    </row>
    <row r="742">
      <c r="A742" s="21" t="s">
        <v>733</v>
      </c>
      <c r="B742" s="17" t="s">
        <v>733</v>
      </c>
      <c r="C742" s="17" t="s">
        <v>733</v>
      </c>
      <c r="D742" s="5"/>
    </row>
    <row r="743">
      <c r="A743" s="21" t="s">
        <v>733</v>
      </c>
      <c r="B743" s="17" t="s">
        <v>733</v>
      </c>
      <c r="C743" s="17" t="s">
        <v>733</v>
      </c>
      <c r="D743" s="5"/>
    </row>
    <row r="744">
      <c r="A744" s="21" t="s">
        <v>733</v>
      </c>
      <c r="B744" s="17" t="s">
        <v>733</v>
      </c>
      <c r="C744" s="17" t="s">
        <v>733</v>
      </c>
      <c r="D744" s="5"/>
    </row>
    <row r="745">
      <c r="A745" s="21" t="s">
        <v>733</v>
      </c>
      <c r="B745" s="17" t="s">
        <v>733</v>
      </c>
      <c r="C745" s="17" t="s">
        <v>733</v>
      </c>
      <c r="D745" s="5"/>
    </row>
    <row r="746">
      <c r="A746" s="21" t="s">
        <v>733</v>
      </c>
      <c r="B746" s="17" t="s">
        <v>733</v>
      </c>
      <c r="C746" s="17" t="s">
        <v>733</v>
      </c>
      <c r="D746" s="5"/>
    </row>
    <row r="747">
      <c r="A747" s="21" t="s">
        <v>733</v>
      </c>
      <c r="B747" s="17" t="s">
        <v>733</v>
      </c>
      <c r="C747" s="17" t="s">
        <v>733</v>
      </c>
      <c r="D747" s="5"/>
    </row>
    <row r="748">
      <c r="A748" s="21" t="s">
        <v>733</v>
      </c>
      <c r="B748" s="17" t="s">
        <v>733</v>
      </c>
      <c r="C748" s="17" t="s">
        <v>733</v>
      </c>
      <c r="D748" s="5"/>
    </row>
    <row r="749">
      <c r="A749" s="21" t="s">
        <v>733</v>
      </c>
      <c r="B749" s="17" t="s">
        <v>733</v>
      </c>
      <c r="C749" s="17" t="s">
        <v>733</v>
      </c>
      <c r="D749" s="5"/>
    </row>
    <row r="750">
      <c r="A750" s="21" t="s">
        <v>733</v>
      </c>
      <c r="B750" s="17" t="s">
        <v>733</v>
      </c>
      <c r="C750" s="17" t="s">
        <v>733</v>
      </c>
      <c r="D750" s="5"/>
    </row>
    <row r="751">
      <c r="A751" s="21" t="s">
        <v>733</v>
      </c>
      <c r="B751" s="17" t="s">
        <v>733</v>
      </c>
      <c r="C751" s="17" t="s">
        <v>733</v>
      </c>
      <c r="D751" s="5"/>
    </row>
    <row r="752">
      <c r="A752" s="21" t="s">
        <v>733</v>
      </c>
      <c r="B752" s="17" t="s">
        <v>733</v>
      </c>
      <c r="C752" s="17" t="s">
        <v>733</v>
      </c>
      <c r="D752" s="5"/>
    </row>
    <row r="753">
      <c r="A753" s="21" t="s">
        <v>733</v>
      </c>
      <c r="B753" s="17" t="s">
        <v>733</v>
      </c>
      <c r="C753" s="17" t="s">
        <v>733</v>
      </c>
      <c r="D753" s="5"/>
    </row>
    <row r="754">
      <c r="A754" s="21" t="s">
        <v>733</v>
      </c>
      <c r="B754" s="17" t="s">
        <v>733</v>
      </c>
      <c r="C754" s="17" t="s">
        <v>733</v>
      </c>
      <c r="D754" s="5"/>
    </row>
    <row r="755">
      <c r="A755" s="21" t="s">
        <v>733</v>
      </c>
      <c r="B755" s="17" t="s">
        <v>733</v>
      </c>
      <c r="C755" s="17" t="s">
        <v>733</v>
      </c>
      <c r="D755" s="5"/>
    </row>
    <row r="756">
      <c r="A756" s="21" t="s">
        <v>733</v>
      </c>
      <c r="B756" s="17" t="s">
        <v>733</v>
      </c>
      <c r="C756" s="17" t="s">
        <v>733</v>
      </c>
      <c r="D756" s="5"/>
    </row>
    <row r="757">
      <c r="A757" s="21" t="s">
        <v>733</v>
      </c>
      <c r="B757" s="17" t="s">
        <v>733</v>
      </c>
      <c r="C757" s="17" t="s">
        <v>733</v>
      </c>
      <c r="D757" s="5"/>
    </row>
    <row r="758">
      <c r="A758" s="21" t="s">
        <v>733</v>
      </c>
      <c r="B758" s="17" t="s">
        <v>733</v>
      </c>
      <c r="C758" s="17" t="s">
        <v>733</v>
      </c>
      <c r="D758" s="5"/>
    </row>
    <row r="759">
      <c r="A759" s="21" t="s">
        <v>733</v>
      </c>
      <c r="B759" s="17" t="s">
        <v>733</v>
      </c>
      <c r="C759" s="17" t="s">
        <v>733</v>
      </c>
      <c r="D759" s="5"/>
    </row>
    <row r="760">
      <c r="A760" s="21" t="s">
        <v>733</v>
      </c>
      <c r="B760" s="17" t="s">
        <v>733</v>
      </c>
      <c r="C760" s="17" t="s">
        <v>733</v>
      </c>
      <c r="D760" s="5"/>
    </row>
    <row r="761">
      <c r="A761" s="21" t="s">
        <v>733</v>
      </c>
      <c r="B761" s="17" t="s">
        <v>733</v>
      </c>
      <c r="C761" s="17" t="s">
        <v>733</v>
      </c>
      <c r="D761" s="5"/>
    </row>
    <row r="762">
      <c r="A762" s="21" t="s">
        <v>733</v>
      </c>
      <c r="B762" s="17" t="s">
        <v>733</v>
      </c>
      <c r="C762" s="17" t="s">
        <v>733</v>
      </c>
      <c r="D762" s="5"/>
    </row>
    <row r="763">
      <c r="A763" s="21" t="s">
        <v>733</v>
      </c>
      <c r="B763" s="17" t="s">
        <v>733</v>
      </c>
      <c r="C763" s="17" t="s">
        <v>733</v>
      </c>
      <c r="D763" s="5"/>
    </row>
    <row r="764">
      <c r="A764" s="21" t="s">
        <v>733</v>
      </c>
      <c r="B764" s="17" t="s">
        <v>733</v>
      </c>
      <c r="C764" s="17" t="s">
        <v>733</v>
      </c>
      <c r="D764" s="5"/>
    </row>
    <row r="765">
      <c r="A765" s="21" t="s">
        <v>733</v>
      </c>
      <c r="B765" s="17" t="s">
        <v>733</v>
      </c>
      <c r="C765" s="17" t="s">
        <v>733</v>
      </c>
      <c r="D765" s="5"/>
    </row>
    <row r="766">
      <c r="A766" s="21" t="s">
        <v>733</v>
      </c>
      <c r="B766" s="17" t="s">
        <v>733</v>
      </c>
      <c r="C766" s="17" t="s">
        <v>733</v>
      </c>
      <c r="D766" s="5"/>
    </row>
    <row r="767">
      <c r="A767" s="21" t="s">
        <v>733</v>
      </c>
      <c r="B767" s="17" t="s">
        <v>733</v>
      </c>
      <c r="C767" s="17" t="s">
        <v>733</v>
      </c>
      <c r="D767" s="5"/>
    </row>
    <row r="768">
      <c r="A768" s="21" t="s">
        <v>733</v>
      </c>
      <c r="B768" s="17" t="s">
        <v>733</v>
      </c>
      <c r="C768" s="17" t="s">
        <v>733</v>
      </c>
      <c r="D768" s="5"/>
    </row>
    <row r="769">
      <c r="A769" s="21" t="s">
        <v>733</v>
      </c>
      <c r="B769" s="17" t="s">
        <v>733</v>
      </c>
      <c r="C769" s="17" t="s">
        <v>733</v>
      </c>
      <c r="D769" s="5"/>
    </row>
    <row r="770">
      <c r="A770" s="21" t="s">
        <v>733</v>
      </c>
      <c r="B770" s="17" t="s">
        <v>733</v>
      </c>
      <c r="C770" s="17" t="s">
        <v>733</v>
      </c>
      <c r="D770" s="5"/>
    </row>
    <row r="771">
      <c r="A771" s="21" t="s">
        <v>733</v>
      </c>
      <c r="B771" s="17" t="s">
        <v>733</v>
      </c>
      <c r="C771" s="17" t="s">
        <v>733</v>
      </c>
      <c r="D771" s="5"/>
    </row>
    <row r="772">
      <c r="A772" s="21" t="s">
        <v>733</v>
      </c>
      <c r="B772" s="17" t="s">
        <v>733</v>
      </c>
      <c r="C772" s="17" t="s">
        <v>733</v>
      </c>
      <c r="D772" s="5"/>
    </row>
    <row r="773">
      <c r="A773" s="21" t="s">
        <v>733</v>
      </c>
      <c r="B773" s="17" t="s">
        <v>733</v>
      </c>
      <c r="C773" s="17" t="s">
        <v>733</v>
      </c>
      <c r="D773" s="5"/>
    </row>
    <row r="774">
      <c r="A774" s="21" t="s">
        <v>733</v>
      </c>
      <c r="B774" s="17" t="s">
        <v>733</v>
      </c>
      <c r="C774" s="17" t="s">
        <v>733</v>
      </c>
      <c r="D774" s="5"/>
    </row>
    <row r="775">
      <c r="A775" s="21" t="s">
        <v>733</v>
      </c>
      <c r="B775" s="17" t="s">
        <v>733</v>
      </c>
      <c r="C775" s="17" t="s">
        <v>733</v>
      </c>
      <c r="D775" s="5"/>
    </row>
    <row r="776">
      <c r="A776" s="21" t="s">
        <v>733</v>
      </c>
      <c r="B776" s="17" t="s">
        <v>733</v>
      </c>
      <c r="C776" s="17" t="s">
        <v>733</v>
      </c>
      <c r="D776" s="5"/>
    </row>
    <row r="777">
      <c r="A777" s="21" t="s">
        <v>733</v>
      </c>
      <c r="B777" s="17" t="s">
        <v>733</v>
      </c>
      <c r="C777" s="17" t="s">
        <v>733</v>
      </c>
      <c r="D777" s="5"/>
    </row>
    <row r="778">
      <c r="A778" s="21" t="s">
        <v>733</v>
      </c>
      <c r="B778" s="17" t="s">
        <v>733</v>
      </c>
      <c r="C778" s="17" t="s">
        <v>733</v>
      </c>
      <c r="D778" s="5"/>
    </row>
    <row r="779">
      <c r="A779" s="21" t="s">
        <v>733</v>
      </c>
      <c r="B779" s="17" t="s">
        <v>733</v>
      </c>
      <c r="C779" s="17" t="s">
        <v>733</v>
      </c>
      <c r="D779" s="5"/>
    </row>
    <row r="780">
      <c r="A780" s="21" t="s">
        <v>733</v>
      </c>
      <c r="B780" s="17" t="s">
        <v>733</v>
      </c>
      <c r="C780" s="17" t="s">
        <v>733</v>
      </c>
      <c r="D780" s="5"/>
    </row>
    <row r="781">
      <c r="A781" s="21" t="s">
        <v>733</v>
      </c>
      <c r="B781" s="17" t="s">
        <v>733</v>
      </c>
      <c r="C781" s="17" t="s">
        <v>733</v>
      </c>
      <c r="D781" s="5"/>
    </row>
    <row r="782">
      <c r="A782" s="21" t="s">
        <v>733</v>
      </c>
      <c r="B782" s="17" t="s">
        <v>733</v>
      </c>
      <c r="C782" s="17" t="s">
        <v>733</v>
      </c>
      <c r="D782" s="5"/>
    </row>
    <row r="783">
      <c r="A783" s="21" t="s">
        <v>733</v>
      </c>
      <c r="B783" s="17" t="s">
        <v>733</v>
      </c>
      <c r="C783" s="17" t="s">
        <v>733</v>
      </c>
      <c r="D783" s="5"/>
    </row>
    <row r="784">
      <c r="A784" s="21" t="s">
        <v>733</v>
      </c>
      <c r="B784" s="17" t="s">
        <v>733</v>
      </c>
      <c r="C784" s="17" t="s">
        <v>733</v>
      </c>
      <c r="D784" s="5"/>
    </row>
    <row r="785">
      <c r="A785" s="21" t="s">
        <v>733</v>
      </c>
      <c r="B785" s="17" t="s">
        <v>733</v>
      </c>
      <c r="C785" s="17" t="s">
        <v>733</v>
      </c>
      <c r="D785" s="5"/>
    </row>
    <row r="786">
      <c r="A786" s="21" t="s">
        <v>733</v>
      </c>
      <c r="B786" s="17" t="s">
        <v>733</v>
      </c>
      <c r="C786" s="17" t="s">
        <v>733</v>
      </c>
      <c r="D786" s="5"/>
    </row>
    <row r="787">
      <c r="A787" s="21" t="s">
        <v>733</v>
      </c>
      <c r="B787" s="17" t="s">
        <v>733</v>
      </c>
      <c r="C787" s="17" t="s">
        <v>733</v>
      </c>
      <c r="D787" s="5"/>
    </row>
    <row r="788">
      <c r="A788" s="21" t="s">
        <v>733</v>
      </c>
      <c r="B788" s="17" t="s">
        <v>733</v>
      </c>
      <c r="C788" s="17" t="s">
        <v>733</v>
      </c>
      <c r="D788" s="5"/>
    </row>
    <row r="789">
      <c r="A789" s="21" t="s">
        <v>733</v>
      </c>
      <c r="B789" s="17" t="s">
        <v>733</v>
      </c>
      <c r="C789" s="17" t="s">
        <v>733</v>
      </c>
      <c r="D789" s="5"/>
    </row>
    <row r="790">
      <c r="A790" s="21" t="s">
        <v>733</v>
      </c>
      <c r="B790" s="17" t="s">
        <v>733</v>
      </c>
      <c r="C790" s="17" t="s">
        <v>733</v>
      </c>
      <c r="D790" s="5"/>
    </row>
    <row r="791">
      <c r="A791" s="21" t="s">
        <v>733</v>
      </c>
      <c r="B791" s="17" t="s">
        <v>733</v>
      </c>
      <c r="C791" s="17" t="s">
        <v>733</v>
      </c>
      <c r="D791" s="5"/>
    </row>
    <row r="792">
      <c r="A792" s="21" t="s">
        <v>733</v>
      </c>
      <c r="B792" s="17" t="s">
        <v>733</v>
      </c>
      <c r="C792" s="17" t="s">
        <v>733</v>
      </c>
      <c r="D792" s="5"/>
    </row>
    <row r="793">
      <c r="A793" s="21" t="s">
        <v>733</v>
      </c>
      <c r="B793" s="17" t="s">
        <v>733</v>
      </c>
      <c r="C793" s="17" t="s">
        <v>733</v>
      </c>
      <c r="D793" s="5"/>
    </row>
    <row r="794">
      <c r="A794" s="21" t="s">
        <v>733</v>
      </c>
      <c r="B794" s="17" t="s">
        <v>733</v>
      </c>
      <c r="C794" s="17" t="s">
        <v>733</v>
      </c>
      <c r="D794" s="5"/>
    </row>
    <row r="795">
      <c r="A795" s="21" t="s">
        <v>733</v>
      </c>
      <c r="B795" s="17" t="s">
        <v>733</v>
      </c>
      <c r="C795" s="17" t="s">
        <v>733</v>
      </c>
      <c r="D795" s="5"/>
    </row>
    <row r="796">
      <c r="A796" s="21" t="s">
        <v>733</v>
      </c>
      <c r="B796" s="17" t="s">
        <v>733</v>
      </c>
      <c r="C796" s="17" t="s">
        <v>733</v>
      </c>
      <c r="D796" s="5"/>
    </row>
    <row r="797">
      <c r="A797" s="21" t="s">
        <v>733</v>
      </c>
      <c r="B797" s="17" t="s">
        <v>733</v>
      </c>
      <c r="C797" s="17" t="s">
        <v>733</v>
      </c>
      <c r="D797" s="5"/>
    </row>
    <row r="798">
      <c r="A798" s="21" t="s">
        <v>733</v>
      </c>
      <c r="B798" s="17" t="s">
        <v>733</v>
      </c>
      <c r="C798" s="17" t="s">
        <v>733</v>
      </c>
      <c r="D798" s="5"/>
    </row>
    <row r="799">
      <c r="A799" s="21" t="s">
        <v>733</v>
      </c>
      <c r="B799" s="17" t="s">
        <v>733</v>
      </c>
      <c r="C799" s="17" t="s">
        <v>733</v>
      </c>
      <c r="D799" s="5"/>
    </row>
    <row r="800">
      <c r="A800" s="21" t="s">
        <v>733</v>
      </c>
      <c r="B800" s="17" t="s">
        <v>733</v>
      </c>
      <c r="C800" s="17" t="s">
        <v>733</v>
      </c>
      <c r="D800" s="5"/>
    </row>
    <row r="801">
      <c r="A801" s="21" t="s">
        <v>733</v>
      </c>
      <c r="B801" s="17" t="s">
        <v>733</v>
      </c>
      <c r="C801" s="17" t="s">
        <v>733</v>
      </c>
      <c r="D801" s="5"/>
    </row>
    <row r="802">
      <c r="A802" s="21" t="s">
        <v>733</v>
      </c>
      <c r="B802" s="17" t="s">
        <v>733</v>
      </c>
      <c r="C802" s="17" t="s">
        <v>733</v>
      </c>
      <c r="D802" s="5"/>
    </row>
    <row r="803">
      <c r="A803" s="21" t="s">
        <v>733</v>
      </c>
      <c r="B803" s="17" t="s">
        <v>733</v>
      </c>
      <c r="C803" s="17" t="s">
        <v>733</v>
      </c>
      <c r="D803" s="5"/>
    </row>
    <row r="804">
      <c r="A804" s="21" t="s">
        <v>733</v>
      </c>
      <c r="B804" s="17" t="s">
        <v>733</v>
      </c>
      <c r="C804" s="17" t="s">
        <v>733</v>
      </c>
      <c r="D804" s="5"/>
    </row>
    <row r="805">
      <c r="A805" s="21" t="s">
        <v>733</v>
      </c>
      <c r="B805" s="17" t="s">
        <v>733</v>
      </c>
      <c r="C805" s="17" t="s">
        <v>733</v>
      </c>
      <c r="D805" s="5"/>
    </row>
    <row r="806">
      <c r="A806" s="21" t="s">
        <v>733</v>
      </c>
      <c r="B806" s="17" t="s">
        <v>733</v>
      </c>
      <c r="C806" s="17" t="s">
        <v>733</v>
      </c>
      <c r="D806" s="5"/>
    </row>
    <row r="807">
      <c r="A807" s="21" t="s">
        <v>733</v>
      </c>
      <c r="B807" s="17" t="s">
        <v>733</v>
      </c>
      <c r="C807" s="17" t="s">
        <v>733</v>
      </c>
      <c r="D807" s="5"/>
    </row>
    <row r="808">
      <c r="A808" s="21" t="s">
        <v>733</v>
      </c>
      <c r="B808" s="17" t="s">
        <v>733</v>
      </c>
      <c r="C808" s="17" t="s">
        <v>733</v>
      </c>
      <c r="D808" s="5"/>
    </row>
    <row r="809">
      <c r="A809" s="21" t="s">
        <v>733</v>
      </c>
      <c r="B809" s="17" t="s">
        <v>733</v>
      </c>
      <c r="C809" s="17" t="s">
        <v>733</v>
      </c>
      <c r="D809" s="5"/>
    </row>
    <row r="810">
      <c r="A810" s="21" t="s">
        <v>733</v>
      </c>
      <c r="B810" s="17" t="s">
        <v>733</v>
      </c>
      <c r="C810" s="17" t="s">
        <v>733</v>
      </c>
      <c r="D810" s="5"/>
    </row>
    <row r="811">
      <c r="A811" s="21" t="s">
        <v>733</v>
      </c>
      <c r="B811" s="17" t="s">
        <v>733</v>
      </c>
      <c r="C811" s="17" t="s">
        <v>733</v>
      </c>
      <c r="D811" s="5"/>
    </row>
    <row r="812">
      <c r="A812" s="21" t="s">
        <v>733</v>
      </c>
      <c r="B812" s="17" t="s">
        <v>733</v>
      </c>
      <c r="C812" s="17" t="s">
        <v>733</v>
      </c>
      <c r="D812" s="5"/>
    </row>
    <row r="813">
      <c r="A813" s="21" t="s">
        <v>733</v>
      </c>
      <c r="B813" s="17" t="s">
        <v>733</v>
      </c>
      <c r="C813" s="17" t="s">
        <v>733</v>
      </c>
      <c r="D813" s="5"/>
    </row>
    <row r="814">
      <c r="A814" s="21" t="s">
        <v>733</v>
      </c>
      <c r="B814" s="17" t="s">
        <v>733</v>
      </c>
      <c r="C814" s="17" t="s">
        <v>733</v>
      </c>
      <c r="D814" s="5"/>
    </row>
    <row r="815">
      <c r="A815" s="21" t="s">
        <v>733</v>
      </c>
      <c r="B815" s="17" t="s">
        <v>733</v>
      </c>
      <c r="C815" s="17" t="s">
        <v>733</v>
      </c>
      <c r="D815" s="5"/>
    </row>
    <row r="816">
      <c r="A816" s="21" t="s">
        <v>733</v>
      </c>
      <c r="B816" s="17" t="s">
        <v>733</v>
      </c>
      <c r="C816" s="17" t="s">
        <v>733</v>
      </c>
      <c r="D816" s="5"/>
    </row>
    <row r="817">
      <c r="A817" s="21" t="s">
        <v>733</v>
      </c>
      <c r="B817" s="17" t="s">
        <v>733</v>
      </c>
      <c r="C817" s="17" t="s">
        <v>733</v>
      </c>
      <c r="D817" s="5"/>
    </row>
    <row r="818">
      <c r="A818" s="21" t="s">
        <v>733</v>
      </c>
      <c r="B818" s="17" t="s">
        <v>733</v>
      </c>
      <c r="C818" s="17" t="s">
        <v>733</v>
      </c>
      <c r="D818" s="5"/>
    </row>
    <row r="819">
      <c r="A819" s="21" t="s">
        <v>733</v>
      </c>
      <c r="B819" s="17" t="s">
        <v>733</v>
      </c>
      <c r="C819" s="17" t="s">
        <v>733</v>
      </c>
      <c r="D819" s="5"/>
    </row>
    <row r="820">
      <c r="A820" s="21" t="s">
        <v>733</v>
      </c>
      <c r="B820" s="17" t="s">
        <v>733</v>
      </c>
      <c r="C820" s="17" t="s">
        <v>733</v>
      </c>
      <c r="D820" s="5"/>
    </row>
    <row r="821">
      <c r="A821" s="21" t="s">
        <v>733</v>
      </c>
      <c r="B821" s="17" t="s">
        <v>733</v>
      </c>
      <c r="C821" s="17" t="s">
        <v>733</v>
      </c>
      <c r="D821" s="5"/>
    </row>
    <row r="822">
      <c r="A822" s="21" t="s">
        <v>733</v>
      </c>
      <c r="B822" s="17" t="s">
        <v>733</v>
      </c>
      <c r="C822" s="17" t="s">
        <v>733</v>
      </c>
      <c r="D822" s="5"/>
    </row>
    <row r="823">
      <c r="A823" s="21" t="s">
        <v>733</v>
      </c>
      <c r="B823" s="17" t="s">
        <v>733</v>
      </c>
      <c r="C823" s="17" t="s">
        <v>733</v>
      </c>
      <c r="D823" s="5"/>
    </row>
    <row r="824">
      <c r="A824" s="21" t="s">
        <v>733</v>
      </c>
      <c r="B824" s="17" t="s">
        <v>733</v>
      </c>
      <c r="C824" s="17" t="s">
        <v>733</v>
      </c>
      <c r="D824" s="5"/>
    </row>
    <row r="825">
      <c r="A825" s="21" t="s">
        <v>733</v>
      </c>
      <c r="B825" s="17" t="s">
        <v>733</v>
      </c>
      <c r="C825" s="17" t="s">
        <v>733</v>
      </c>
      <c r="D825" s="5"/>
    </row>
    <row r="826">
      <c r="A826" s="21" t="s">
        <v>733</v>
      </c>
      <c r="B826" s="17" t="s">
        <v>733</v>
      </c>
      <c r="C826" s="17" t="s">
        <v>733</v>
      </c>
      <c r="D826" s="5"/>
    </row>
    <row r="827">
      <c r="A827" s="21" t="s">
        <v>733</v>
      </c>
      <c r="B827" s="17" t="s">
        <v>733</v>
      </c>
      <c r="C827" s="17" t="s">
        <v>733</v>
      </c>
      <c r="D827" s="5"/>
    </row>
    <row r="828">
      <c r="A828" s="21" t="s">
        <v>733</v>
      </c>
      <c r="B828" s="17" t="s">
        <v>733</v>
      </c>
      <c r="C828" s="17" t="s">
        <v>733</v>
      </c>
      <c r="D828" s="5"/>
    </row>
    <row r="829">
      <c r="A829" s="21" t="s">
        <v>733</v>
      </c>
      <c r="B829" s="17" t="s">
        <v>733</v>
      </c>
      <c r="C829" s="17" t="s">
        <v>733</v>
      </c>
      <c r="D829" s="5"/>
    </row>
    <row r="830">
      <c r="A830" s="21" t="s">
        <v>733</v>
      </c>
      <c r="B830" s="17" t="s">
        <v>733</v>
      </c>
      <c r="C830" s="17" t="s">
        <v>733</v>
      </c>
      <c r="D830" s="5"/>
    </row>
    <row r="831">
      <c r="A831" s="21" t="s">
        <v>733</v>
      </c>
      <c r="B831" s="17" t="s">
        <v>733</v>
      </c>
      <c r="C831" s="17" t="s">
        <v>733</v>
      </c>
      <c r="D831" s="5"/>
    </row>
    <row r="832">
      <c r="A832" s="21" t="s">
        <v>733</v>
      </c>
      <c r="B832" s="17" t="s">
        <v>733</v>
      </c>
      <c r="C832" s="17" t="s">
        <v>733</v>
      </c>
      <c r="D832" s="5"/>
    </row>
    <row r="833">
      <c r="A833" s="21" t="s">
        <v>733</v>
      </c>
      <c r="B833" s="17" t="s">
        <v>733</v>
      </c>
      <c r="C833" s="17" t="s">
        <v>733</v>
      </c>
      <c r="D833" s="5"/>
    </row>
    <row r="834">
      <c r="A834" s="21" t="s">
        <v>733</v>
      </c>
      <c r="B834" s="17" t="s">
        <v>733</v>
      </c>
      <c r="C834" s="17" t="s">
        <v>733</v>
      </c>
      <c r="D834" s="5"/>
    </row>
    <row r="835">
      <c r="A835" s="21" t="s">
        <v>733</v>
      </c>
      <c r="B835" s="17" t="s">
        <v>733</v>
      </c>
      <c r="C835" s="17" t="s">
        <v>733</v>
      </c>
      <c r="D835" s="5"/>
    </row>
    <row r="836">
      <c r="A836" s="21" t="s">
        <v>733</v>
      </c>
      <c r="B836" s="17" t="s">
        <v>733</v>
      </c>
      <c r="C836" s="17" t="s">
        <v>733</v>
      </c>
      <c r="D836" s="5"/>
    </row>
    <row r="837">
      <c r="A837" s="21" t="s">
        <v>733</v>
      </c>
      <c r="B837" s="17" t="s">
        <v>733</v>
      </c>
      <c r="C837" s="17" t="s">
        <v>733</v>
      </c>
      <c r="D837" s="5"/>
    </row>
    <row r="838">
      <c r="A838" s="21" t="s">
        <v>733</v>
      </c>
      <c r="B838" s="17" t="s">
        <v>733</v>
      </c>
      <c r="C838" s="17" t="s">
        <v>733</v>
      </c>
      <c r="D838" s="5"/>
    </row>
    <row r="839">
      <c r="A839" s="21" t="s">
        <v>733</v>
      </c>
      <c r="B839" s="17" t="s">
        <v>733</v>
      </c>
      <c r="C839" s="17" t="s">
        <v>733</v>
      </c>
      <c r="D839" s="5"/>
    </row>
    <row r="840">
      <c r="A840" s="21" t="s">
        <v>733</v>
      </c>
      <c r="B840" s="17" t="s">
        <v>733</v>
      </c>
      <c r="C840" s="17" t="s">
        <v>733</v>
      </c>
      <c r="D840" s="5"/>
    </row>
    <row r="841">
      <c r="A841" s="21" t="s">
        <v>733</v>
      </c>
      <c r="B841" s="17" t="s">
        <v>733</v>
      </c>
      <c r="C841" s="17" t="s">
        <v>733</v>
      </c>
      <c r="D841" s="5"/>
    </row>
    <row r="842">
      <c r="A842" s="21" t="s">
        <v>733</v>
      </c>
      <c r="B842" s="17" t="s">
        <v>733</v>
      </c>
      <c r="C842" s="17" t="s">
        <v>733</v>
      </c>
      <c r="D842" s="5"/>
    </row>
    <row r="843">
      <c r="A843" s="21" t="s">
        <v>733</v>
      </c>
      <c r="B843" s="17" t="s">
        <v>733</v>
      </c>
      <c r="C843" s="17" t="s">
        <v>733</v>
      </c>
      <c r="D843" s="5"/>
    </row>
    <row r="844">
      <c r="A844" s="21" t="s">
        <v>733</v>
      </c>
      <c r="B844" s="17" t="s">
        <v>733</v>
      </c>
      <c r="C844" s="17" t="s">
        <v>733</v>
      </c>
      <c r="D844" s="5"/>
    </row>
    <row r="845">
      <c r="A845" s="21" t="s">
        <v>733</v>
      </c>
      <c r="B845" s="17" t="s">
        <v>733</v>
      </c>
      <c r="C845" s="17" t="s">
        <v>733</v>
      </c>
      <c r="D845" s="5"/>
    </row>
    <row r="846">
      <c r="A846" s="21" t="s">
        <v>733</v>
      </c>
      <c r="B846" s="17" t="s">
        <v>733</v>
      </c>
      <c r="C846" s="17" t="s">
        <v>733</v>
      </c>
      <c r="D846" s="5"/>
    </row>
    <row r="847">
      <c r="A847" s="21" t="s">
        <v>733</v>
      </c>
      <c r="B847" s="17" t="s">
        <v>733</v>
      </c>
      <c r="C847" s="17" t="s">
        <v>733</v>
      </c>
      <c r="D847" s="5"/>
    </row>
    <row r="848">
      <c r="A848" s="21" t="s">
        <v>733</v>
      </c>
      <c r="B848" s="17" t="s">
        <v>733</v>
      </c>
      <c r="C848" s="17" t="s">
        <v>733</v>
      </c>
      <c r="D848" s="5"/>
    </row>
    <row r="849">
      <c r="A849" s="21" t="s">
        <v>733</v>
      </c>
      <c r="B849" s="17" t="s">
        <v>733</v>
      </c>
      <c r="C849" s="17" t="s">
        <v>733</v>
      </c>
      <c r="D849" s="5"/>
    </row>
    <row r="850">
      <c r="A850" s="21" t="s">
        <v>733</v>
      </c>
      <c r="B850" s="17" t="s">
        <v>733</v>
      </c>
      <c r="C850" s="17" t="s">
        <v>733</v>
      </c>
      <c r="D850" s="5"/>
    </row>
    <row r="851">
      <c r="A851" s="21" t="s">
        <v>733</v>
      </c>
      <c r="B851" s="17" t="s">
        <v>733</v>
      </c>
      <c r="C851" s="17" t="s">
        <v>733</v>
      </c>
      <c r="D851" s="5"/>
    </row>
    <row r="852">
      <c r="A852" s="21" t="s">
        <v>733</v>
      </c>
      <c r="B852" s="17" t="s">
        <v>733</v>
      </c>
      <c r="C852" s="17" t="s">
        <v>733</v>
      </c>
      <c r="D852" s="5"/>
    </row>
    <row r="853">
      <c r="A853" s="21" t="s">
        <v>733</v>
      </c>
      <c r="B853" s="17" t="s">
        <v>733</v>
      </c>
      <c r="C853" s="17" t="s">
        <v>733</v>
      </c>
      <c r="D853" s="5"/>
    </row>
    <row r="854">
      <c r="A854" s="21" t="s">
        <v>733</v>
      </c>
      <c r="B854" s="17" t="s">
        <v>733</v>
      </c>
      <c r="C854" s="17" t="s">
        <v>733</v>
      </c>
      <c r="D854" s="5"/>
    </row>
    <row r="855">
      <c r="A855" s="21" t="s">
        <v>733</v>
      </c>
      <c r="B855" s="17" t="s">
        <v>733</v>
      </c>
      <c r="C855" s="17" t="s">
        <v>733</v>
      </c>
      <c r="D855" s="5"/>
    </row>
    <row r="856">
      <c r="A856" s="21" t="s">
        <v>733</v>
      </c>
      <c r="B856" s="17" t="s">
        <v>733</v>
      </c>
      <c r="C856" s="17" t="s">
        <v>733</v>
      </c>
      <c r="D856" s="5"/>
    </row>
    <row r="857">
      <c r="A857" s="21" t="s">
        <v>733</v>
      </c>
      <c r="B857" s="17" t="s">
        <v>733</v>
      </c>
      <c r="C857" s="17" t="s">
        <v>733</v>
      </c>
      <c r="D857" s="5"/>
    </row>
    <row r="858">
      <c r="A858" s="21" t="s">
        <v>733</v>
      </c>
      <c r="B858" s="17" t="s">
        <v>733</v>
      </c>
      <c r="C858" s="17" t="s">
        <v>733</v>
      </c>
      <c r="D858" s="5"/>
    </row>
    <row r="859">
      <c r="A859" s="21" t="s">
        <v>733</v>
      </c>
      <c r="B859" s="17" t="s">
        <v>733</v>
      </c>
      <c r="C859" s="17" t="s">
        <v>733</v>
      </c>
      <c r="D859" s="5"/>
    </row>
    <row r="860">
      <c r="A860" s="21" t="s">
        <v>733</v>
      </c>
      <c r="B860" s="17" t="s">
        <v>733</v>
      </c>
      <c r="C860" s="17" t="s">
        <v>733</v>
      </c>
      <c r="D860" s="5"/>
    </row>
    <row r="861">
      <c r="A861" s="21" t="s">
        <v>733</v>
      </c>
      <c r="B861" s="17" t="s">
        <v>733</v>
      </c>
      <c r="C861" s="17" t="s">
        <v>733</v>
      </c>
      <c r="D861" s="5"/>
    </row>
    <row r="862">
      <c r="A862" s="21" t="s">
        <v>733</v>
      </c>
      <c r="B862" s="17" t="s">
        <v>733</v>
      </c>
      <c r="C862" s="17" t="s">
        <v>733</v>
      </c>
      <c r="D862" s="5"/>
    </row>
    <row r="863">
      <c r="A863" s="21" t="s">
        <v>733</v>
      </c>
      <c r="B863" s="17" t="s">
        <v>733</v>
      </c>
      <c r="C863" s="17" t="s">
        <v>733</v>
      </c>
      <c r="D863" s="5"/>
    </row>
    <row r="864">
      <c r="A864" s="21" t="s">
        <v>733</v>
      </c>
      <c r="B864" s="17" t="s">
        <v>733</v>
      </c>
      <c r="C864" s="17" t="s">
        <v>733</v>
      </c>
      <c r="D864" s="5"/>
    </row>
    <row r="865">
      <c r="A865" s="21" t="s">
        <v>733</v>
      </c>
      <c r="B865" s="17" t="s">
        <v>733</v>
      </c>
      <c r="C865" s="17" t="s">
        <v>733</v>
      </c>
      <c r="D865" s="5"/>
    </row>
    <row r="866">
      <c r="A866" s="21" t="s">
        <v>733</v>
      </c>
      <c r="B866" s="17" t="s">
        <v>733</v>
      </c>
      <c r="C866" s="17" t="s">
        <v>733</v>
      </c>
      <c r="D866" s="5"/>
    </row>
    <row r="867">
      <c r="A867" s="21" t="s">
        <v>733</v>
      </c>
      <c r="B867" s="17" t="s">
        <v>733</v>
      </c>
      <c r="C867" s="17" t="s">
        <v>733</v>
      </c>
      <c r="D867" s="5"/>
    </row>
    <row r="868">
      <c r="A868" s="21" t="s">
        <v>733</v>
      </c>
      <c r="B868" s="17" t="s">
        <v>733</v>
      </c>
      <c r="C868" s="17" t="s">
        <v>733</v>
      </c>
      <c r="D868" s="5"/>
    </row>
    <row r="869">
      <c r="A869" s="21" t="s">
        <v>733</v>
      </c>
      <c r="B869" s="17" t="s">
        <v>733</v>
      </c>
      <c r="C869" s="17" t="s">
        <v>733</v>
      </c>
      <c r="D869" s="5"/>
    </row>
    <row r="870">
      <c r="A870" s="21" t="s">
        <v>733</v>
      </c>
      <c r="B870" s="17" t="s">
        <v>733</v>
      </c>
      <c r="C870" s="17" t="s">
        <v>733</v>
      </c>
      <c r="D870" s="5"/>
    </row>
    <row r="871">
      <c r="A871" s="21" t="s">
        <v>733</v>
      </c>
      <c r="B871" s="17" t="s">
        <v>733</v>
      </c>
      <c r="C871" s="17" t="s">
        <v>733</v>
      </c>
      <c r="D871" s="5"/>
    </row>
    <row r="872">
      <c r="A872" s="21" t="s">
        <v>733</v>
      </c>
      <c r="B872" s="17" t="s">
        <v>733</v>
      </c>
      <c r="C872" s="17" t="s">
        <v>733</v>
      </c>
      <c r="D872" s="5"/>
    </row>
    <row r="873">
      <c r="A873" s="21" t="s">
        <v>733</v>
      </c>
      <c r="B873" s="17" t="s">
        <v>733</v>
      </c>
      <c r="C873" s="17" t="s">
        <v>733</v>
      </c>
      <c r="D873" s="5"/>
    </row>
    <row r="874">
      <c r="A874" s="21" t="s">
        <v>733</v>
      </c>
      <c r="B874" s="17" t="s">
        <v>733</v>
      </c>
      <c r="C874" s="17" t="s">
        <v>733</v>
      </c>
      <c r="D874" s="5"/>
    </row>
    <row r="875">
      <c r="A875" s="21" t="s">
        <v>733</v>
      </c>
      <c r="B875" s="17" t="s">
        <v>733</v>
      </c>
      <c r="C875" s="17" t="s">
        <v>733</v>
      </c>
      <c r="D875" s="5"/>
    </row>
    <row r="876">
      <c r="A876" s="21" t="s">
        <v>733</v>
      </c>
      <c r="B876" s="17" t="s">
        <v>733</v>
      </c>
      <c r="C876" s="17" t="s">
        <v>733</v>
      </c>
      <c r="D876" s="5"/>
    </row>
    <row r="877">
      <c r="A877" s="21" t="s">
        <v>733</v>
      </c>
      <c r="B877" s="17" t="s">
        <v>733</v>
      </c>
      <c r="C877" s="17" t="s">
        <v>733</v>
      </c>
      <c r="D877" s="5"/>
    </row>
    <row r="878">
      <c r="A878" s="21" t="s">
        <v>733</v>
      </c>
      <c r="B878" s="17" t="s">
        <v>733</v>
      </c>
      <c r="C878" s="17" t="s">
        <v>733</v>
      </c>
      <c r="D878" s="5"/>
    </row>
    <row r="879">
      <c r="A879" s="21" t="s">
        <v>733</v>
      </c>
      <c r="B879" s="17" t="s">
        <v>733</v>
      </c>
      <c r="C879" s="17" t="s">
        <v>733</v>
      </c>
      <c r="D879" s="5"/>
    </row>
    <row r="880">
      <c r="A880" s="21" t="s">
        <v>733</v>
      </c>
      <c r="B880" s="17" t="s">
        <v>733</v>
      </c>
      <c r="C880" s="17" t="s">
        <v>733</v>
      </c>
      <c r="D880" s="5"/>
    </row>
    <row r="881">
      <c r="A881" s="21" t="s">
        <v>733</v>
      </c>
      <c r="B881" s="17" t="s">
        <v>733</v>
      </c>
      <c r="C881" s="17" t="s">
        <v>733</v>
      </c>
      <c r="D881" s="5"/>
    </row>
    <row r="882">
      <c r="A882" s="21" t="s">
        <v>733</v>
      </c>
      <c r="B882" s="17" t="s">
        <v>733</v>
      </c>
      <c r="C882" s="17" t="s">
        <v>733</v>
      </c>
      <c r="D882" s="5"/>
    </row>
    <row r="883">
      <c r="A883" s="21" t="s">
        <v>733</v>
      </c>
      <c r="B883" s="17" t="s">
        <v>733</v>
      </c>
      <c r="C883" s="17" t="s">
        <v>733</v>
      </c>
      <c r="D883" s="5"/>
    </row>
    <row r="884">
      <c r="A884" s="21" t="s">
        <v>733</v>
      </c>
      <c r="B884" s="17" t="s">
        <v>733</v>
      </c>
      <c r="C884" s="17" t="s">
        <v>733</v>
      </c>
      <c r="D884" s="5"/>
    </row>
    <row r="885">
      <c r="A885" s="21" t="s">
        <v>733</v>
      </c>
      <c r="B885" s="17" t="s">
        <v>733</v>
      </c>
      <c r="C885" s="17" t="s">
        <v>733</v>
      </c>
      <c r="D885" s="5"/>
    </row>
    <row r="886">
      <c r="A886" s="21" t="s">
        <v>733</v>
      </c>
      <c r="B886" s="17" t="s">
        <v>733</v>
      </c>
      <c r="C886" s="17" t="s">
        <v>733</v>
      </c>
      <c r="D886" s="5"/>
    </row>
    <row r="887">
      <c r="A887" s="21" t="s">
        <v>733</v>
      </c>
      <c r="B887" s="17" t="s">
        <v>733</v>
      </c>
      <c r="C887" s="17" t="s">
        <v>733</v>
      </c>
      <c r="D887" s="5"/>
    </row>
    <row r="888">
      <c r="A888" s="21" t="s">
        <v>733</v>
      </c>
      <c r="B888" s="17" t="s">
        <v>733</v>
      </c>
      <c r="C888" s="17" t="s">
        <v>733</v>
      </c>
      <c r="D888" s="5"/>
    </row>
    <row r="889">
      <c r="A889" s="21" t="s">
        <v>733</v>
      </c>
      <c r="B889" s="17" t="s">
        <v>733</v>
      </c>
      <c r="C889" s="17" t="s">
        <v>733</v>
      </c>
      <c r="D889" s="5"/>
    </row>
    <row r="890">
      <c r="A890" s="21" t="s">
        <v>733</v>
      </c>
      <c r="B890" s="17" t="s">
        <v>733</v>
      </c>
      <c r="C890" s="17" t="s">
        <v>733</v>
      </c>
      <c r="D890" s="5"/>
    </row>
    <row r="891">
      <c r="A891" s="21" t="s">
        <v>733</v>
      </c>
      <c r="B891" s="17" t="s">
        <v>733</v>
      </c>
      <c r="C891" s="17" t="s">
        <v>733</v>
      </c>
      <c r="D891" s="5"/>
    </row>
    <row r="892">
      <c r="A892" s="21" t="s">
        <v>733</v>
      </c>
      <c r="B892" s="17" t="s">
        <v>733</v>
      </c>
      <c r="C892" s="17" t="s">
        <v>733</v>
      </c>
      <c r="D892" s="5"/>
    </row>
    <row r="893">
      <c r="A893" s="21" t="s">
        <v>733</v>
      </c>
      <c r="B893" s="17" t="s">
        <v>733</v>
      </c>
      <c r="C893" s="17" t="s">
        <v>733</v>
      </c>
      <c r="D893" s="5"/>
    </row>
    <row r="894">
      <c r="A894" s="21" t="s">
        <v>733</v>
      </c>
      <c r="B894" s="17" t="s">
        <v>733</v>
      </c>
      <c r="C894" s="17" t="s">
        <v>733</v>
      </c>
      <c r="D894" s="5"/>
    </row>
    <row r="895">
      <c r="A895" s="21" t="s">
        <v>733</v>
      </c>
      <c r="B895" s="17" t="s">
        <v>733</v>
      </c>
      <c r="C895" s="17" t="s">
        <v>733</v>
      </c>
      <c r="D895" s="5"/>
    </row>
    <row r="896">
      <c r="A896" s="21" t="s">
        <v>733</v>
      </c>
      <c r="B896" s="17" t="s">
        <v>733</v>
      </c>
      <c r="C896" s="17" t="s">
        <v>733</v>
      </c>
      <c r="D896" s="5"/>
    </row>
    <row r="897">
      <c r="A897" s="21" t="s">
        <v>733</v>
      </c>
      <c r="B897" s="17" t="s">
        <v>733</v>
      </c>
      <c r="C897" s="17" t="s">
        <v>733</v>
      </c>
      <c r="D897" s="5"/>
    </row>
    <row r="898">
      <c r="A898" s="21" t="s">
        <v>733</v>
      </c>
      <c r="B898" s="17" t="s">
        <v>733</v>
      </c>
      <c r="C898" s="17" t="s">
        <v>733</v>
      </c>
      <c r="D898" s="5"/>
    </row>
    <row r="899">
      <c r="A899" s="21" t="s">
        <v>733</v>
      </c>
      <c r="B899" s="17" t="s">
        <v>733</v>
      </c>
      <c r="C899" s="17" t="s">
        <v>733</v>
      </c>
      <c r="D899" s="5"/>
    </row>
    <row r="900">
      <c r="A900" s="21" t="s">
        <v>733</v>
      </c>
      <c r="B900" s="17" t="s">
        <v>733</v>
      </c>
      <c r="C900" s="17" t="s">
        <v>733</v>
      </c>
      <c r="D900" s="5"/>
    </row>
    <row r="901">
      <c r="A901" s="21" t="s">
        <v>733</v>
      </c>
      <c r="B901" s="17" t="s">
        <v>733</v>
      </c>
      <c r="C901" s="17" t="s">
        <v>733</v>
      </c>
      <c r="D901" s="5"/>
    </row>
    <row r="902">
      <c r="A902" s="21" t="s">
        <v>733</v>
      </c>
      <c r="B902" s="17" t="s">
        <v>733</v>
      </c>
      <c r="C902" s="17" t="s">
        <v>733</v>
      </c>
      <c r="D902" s="5"/>
    </row>
    <row r="903">
      <c r="A903" s="21" t="s">
        <v>733</v>
      </c>
      <c r="B903" s="17" t="s">
        <v>733</v>
      </c>
      <c r="C903" s="17" t="s">
        <v>733</v>
      </c>
      <c r="D903" s="5"/>
    </row>
    <row r="904">
      <c r="A904" s="21" t="s">
        <v>733</v>
      </c>
      <c r="B904" s="17" t="s">
        <v>733</v>
      </c>
      <c r="C904" s="17" t="s">
        <v>733</v>
      </c>
      <c r="D904" s="5"/>
    </row>
    <row r="905">
      <c r="A905" s="21" t="s">
        <v>733</v>
      </c>
      <c r="B905" s="17" t="s">
        <v>733</v>
      </c>
      <c r="C905" s="17" t="s">
        <v>733</v>
      </c>
      <c r="D905" s="5"/>
    </row>
    <row r="906">
      <c r="A906" s="21" t="s">
        <v>733</v>
      </c>
      <c r="B906" s="17" t="s">
        <v>733</v>
      </c>
      <c r="C906" s="17" t="s">
        <v>733</v>
      </c>
      <c r="D906" s="5"/>
    </row>
    <row r="907">
      <c r="A907" s="21" t="s">
        <v>733</v>
      </c>
      <c r="B907" s="17" t="s">
        <v>733</v>
      </c>
      <c r="C907" s="17" t="s">
        <v>733</v>
      </c>
      <c r="D907" s="5"/>
    </row>
    <row r="908">
      <c r="A908" s="21" t="s">
        <v>733</v>
      </c>
      <c r="B908" s="17" t="s">
        <v>733</v>
      </c>
      <c r="C908" s="17" t="s">
        <v>733</v>
      </c>
      <c r="D908" s="5"/>
    </row>
    <row r="909">
      <c r="A909" s="21" t="s">
        <v>733</v>
      </c>
      <c r="B909" s="17" t="s">
        <v>733</v>
      </c>
      <c r="C909" s="17" t="s">
        <v>733</v>
      </c>
      <c r="D909" s="5"/>
    </row>
    <row r="910">
      <c r="A910" s="21" t="s">
        <v>733</v>
      </c>
      <c r="B910" s="17" t="s">
        <v>733</v>
      </c>
      <c r="C910" s="17" t="s">
        <v>733</v>
      </c>
      <c r="D910" s="5"/>
    </row>
    <row r="911">
      <c r="A911" s="21" t="s">
        <v>733</v>
      </c>
      <c r="B911" s="17" t="s">
        <v>733</v>
      </c>
      <c r="C911" s="17" t="s">
        <v>733</v>
      </c>
      <c r="D911" s="5"/>
    </row>
    <row r="912">
      <c r="A912" s="21" t="s">
        <v>733</v>
      </c>
      <c r="B912" s="17" t="s">
        <v>733</v>
      </c>
      <c r="C912" s="17" t="s">
        <v>733</v>
      </c>
      <c r="D912" s="5"/>
    </row>
    <row r="913">
      <c r="A913" s="21" t="s">
        <v>733</v>
      </c>
      <c r="B913" s="17" t="s">
        <v>733</v>
      </c>
      <c r="C913" s="17" t="s">
        <v>733</v>
      </c>
      <c r="D913" s="5"/>
    </row>
    <row r="914">
      <c r="A914" s="21" t="s">
        <v>733</v>
      </c>
      <c r="B914" s="17" t="s">
        <v>733</v>
      </c>
      <c r="C914" s="17" t="s">
        <v>733</v>
      </c>
      <c r="D914" s="5"/>
    </row>
    <row r="915">
      <c r="A915" s="21" t="s">
        <v>733</v>
      </c>
      <c r="B915" s="17" t="s">
        <v>733</v>
      </c>
      <c r="C915" s="17" t="s">
        <v>733</v>
      </c>
      <c r="D915" s="5"/>
    </row>
    <row r="916">
      <c r="A916" s="21" t="s">
        <v>733</v>
      </c>
      <c r="B916" s="17" t="s">
        <v>733</v>
      </c>
      <c r="C916" s="17" t="s">
        <v>733</v>
      </c>
      <c r="D916" s="5"/>
    </row>
    <row r="917">
      <c r="A917" s="21" t="s">
        <v>733</v>
      </c>
      <c r="B917" s="17" t="s">
        <v>733</v>
      </c>
      <c r="C917" s="17" t="s">
        <v>733</v>
      </c>
      <c r="D917" s="5"/>
    </row>
    <row r="918">
      <c r="A918" s="21" t="s">
        <v>733</v>
      </c>
      <c r="B918" s="17" t="s">
        <v>733</v>
      </c>
      <c r="C918" s="17" t="s">
        <v>733</v>
      </c>
      <c r="D918" s="5"/>
    </row>
    <row r="919">
      <c r="A919" s="21" t="s">
        <v>733</v>
      </c>
      <c r="B919" s="17" t="s">
        <v>733</v>
      </c>
      <c r="C919" s="17" t="s">
        <v>733</v>
      </c>
      <c r="D919" s="5"/>
    </row>
    <row r="920">
      <c r="A920" s="21" t="s">
        <v>733</v>
      </c>
      <c r="B920" s="17" t="s">
        <v>733</v>
      </c>
      <c r="C920" s="17" t="s">
        <v>733</v>
      </c>
      <c r="D920" s="5"/>
    </row>
    <row r="921">
      <c r="A921" s="21" t="s">
        <v>733</v>
      </c>
      <c r="B921" s="17" t="s">
        <v>733</v>
      </c>
      <c r="C921" s="17" t="s">
        <v>733</v>
      </c>
      <c r="D921" s="5"/>
    </row>
    <row r="922">
      <c r="A922" s="21" t="s">
        <v>733</v>
      </c>
      <c r="B922" s="17" t="s">
        <v>733</v>
      </c>
      <c r="C922" s="17" t="s">
        <v>733</v>
      </c>
      <c r="D922" s="5"/>
    </row>
    <row r="923">
      <c r="A923" s="21" t="s">
        <v>733</v>
      </c>
      <c r="B923" s="17" t="s">
        <v>733</v>
      </c>
      <c r="C923" s="17" t="s">
        <v>733</v>
      </c>
      <c r="D923" s="5"/>
    </row>
    <row r="924">
      <c r="A924" s="21" t="s">
        <v>733</v>
      </c>
      <c r="B924" s="17" t="s">
        <v>733</v>
      </c>
      <c r="C924" s="17" t="s">
        <v>733</v>
      </c>
      <c r="D924" s="5"/>
    </row>
    <row r="925">
      <c r="A925" s="21" t="s">
        <v>733</v>
      </c>
      <c r="B925" s="17" t="s">
        <v>733</v>
      </c>
      <c r="C925" s="17" t="s">
        <v>733</v>
      </c>
      <c r="D925" s="5"/>
    </row>
    <row r="926">
      <c r="A926" s="21" t="s">
        <v>733</v>
      </c>
      <c r="B926" s="17" t="s">
        <v>733</v>
      </c>
      <c r="C926" s="17" t="s">
        <v>733</v>
      </c>
      <c r="D926" s="5"/>
    </row>
    <row r="927">
      <c r="A927" s="21" t="s">
        <v>733</v>
      </c>
      <c r="B927" s="17" t="s">
        <v>733</v>
      </c>
      <c r="C927" s="17" t="s">
        <v>733</v>
      </c>
      <c r="D927" s="5"/>
    </row>
    <row r="928">
      <c r="A928" s="21" t="s">
        <v>733</v>
      </c>
      <c r="B928" s="17" t="s">
        <v>733</v>
      </c>
      <c r="C928" s="17" t="s">
        <v>733</v>
      </c>
      <c r="D928" s="5"/>
    </row>
    <row r="929">
      <c r="A929" s="21" t="s">
        <v>733</v>
      </c>
      <c r="B929" s="17" t="s">
        <v>733</v>
      </c>
      <c r="C929" s="17" t="s">
        <v>733</v>
      </c>
      <c r="D929" s="5"/>
    </row>
    <row r="930">
      <c r="A930" s="21" t="s">
        <v>733</v>
      </c>
      <c r="B930" s="17" t="s">
        <v>733</v>
      </c>
      <c r="C930" s="17" t="s">
        <v>733</v>
      </c>
      <c r="D930" s="5"/>
    </row>
    <row r="931">
      <c r="A931" s="21" t="s">
        <v>733</v>
      </c>
      <c r="B931" s="17" t="s">
        <v>733</v>
      </c>
      <c r="C931" s="17" t="s">
        <v>733</v>
      </c>
      <c r="D931" s="5"/>
    </row>
    <row r="932">
      <c r="A932" s="21" t="s">
        <v>733</v>
      </c>
      <c r="B932" s="17" t="s">
        <v>733</v>
      </c>
      <c r="C932" s="17" t="s">
        <v>733</v>
      </c>
      <c r="D932" s="5"/>
    </row>
    <row r="933">
      <c r="A933" s="21" t="s">
        <v>733</v>
      </c>
      <c r="B933" s="17" t="s">
        <v>733</v>
      </c>
      <c r="C933" s="17" t="s">
        <v>733</v>
      </c>
      <c r="D933" s="5"/>
    </row>
    <row r="934">
      <c r="A934" s="21" t="s">
        <v>733</v>
      </c>
      <c r="B934" s="17" t="s">
        <v>733</v>
      </c>
      <c r="C934" s="17" t="s">
        <v>733</v>
      </c>
      <c r="D934" s="5"/>
    </row>
    <row r="935">
      <c r="A935" s="21" t="s">
        <v>733</v>
      </c>
      <c r="B935" s="17" t="s">
        <v>733</v>
      </c>
      <c r="C935" s="17" t="s">
        <v>733</v>
      </c>
      <c r="D935" s="5"/>
    </row>
    <row r="936">
      <c r="A936" s="21" t="s">
        <v>733</v>
      </c>
      <c r="B936" s="17" t="s">
        <v>733</v>
      </c>
      <c r="C936" s="17" t="s">
        <v>733</v>
      </c>
      <c r="D936" s="5"/>
    </row>
    <row r="937">
      <c r="A937" s="21" t="s">
        <v>733</v>
      </c>
      <c r="B937" s="17" t="s">
        <v>733</v>
      </c>
      <c r="C937" s="17" t="s">
        <v>733</v>
      </c>
      <c r="D937" s="5"/>
    </row>
    <row r="938">
      <c r="A938" s="21" t="s">
        <v>733</v>
      </c>
      <c r="B938" s="17" t="s">
        <v>733</v>
      </c>
      <c r="C938" s="17" t="s">
        <v>733</v>
      </c>
      <c r="D938" s="5"/>
    </row>
    <row r="939">
      <c r="A939" s="21" t="s">
        <v>733</v>
      </c>
      <c r="B939" s="17" t="s">
        <v>733</v>
      </c>
      <c r="C939" s="17" t="s">
        <v>733</v>
      </c>
      <c r="D939" s="5"/>
    </row>
    <row r="940">
      <c r="A940" s="21" t="s">
        <v>733</v>
      </c>
      <c r="B940" s="17" t="s">
        <v>733</v>
      </c>
      <c r="C940" s="17" t="s">
        <v>733</v>
      </c>
      <c r="D940" s="5"/>
    </row>
    <row r="941">
      <c r="A941" s="21" t="s">
        <v>733</v>
      </c>
      <c r="B941" s="17" t="s">
        <v>733</v>
      </c>
      <c r="C941" s="17" t="s">
        <v>733</v>
      </c>
      <c r="D941" s="5"/>
    </row>
    <row r="942">
      <c r="A942" s="21" t="s">
        <v>733</v>
      </c>
      <c r="B942" s="17" t="s">
        <v>733</v>
      </c>
      <c r="C942" s="17" t="s">
        <v>733</v>
      </c>
      <c r="D942" s="5"/>
    </row>
    <row r="943">
      <c r="A943" s="21" t="s">
        <v>733</v>
      </c>
      <c r="B943" s="17" t="s">
        <v>733</v>
      </c>
      <c r="C943" s="17" t="s">
        <v>733</v>
      </c>
      <c r="D943" s="5"/>
    </row>
    <row r="944">
      <c r="A944" s="21" t="s">
        <v>733</v>
      </c>
      <c r="B944" s="17" t="s">
        <v>733</v>
      </c>
      <c r="C944" s="17" t="s">
        <v>733</v>
      </c>
      <c r="D944" s="5"/>
    </row>
    <row r="945">
      <c r="A945" s="21" t="s">
        <v>733</v>
      </c>
      <c r="B945" s="17" t="s">
        <v>733</v>
      </c>
      <c r="C945" s="17" t="s">
        <v>733</v>
      </c>
      <c r="D945" s="5"/>
    </row>
    <row r="946">
      <c r="A946" s="21" t="s">
        <v>733</v>
      </c>
      <c r="B946" s="17" t="s">
        <v>733</v>
      </c>
      <c r="C946" s="17" t="s">
        <v>733</v>
      </c>
      <c r="D946" s="5"/>
    </row>
    <row r="947">
      <c r="A947" s="21" t="s">
        <v>733</v>
      </c>
      <c r="B947" s="17" t="s">
        <v>733</v>
      </c>
      <c r="C947" s="17" t="s">
        <v>733</v>
      </c>
      <c r="D947" s="5"/>
    </row>
    <row r="948">
      <c r="A948" s="21" t="s">
        <v>733</v>
      </c>
      <c r="B948" s="17" t="s">
        <v>733</v>
      </c>
      <c r="C948" s="17" t="s">
        <v>733</v>
      </c>
      <c r="D948" s="5"/>
    </row>
    <row r="949">
      <c r="A949" s="21" t="s">
        <v>733</v>
      </c>
      <c r="B949" s="17" t="s">
        <v>733</v>
      </c>
      <c r="C949" s="17" t="s">
        <v>733</v>
      </c>
      <c r="D949" s="5"/>
    </row>
    <row r="950">
      <c r="A950" s="21" t="s">
        <v>733</v>
      </c>
      <c r="B950" s="17" t="s">
        <v>733</v>
      </c>
      <c r="C950" s="17" t="s">
        <v>733</v>
      </c>
      <c r="D950" s="5"/>
    </row>
    <row r="951">
      <c r="A951" s="21" t="s">
        <v>733</v>
      </c>
      <c r="B951" s="17" t="s">
        <v>733</v>
      </c>
      <c r="C951" s="17" t="s">
        <v>733</v>
      </c>
      <c r="D951" s="5"/>
    </row>
    <row r="952">
      <c r="A952" s="21" t="s">
        <v>733</v>
      </c>
      <c r="B952" s="17" t="s">
        <v>733</v>
      </c>
      <c r="C952" s="17" t="s">
        <v>733</v>
      </c>
      <c r="D952" s="5"/>
    </row>
    <row r="953">
      <c r="A953" s="21" t="s">
        <v>733</v>
      </c>
      <c r="B953" s="17" t="s">
        <v>733</v>
      </c>
      <c r="C953" s="17" t="s">
        <v>733</v>
      </c>
      <c r="D953" s="5"/>
    </row>
    <row r="954">
      <c r="A954" s="21" t="s">
        <v>733</v>
      </c>
      <c r="B954" s="17" t="s">
        <v>733</v>
      </c>
      <c r="C954" s="17" t="s">
        <v>733</v>
      </c>
      <c r="D954" s="5"/>
    </row>
    <row r="955">
      <c r="A955" s="21" t="s">
        <v>733</v>
      </c>
      <c r="B955" s="17" t="s">
        <v>733</v>
      </c>
      <c r="C955" s="17" t="s">
        <v>733</v>
      </c>
      <c r="D955" s="5"/>
    </row>
    <row r="956">
      <c r="A956" s="21" t="s">
        <v>733</v>
      </c>
      <c r="B956" s="17" t="s">
        <v>733</v>
      </c>
      <c r="C956" s="17" t="s">
        <v>733</v>
      </c>
      <c r="D956" s="5"/>
    </row>
    <row r="957">
      <c r="A957" s="21" t="s">
        <v>733</v>
      </c>
      <c r="B957" s="17" t="s">
        <v>733</v>
      </c>
      <c r="C957" s="17" t="s">
        <v>733</v>
      </c>
      <c r="D957" s="5"/>
    </row>
    <row r="958">
      <c r="A958" s="21" t="s">
        <v>733</v>
      </c>
      <c r="B958" s="17" t="s">
        <v>733</v>
      </c>
      <c r="C958" s="17" t="s">
        <v>733</v>
      </c>
      <c r="D958" s="5"/>
    </row>
    <row r="959">
      <c r="A959" s="21" t="s">
        <v>733</v>
      </c>
      <c r="B959" s="17" t="s">
        <v>733</v>
      </c>
      <c r="C959" s="17" t="s">
        <v>733</v>
      </c>
      <c r="D959" s="5"/>
    </row>
    <row r="960">
      <c r="A960" s="21" t="s">
        <v>733</v>
      </c>
      <c r="B960" s="17" t="s">
        <v>733</v>
      </c>
      <c r="C960" s="17" t="s">
        <v>733</v>
      </c>
      <c r="D960" s="5"/>
    </row>
    <row r="961">
      <c r="A961" s="21" t="s">
        <v>733</v>
      </c>
      <c r="B961" s="17" t="s">
        <v>733</v>
      </c>
      <c r="C961" s="17" t="s">
        <v>733</v>
      </c>
      <c r="D961" s="5"/>
    </row>
    <row r="962">
      <c r="A962" s="21" t="s">
        <v>733</v>
      </c>
      <c r="B962" s="17" t="s">
        <v>733</v>
      </c>
      <c r="C962" s="17" t="s">
        <v>733</v>
      </c>
      <c r="D962" s="5"/>
    </row>
    <row r="963">
      <c r="A963" s="21" t="s">
        <v>733</v>
      </c>
      <c r="B963" s="17" t="s">
        <v>733</v>
      </c>
      <c r="C963" s="17" t="s">
        <v>733</v>
      </c>
      <c r="D963" s="5"/>
    </row>
    <row r="964">
      <c r="A964" s="21" t="s">
        <v>733</v>
      </c>
      <c r="B964" s="17" t="s">
        <v>733</v>
      </c>
      <c r="C964" s="17" t="s">
        <v>733</v>
      </c>
      <c r="D964" s="5"/>
    </row>
    <row r="965">
      <c r="A965" s="21" t="s">
        <v>733</v>
      </c>
      <c r="B965" s="17" t="s">
        <v>733</v>
      </c>
      <c r="C965" s="17" t="s">
        <v>733</v>
      </c>
      <c r="D965" s="5"/>
    </row>
    <row r="966">
      <c r="A966" s="21" t="s">
        <v>733</v>
      </c>
      <c r="B966" s="17" t="s">
        <v>733</v>
      </c>
      <c r="C966" s="17" t="s">
        <v>733</v>
      </c>
      <c r="D966" s="5"/>
    </row>
    <row r="967">
      <c r="A967" s="21" t="s">
        <v>733</v>
      </c>
      <c r="B967" s="17" t="s">
        <v>733</v>
      </c>
      <c r="C967" s="17" t="s">
        <v>733</v>
      </c>
      <c r="D967" s="5"/>
    </row>
    <row r="968">
      <c r="A968" s="21" t="s">
        <v>733</v>
      </c>
      <c r="B968" s="17" t="s">
        <v>733</v>
      </c>
      <c r="C968" s="17" t="s">
        <v>733</v>
      </c>
      <c r="D968" s="5"/>
    </row>
    <row r="969">
      <c r="A969" s="21" t="s">
        <v>733</v>
      </c>
      <c r="B969" s="17" t="s">
        <v>733</v>
      </c>
      <c r="C969" s="17" t="s">
        <v>733</v>
      </c>
      <c r="D969" s="5"/>
    </row>
    <row r="970">
      <c r="A970" s="21" t="s">
        <v>733</v>
      </c>
      <c r="B970" s="17" t="s">
        <v>733</v>
      </c>
      <c r="C970" s="17" t="s">
        <v>733</v>
      </c>
      <c r="D970" s="5"/>
    </row>
    <row r="971">
      <c r="A971" s="21" t="s">
        <v>733</v>
      </c>
      <c r="B971" s="17" t="s">
        <v>733</v>
      </c>
      <c r="C971" s="17" t="s">
        <v>733</v>
      </c>
      <c r="D971" s="5"/>
    </row>
    <row r="972">
      <c r="A972" s="21" t="s">
        <v>733</v>
      </c>
      <c r="B972" s="17" t="s">
        <v>733</v>
      </c>
      <c r="C972" s="17" t="s">
        <v>733</v>
      </c>
      <c r="D972" s="5"/>
    </row>
    <row r="973">
      <c r="A973" s="21" t="s">
        <v>733</v>
      </c>
      <c r="B973" s="17" t="s">
        <v>733</v>
      </c>
      <c r="C973" s="17" t="s">
        <v>733</v>
      </c>
      <c r="D973" s="5"/>
    </row>
    <row r="974">
      <c r="A974" s="21" t="s">
        <v>733</v>
      </c>
      <c r="B974" s="17" t="s">
        <v>733</v>
      </c>
      <c r="C974" s="17" t="s">
        <v>733</v>
      </c>
      <c r="D974" s="5"/>
    </row>
    <row r="975">
      <c r="A975" s="21" t="s">
        <v>733</v>
      </c>
      <c r="B975" s="17" t="s">
        <v>733</v>
      </c>
      <c r="C975" s="17" t="s">
        <v>733</v>
      </c>
      <c r="D975" s="5"/>
    </row>
    <row r="976">
      <c r="A976" s="21" t="s">
        <v>733</v>
      </c>
      <c r="B976" s="17" t="s">
        <v>733</v>
      </c>
      <c r="C976" s="17" t="s">
        <v>733</v>
      </c>
      <c r="D976" s="5"/>
    </row>
    <row r="977">
      <c r="A977" s="21" t="s">
        <v>733</v>
      </c>
      <c r="B977" s="17" t="s">
        <v>733</v>
      </c>
      <c r="C977" s="17" t="s">
        <v>733</v>
      </c>
      <c r="D977" s="5"/>
    </row>
    <row r="978">
      <c r="A978" s="21" t="s">
        <v>733</v>
      </c>
      <c r="B978" s="17" t="s">
        <v>733</v>
      </c>
      <c r="C978" s="17" t="s">
        <v>733</v>
      </c>
      <c r="D978" s="5"/>
    </row>
    <row r="979">
      <c r="A979" s="21" t="s">
        <v>733</v>
      </c>
      <c r="B979" s="17" t="s">
        <v>733</v>
      </c>
      <c r="C979" s="17" t="s">
        <v>733</v>
      </c>
      <c r="D979" s="5"/>
    </row>
    <row r="980">
      <c r="A980" s="21" t="s">
        <v>733</v>
      </c>
      <c r="B980" s="17" t="s">
        <v>733</v>
      </c>
      <c r="C980" s="17" t="s">
        <v>733</v>
      </c>
      <c r="D980" s="5"/>
    </row>
    <row r="981">
      <c r="A981" s="21" t="s">
        <v>733</v>
      </c>
      <c r="B981" s="17" t="s">
        <v>733</v>
      </c>
      <c r="C981" s="17" t="s">
        <v>733</v>
      </c>
      <c r="D981" s="5"/>
    </row>
    <row r="982">
      <c r="A982" s="21" t="s">
        <v>733</v>
      </c>
      <c r="B982" s="17" t="s">
        <v>733</v>
      </c>
      <c r="C982" s="17" t="s">
        <v>733</v>
      </c>
      <c r="D982" s="5"/>
    </row>
    <row r="983">
      <c r="A983" s="21" t="s">
        <v>733</v>
      </c>
      <c r="B983" s="17" t="s">
        <v>733</v>
      </c>
      <c r="C983" s="17" t="s">
        <v>733</v>
      </c>
      <c r="D983" s="5"/>
    </row>
    <row r="984">
      <c r="A984" s="21" t="s">
        <v>733</v>
      </c>
      <c r="B984" s="17" t="s">
        <v>733</v>
      </c>
      <c r="C984" s="17" t="s">
        <v>733</v>
      </c>
      <c r="D984" s="5"/>
    </row>
    <row r="985">
      <c r="A985" s="21" t="s">
        <v>733</v>
      </c>
      <c r="B985" s="17" t="s">
        <v>733</v>
      </c>
      <c r="C985" s="17" t="s">
        <v>733</v>
      </c>
      <c r="D985" s="5"/>
    </row>
    <row r="986">
      <c r="A986" s="21" t="s">
        <v>733</v>
      </c>
      <c r="B986" s="17" t="s">
        <v>733</v>
      </c>
      <c r="C986" s="17" t="s">
        <v>733</v>
      </c>
      <c r="D986" s="5"/>
    </row>
    <row r="987">
      <c r="A987" s="21" t="s">
        <v>733</v>
      </c>
      <c r="B987" s="17" t="s">
        <v>733</v>
      </c>
      <c r="C987" s="17" t="s">
        <v>733</v>
      </c>
      <c r="D987" s="5"/>
    </row>
    <row r="988">
      <c r="A988" s="21" t="s">
        <v>733</v>
      </c>
      <c r="B988" s="17" t="s">
        <v>733</v>
      </c>
      <c r="C988" s="17" t="s">
        <v>733</v>
      </c>
      <c r="D988" s="5"/>
    </row>
    <row r="989">
      <c r="A989" s="21" t="s">
        <v>733</v>
      </c>
      <c r="B989" s="17" t="s">
        <v>733</v>
      </c>
      <c r="C989" s="17" t="s">
        <v>733</v>
      </c>
      <c r="D989" s="5"/>
    </row>
    <row r="990">
      <c r="A990" s="21" t="s">
        <v>733</v>
      </c>
      <c r="B990" s="17" t="s">
        <v>733</v>
      </c>
      <c r="C990" s="17" t="s">
        <v>733</v>
      </c>
      <c r="D990" s="5"/>
    </row>
    <row r="991">
      <c r="A991" s="21" t="s">
        <v>733</v>
      </c>
      <c r="B991" s="17" t="s">
        <v>733</v>
      </c>
      <c r="C991" s="17" t="s">
        <v>733</v>
      </c>
      <c r="D991" s="5"/>
    </row>
    <row r="992">
      <c r="A992" s="21" t="s">
        <v>733</v>
      </c>
      <c r="B992" s="17" t="s">
        <v>733</v>
      </c>
      <c r="C992" s="17" t="s">
        <v>733</v>
      </c>
      <c r="D992" s="5"/>
    </row>
    <row r="993">
      <c r="A993" s="21" t="s">
        <v>733</v>
      </c>
      <c r="B993" s="17" t="s">
        <v>733</v>
      </c>
      <c r="C993" s="17" t="s">
        <v>733</v>
      </c>
      <c r="D993" s="5"/>
    </row>
    <row r="994">
      <c r="A994" s="21" t="s">
        <v>733</v>
      </c>
      <c r="B994" s="17" t="s">
        <v>733</v>
      </c>
      <c r="C994" s="17" t="s">
        <v>733</v>
      </c>
      <c r="D994" s="5"/>
    </row>
    <row r="995">
      <c r="A995" s="21" t="s">
        <v>733</v>
      </c>
      <c r="B995" s="17" t="s">
        <v>733</v>
      </c>
      <c r="C995" s="17" t="s">
        <v>733</v>
      </c>
      <c r="D995" s="5"/>
    </row>
    <row r="996">
      <c r="A996" s="21" t="s">
        <v>733</v>
      </c>
      <c r="B996" s="17" t="s">
        <v>733</v>
      </c>
      <c r="C996" s="17" t="s">
        <v>733</v>
      </c>
      <c r="D996" s="5"/>
    </row>
    <row r="997">
      <c r="A997" s="21" t="s">
        <v>733</v>
      </c>
      <c r="B997" s="17" t="s">
        <v>733</v>
      </c>
      <c r="C997" s="17" t="s">
        <v>733</v>
      </c>
      <c r="D997" s="5"/>
    </row>
    <row r="998">
      <c r="A998" s="21" t="s">
        <v>733</v>
      </c>
      <c r="B998" s="17" t="s">
        <v>733</v>
      </c>
      <c r="C998" s="17" t="s">
        <v>733</v>
      </c>
      <c r="D998" s="5"/>
    </row>
    <row r="999">
      <c r="A999" s="21" t="s">
        <v>733</v>
      </c>
      <c r="B999" s="17" t="s">
        <v>733</v>
      </c>
      <c r="C999" s="17" t="s">
        <v>733</v>
      </c>
      <c r="D999" s="5"/>
    </row>
    <row r="1000">
      <c r="A1000" s="21" t="s">
        <v>733</v>
      </c>
      <c r="B1000" s="17" t="s">
        <v>733</v>
      </c>
      <c r="C1000" s="17" t="s">
        <v>733</v>
      </c>
      <c r="D1000" s="5"/>
    </row>
    <row r="1001">
      <c r="A1001" s="21" t="s">
        <v>733</v>
      </c>
      <c r="B1001" s="17" t="s">
        <v>733</v>
      </c>
      <c r="C1001" s="17" t="s">
        <v>733</v>
      </c>
      <c r="D1001" s="5"/>
    </row>
    <row r="1002">
      <c r="A1002" s="21" t="s">
        <v>733</v>
      </c>
      <c r="B1002" s="17" t="s">
        <v>733</v>
      </c>
      <c r="C1002" s="17" t="s">
        <v>733</v>
      </c>
      <c r="D1002" s="5"/>
    </row>
    <row r="1003">
      <c r="A1003" s="21" t="s">
        <v>733</v>
      </c>
      <c r="B1003" s="17" t="s">
        <v>733</v>
      </c>
      <c r="C1003" s="17" t="s">
        <v>733</v>
      </c>
      <c r="D1003" s="5"/>
    </row>
    <row r="1004">
      <c r="A1004" s="21" t="s">
        <v>733</v>
      </c>
      <c r="B1004" s="17" t="s">
        <v>733</v>
      </c>
      <c r="C1004" s="17" t="s">
        <v>733</v>
      </c>
      <c r="D1004" s="5"/>
    </row>
    <row r="1005">
      <c r="A1005" s="21" t="s">
        <v>733</v>
      </c>
      <c r="B1005" s="17" t="s">
        <v>733</v>
      </c>
      <c r="C1005" s="17" t="s">
        <v>733</v>
      </c>
      <c r="D1005" s="5"/>
    </row>
    <row r="1006">
      <c r="A1006" s="21" t="s">
        <v>733</v>
      </c>
      <c r="B1006" s="17" t="s">
        <v>733</v>
      </c>
      <c r="C1006" s="17" t="s">
        <v>733</v>
      </c>
      <c r="D1006" s="5"/>
    </row>
    <row r="1007">
      <c r="A1007" s="21" t="s">
        <v>733</v>
      </c>
      <c r="B1007" s="17" t="s">
        <v>733</v>
      </c>
      <c r="C1007" s="17" t="s">
        <v>733</v>
      </c>
      <c r="D1007" s="5"/>
    </row>
    <row r="1008">
      <c r="A1008" s="21" t="s">
        <v>733</v>
      </c>
      <c r="B1008" s="17" t="s">
        <v>733</v>
      </c>
      <c r="C1008" s="17" t="s">
        <v>733</v>
      </c>
      <c r="D1008" s="5"/>
    </row>
    <row r="1009">
      <c r="A1009" s="21" t="s">
        <v>733</v>
      </c>
      <c r="B1009" s="17" t="s">
        <v>733</v>
      </c>
      <c r="C1009" s="17" t="s">
        <v>733</v>
      </c>
      <c r="D1009" s="5"/>
    </row>
    <row r="1010">
      <c r="A1010" s="21" t="s">
        <v>733</v>
      </c>
      <c r="B1010" s="17" t="s">
        <v>733</v>
      </c>
      <c r="C1010" s="17" t="s">
        <v>733</v>
      </c>
      <c r="D1010" s="5"/>
    </row>
    <row r="1011">
      <c r="A1011" s="21" t="s">
        <v>733</v>
      </c>
      <c r="B1011" s="17" t="s">
        <v>733</v>
      </c>
      <c r="C1011" s="17" t="s">
        <v>733</v>
      </c>
      <c r="D1011" s="5"/>
    </row>
    <row r="1012">
      <c r="A1012" s="21" t="s">
        <v>733</v>
      </c>
      <c r="B1012" s="17" t="s">
        <v>733</v>
      </c>
      <c r="C1012" s="17" t="s">
        <v>733</v>
      </c>
      <c r="D1012" s="5"/>
    </row>
    <row r="1013">
      <c r="A1013" s="21" t="s">
        <v>733</v>
      </c>
      <c r="B1013" s="17" t="s">
        <v>733</v>
      </c>
      <c r="C1013" s="17" t="s">
        <v>733</v>
      </c>
      <c r="D1013" s="5"/>
    </row>
    <row r="1014">
      <c r="A1014" s="21" t="s">
        <v>733</v>
      </c>
      <c r="B1014" s="17" t="s">
        <v>733</v>
      </c>
      <c r="C1014" s="17" t="s">
        <v>733</v>
      </c>
      <c r="D1014" s="5"/>
    </row>
    <row r="1015">
      <c r="A1015" s="21" t="s">
        <v>733</v>
      </c>
      <c r="B1015" s="17" t="s">
        <v>733</v>
      </c>
      <c r="C1015" s="17" t="s">
        <v>733</v>
      </c>
      <c r="D1015" s="5"/>
    </row>
    <row r="1016">
      <c r="A1016" s="21" t="s">
        <v>733</v>
      </c>
      <c r="B1016" s="17" t="s">
        <v>733</v>
      </c>
      <c r="C1016" s="17" t="s">
        <v>733</v>
      </c>
      <c r="D1016" s="5"/>
    </row>
    <row r="1017">
      <c r="A1017" s="21" t="s">
        <v>733</v>
      </c>
      <c r="B1017" s="17" t="s">
        <v>733</v>
      </c>
      <c r="C1017" s="17" t="s">
        <v>733</v>
      </c>
      <c r="D1017" s="5"/>
    </row>
    <row r="1018">
      <c r="A1018" s="21" t="s">
        <v>733</v>
      </c>
      <c r="B1018" s="17" t="s">
        <v>733</v>
      </c>
      <c r="C1018" s="17" t="s">
        <v>733</v>
      </c>
      <c r="D1018" s="5"/>
    </row>
    <row r="1019">
      <c r="A1019" s="21" t="s">
        <v>733</v>
      </c>
      <c r="B1019" s="17" t="s">
        <v>733</v>
      </c>
      <c r="C1019" s="17" t="s">
        <v>733</v>
      </c>
      <c r="D1019" s="5"/>
    </row>
    <row r="1020">
      <c r="A1020" s="21" t="s">
        <v>733</v>
      </c>
      <c r="B1020" s="17" t="s">
        <v>733</v>
      </c>
      <c r="C1020" s="17" t="s">
        <v>733</v>
      </c>
      <c r="D1020" s="5"/>
    </row>
    <row r="1021">
      <c r="A1021" s="21" t="s">
        <v>733</v>
      </c>
      <c r="B1021" s="17" t="s">
        <v>733</v>
      </c>
      <c r="C1021" s="17" t="s">
        <v>733</v>
      </c>
      <c r="D1021" s="5"/>
    </row>
    <row r="1022">
      <c r="A1022" s="21" t="s">
        <v>733</v>
      </c>
      <c r="B1022" s="17" t="s">
        <v>733</v>
      </c>
      <c r="C1022" s="17" t="s">
        <v>733</v>
      </c>
      <c r="D1022" s="5"/>
    </row>
    <row r="1023">
      <c r="A1023" s="21" t="s">
        <v>733</v>
      </c>
      <c r="B1023" s="17" t="s">
        <v>733</v>
      </c>
      <c r="C1023" s="17" t="s">
        <v>733</v>
      </c>
      <c r="D1023" s="5"/>
    </row>
    <row r="1024">
      <c r="A1024" s="21" t="s">
        <v>733</v>
      </c>
      <c r="B1024" s="17" t="s">
        <v>733</v>
      </c>
      <c r="C1024" s="17" t="s">
        <v>733</v>
      </c>
      <c r="D1024" s="5"/>
    </row>
    <row r="1025">
      <c r="A1025" s="21" t="s">
        <v>733</v>
      </c>
      <c r="B1025" s="17" t="s">
        <v>733</v>
      </c>
      <c r="C1025" s="17" t="s">
        <v>733</v>
      </c>
      <c r="D1025" s="5"/>
    </row>
    <row r="1026">
      <c r="A1026" s="21" t="s">
        <v>733</v>
      </c>
      <c r="B1026" s="17" t="s">
        <v>733</v>
      </c>
      <c r="C1026" s="17" t="s">
        <v>733</v>
      </c>
      <c r="D1026" s="5"/>
    </row>
    <row r="1027">
      <c r="A1027" s="21" t="s">
        <v>733</v>
      </c>
      <c r="B1027" s="17" t="s">
        <v>733</v>
      </c>
      <c r="C1027" s="17" t="s">
        <v>733</v>
      </c>
      <c r="D1027" s="5"/>
    </row>
    <row r="1028">
      <c r="A1028" s="21" t="s">
        <v>733</v>
      </c>
      <c r="B1028" s="17" t="s">
        <v>733</v>
      </c>
      <c r="C1028" s="17" t="s">
        <v>733</v>
      </c>
      <c r="D1028" s="5"/>
    </row>
    <row r="1029">
      <c r="A1029" s="21" t="s">
        <v>733</v>
      </c>
      <c r="B1029" s="17" t="s">
        <v>733</v>
      </c>
      <c r="C1029" s="17" t="s">
        <v>733</v>
      </c>
      <c r="D1029" s="5"/>
    </row>
    <row r="1030">
      <c r="A1030" s="21" t="s">
        <v>733</v>
      </c>
      <c r="B1030" s="17" t="s">
        <v>733</v>
      </c>
      <c r="C1030" s="17" t="s">
        <v>733</v>
      </c>
      <c r="D1030" s="5"/>
    </row>
    <row r="1031">
      <c r="A1031" s="21" t="s">
        <v>733</v>
      </c>
      <c r="B1031" s="17" t="s">
        <v>733</v>
      </c>
      <c r="C1031" s="17" t="s">
        <v>733</v>
      </c>
      <c r="D1031" s="5"/>
    </row>
    <row r="1032">
      <c r="A1032" s="21" t="s">
        <v>733</v>
      </c>
      <c r="B1032" s="17" t="s">
        <v>733</v>
      </c>
      <c r="C1032" s="17" t="s">
        <v>733</v>
      </c>
      <c r="D1032" s="5"/>
    </row>
    <row r="1033">
      <c r="A1033" s="21" t="s">
        <v>733</v>
      </c>
      <c r="B1033" s="17" t="s">
        <v>733</v>
      </c>
      <c r="C1033" s="17" t="s">
        <v>733</v>
      </c>
      <c r="D1033" s="5"/>
    </row>
    <row r="1034">
      <c r="A1034" s="21" t="s">
        <v>733</v>
      </c>
      <c r="B1034" s="17" t="s">
        <v>733</v>
      </c>
      <c r="C1034" s="17" t="s">
        <v>733</v>
      </c>
      <c r="D1034" s="5"/>
    </row>
    <row r="1035">
      <c r="A1035" s="21" t="s">
        <v>733</v>
      </c>
      <c r="B1035" s="17" t="s">
        <v>733</v>
      </c>
      <c r="C1035" s="17" t="s">
        <v>733</v>
      </c>
      <c r="D1035" s="5"/>
    </row>
    <row r="1036">
      <c r="A1036" s="21" t="s">
        <v>733</v>
      </c>
      <c r="B1036" s="17" t="s">
        <v>733</v>
      </c>
      <c r="C1036" s="17" t="s">
        <v>733</v>
      </c>
      <c r="D1036" s="5"/>
    </row>
    <row r="1037">
      <c r="A1037" s="21" t="s">
        <v>733</v>
      </c>
      <c r="B1037" s="17" t="s">
        <v>733</v>
      </c>
      <c r="C1037" s="17" t="s">
        <v>733</v>
      </c>
      <c r="D1037" s="5"/>
    </row>
    <row r="1038">
      <c r="A1038" s="21" t="s">
        <v>733</v>
      </c>
      <c r="B1038" s="17" t="s">
        <v>733</v>
      </c>
      <c r="C1038" s="17" t="s">
        <v>733</v>
      </c>
      <c r="D1038" s="5"/>
    </row>
    <row r="1039">
      <c r="A1039" s="21" t="s">
        <v>733</v>
      </c>
      <c r="B1039" s="17" t="s">
        <v>733</v>
      </c>
      <c r="C1039" s="17" t="s">
        <v>733</v>
      </c>
      <c r="D1039" s="5"/>
    </row>
    <row r="1040">
      <c r="A1040" s="21" t="s">
        <v>733</v>
      </c>
      <c r="B1040" s="17" t="s">
        <v>733</v>
      </c>
      <c r="C1040" s="17" t="s">
        <v>733</v>
      </c>
      <c r="D1040" s="5"/>
    </row>
    <row r="1041">
      <c r="A1041" s="21" t="s">
        <v>733</v>
      </c>
      <c r="B1041" s="17" t="s">
        <v>733</v>
      </c>
      <c r="C1041" s="17" t="s">
        <v>733</v>
      </c>
      <c r="D1041" s="5"/>
    </row>
    <row r="1042">
      <c r="A1042" s="21" t="s">
        <v>733</v>
      </c>
      <c r="B1042" s="17" t="s">
        <v>733</v>
      </c>
      <c r="C1042" s="17" t="s">
        <v>733</v>
      </c>
      <c r="D1042" s="5"/>
    </row>
    <row r="1043">
      <c r="A1043" s="21" t="s">
        <v>733</v>
      </c>
      <c r="B1043" s="17" t="s">
        <v>733</v>
      </c>
      <c r="C1043" s="17" t="s">
        <v>733</v>
      </c>
      <c r="D1043" s="5"/>
    </row>
    <row r="1044">
      <c r="A1044" s="21" t="s">
        <v>733</v>
      </c>
      <c r="B1044" s="17" t="s">
        <v>733</v>
      </c>
      <c r="C1044" s="17" t="s">
        <v>733</v>
      </c>
      <c r="D1044" s="5"/>
    </row>
    <row r="1045">
      <c r="A1045" s="21" t="s">
        <v>733</v>
      </c>
      <c r="B1045" s="17" t="s">
        <v>733</v>
      </c>
      <c r="C1045" s="17" t="s">
        <v>733</v>
      </c>
      <c r="D1045" s="5"/>
    </row>
    <row r="1046">
      <c r="A1046" s="21" t="s">
        <v>733</v>
      </c>
      <c r="B1046" s="17" t="s">
        <v>733</v>
      </c>
      <c r="C1046" s="17" t="s">
        <v>733</v>
      </c>
      <c r="D1046" s="5"/>
    </row>
    <row r="1047">
      <c r="A1047" s="21" t="s">
        <v>733</v>
      </c>
      <c r="B1047" s="17" t="s">
        <v>733</v>
      </c>
      <c r="C1047" s="17" t="s">
        <v>733</v>
      </c>
      <c r="D1047" s="5"/>
    </row>
    <row r="1048">
      <c r="A1048" s="21" t="s">
        <v>733</v>
      </c>
      <c r="B1048" s="17" t="s">
        <v>733</v>
      </c>
      <c r="C1048" s="17" t="s">
        <v>733</v>
      </c>
      <c r="D1048" s="5"/>
    </row>
    <row r="1049">
      <c r="A1049" s="21" t="s">
        <v>733</v>
      </c>
      <c r="B1049" s="17" t="s">
        <v>733</v>
      </c>
      <c r="C1049" s="17" t="s">
        <v>733</v>
      </c>
      <c r="D1049" s="5"/>
    </row>
    <row r="1050">
      <c r="A1050" s="21" t="s">
        <v>733</v>
      </c>
      <c r="B1050" s="17" t="s">
        <v>733</v>
      </c>
      <c r="C1050" s="17" t="s">
        <v>733</v>
      </c>
      <c r="D1050" s="5"/>
    </row>
    <row r="1051">
      <c r="A1051" s="21" t="s">
        <v>733</v>
      </c>
      <c r="B1051" s="17" t="s">
        <v>733</v>
      </c>
      <c r="C1051" s="17" t="s">
        <v>733</v>
      </c>
      <c r="D1051" s="5"/>
    </row>
    <row r="1052">
      <c r="A1052" s="21" t="s">
        <v>733</v>
      </c>
      <c r="B1052" s="17" t="s">
        <v>733</v>
      </c>
      <c r="C1052" s="17" t="s">
        <v>733</v>
      </c>
      <c r="D1052" s="5"/>
    </row>
    <row r="1053">
      <c r="A1053" s="21" t="s">
        <v>733</v>
      </c>
      <c r="B1053" s="17" t="s">
        <v>733</v>
      </c>
      <c r="C1053" s="17" t="s">
        <v>733</v>
      </c>
      <c r="D1053" s="5"/>
    </row>
    <row r="1054">
      <c r="A1054" s="21" t="s">
        <v>733</v>
      </c>
      <c r="B1054" s="17" t="s">
        <v>733</v>
      </c>
      <c r="C1054" s="17" t="s">
        <v>733</v>
      </c>
      <c r="D1054" s="5"/>
    </row>
    <row r="1055">
      <c r="A1055" s="21" t="s">
        <v>733</v>
      </c>
      <c r="B1055" s="17" t="s">
        <v>733</v>
      </c>
      <c r="C1055" s="17" t="s">
        <v>733</v>
      </c>
      <c r="D1055" s="5"/>
    </row>
    <row r="1056">
      <c r="A1056" s="21" t="s">
        <v>733</v>
      </c>
      <c r="B1056" s="17" t="s">
        <v>733</v>
      </c>
      <c r="C1056" s="17" t="s">
        <v>733</v>
      </c>
      <c r="D1056" s="5"/>
    </row>
    <row r="1057">
      <c r="A1057" s="21" t="s">
        <v>733</v>
      </c>
      <c r="B1057" s="17" t="s">
        <v>733</v>
      </c>
      <c r="C1057" s="17" t="s">
        <v>733</v>
      </c>
      <c r="D1057" s="5"/>
    </row>
    <row r="1058">
      <c r="A1058" s="21" t="s">
        <v>733</v>
      </c>
      <c r="B1058" s="17" t="s">
        <v>733</v>
      </c>
      <c r="C1058" s="17" t="s">
        <v>733</v>
      </c>
      <c r="D1058" s="5"/>
    </row>
    <row r="1059">
      <c r="A1059" s="21" t="s">
        <v>733</v>
      </c>
      <c r="B1059" s="17" t="s">
        <v>733</v>
      </c>
      <c r="C1059" s="17" t="s">
        <v>733</v>
      </c>
      <c r="D1059" s="5"/>
    </row>
    <row r="1060">
      <c r="A1060" s="21" t="s">
        <v>733</v>
      </c>
      <c r="B1060" s="17" t="s">
        <v>733</v>
      </c>
      <c r="C1060" s="17" t="s">
        <v>733</v>
      </c>
      <c r="D1060" s="5"/>
    </row>
    <row r="1061">
      <c r="A1061" s="21" t="s">
        <v>733</v>
      </c>
      <c r="B1061" s="17" t="s">
        <v>733</v>
      </c>
      <c r="C1061" s="17" t="s">
        <v>733</v>
      </c>
      <c r="D1061" s="5"/>
    </row>
    <row r="1062">
      <c r="A1062" s="21" t="s">
        <v>733</v>
      </c>
      <c r="B1062" s="17" t="s">
        <v>733</v>
      </c>
      <c r="C1062" s="17" t="s">
        <v>733</v>
      </c>
      <c r="D1062" s="5"/>
    </row>
    <row r="1063">
      <c r="A1063" s="21" t="s">
        <v>733</v>
      </c>
      <c r="B1063" s="17" t="s">
        <v>733</v>
      </c>
      <c r="C1063" s="17" t="s">
        <v>733</v>
      </c>
      <c r="D1063" s="5"/>
    </row>
    <row r="1064">
      <c r="A1064" s="21" t="s">
        <v>733</v>
      </c>
      <c r="B1064" s="17" t="s">
        <v>733</v>
      </c>
      <c r="C1064" s="17" t="s">
        <v>733</v>
      </c>
      <c r="D1064" s="5"/>
    </row>
    <row r="1065">
      <c r="A1065" s="21" t="s">
        <v>733</v>
      </c>
      <c r="B1065" s="17" t="s">
        <v>733</v>
      </c>
      <c r="C1065" s="17" t="s">
        <v>733</v>
      </c>
      <c r="D1065" s="5"/>
    </row>
    <row r="1066">
      <c r="A1066" s="21" t="s">
        <v>733</v>
      </c>
      <c r="B1066" s="17" t="s">
        <v>733</v>
      </c>
      <c r="C1066" s="17" t="s">
        <v>733</v>
      </c>
      <c r="D1066" s="5"/>
    </row>
    <row r="1067">
      <c r="A1067" s="21" t="s">
        <v>733</v>
      </c>
      <c r="B1067" s="17" t="s">
        <v>733</v>
      </c>
      <c r="C1067" s="17" t="s">
        <v>733</v>
      </c>
      <c r="D1067" s="5"/>
    </row>
    <row r="1068">
      <c r="A1068" s="21" t="s">
        <v>733</v>
      </c>
      <c r="B1068" s="17" t="s">
        <v>733</v>
      </c>
      <c r="C1068" s="17" t="s">
        <v>733</v>
      </c>
      <c r="D1068" s="5"/>
    </row>
    <row r="1069">
      <c r="A1069" s="21" t="s">
        <v>733</v>
      </c>
      <c r="B1069" s="17" t="s">
        <v>733</v>
      </c>
      <c r="C1069" s="17" t="s">
        <v>733</v>
      </c>
      <c r="D1069" s="5"/>
    </row>
    <row r="1070">
      <c r="A1070" s="21" t="s">
        <v>733</v>
      </c>
      <c r="B1070" s="17" t="s">
        <v>733</v>
      </c>
      <c r="C1070" s="17" t="s">
        <v>733</v>
      </c>
      <c r="D1070" s="5"/>
    </row>
    <row r="1071">
      <c r="A1071" s="21" t="s">
        <v>733</v>
      </c>
      <c r="B1071" s="17" t="s">
        <v>733</v>
      </c>
      <c r="C1071" s="17" t="s">
        <v>733</v>
      </c>
      <c r="D1071" s="5"/>
    </row>
    <row r="1072">
      <c r="A1072" s="21" t="s">
        <v>733</v>
      </c>
      <c r="B1072" s="17" t="s">
        <v>733</v>
      </c>
      <c r="C1072" s="17" t="s">
        <v>733</v>
      </c>
      <c r="D1072" s="5"/>
    </row>
    <row r="1073">
      <c r="A1073" s="21" t="s">
        <v>733</v>
      </c>
      <c r="B1073" s="17" t="s">
        <v>733</v>
      </c>
      <c r="C1073" s="17" t="s">
        <v>733</v>
      </c>
      <c r="D1073" s="5"/>
    </row>
    <row r="1074">
      <c r="A1074" s="21" t="s">
        <v>733</v>
      </c>
      <c r="B1074" s="17" t="s">
        <v>733</v>
      </c>
      <c r="C1074" s="17" t="s">
        <v>733</v>
      </c>
      <c r="D1074" s="5"/>
    </row>
    <row r="1075">
      <c r="A1075" s="21" t="s">
        <v>733</v>
      </c>
      <c r="B1075" s="17" t="s">
        <v>733</v>
      </c>
      <c r="C1075" s="17" t="s">
        <v>733</v>
      </c>
      <c r="D1075" s="5"/>
    </row>
    <row r="1076">
      <c r="A1076" s="21" t="s">
        <v>733</v>
      </c>
      <c r="B1076" s="17" t="s">
        <v>733</v>
      </c>
      <c r="C1076" s="17" t="s">
        <v>733</v>
      </c>
      <c r="D1076" s="5"/>
    </row>
    <row r="1077">
      <c r="A1077" s="21" t="s">
        <v>733</v>
      </c>
      <c r="B1077" s="17" t="s">
        <v>733</v>
      </c>
      <c r="C1077" s="17" t="s">
        <v>733</v>
      </c>
      <c r="D1077" s="5"/>
    </row>
    <row r="1078">
      <c r="A1078" s="21" t="s">
        <v>733</v>
      </c>
      <c r="B1078" s="17" t="s">
        <v>733</v>
      </c>
      <c r="C1078" s="17" t="s">
        <v>733</v>
      </c>
      <c r="D1078" s="5"/>
    </row>
    <row r="1079">
      <c r="A1079" s="21" t="s">
        <v>733</v>
      </c>
      <c r="B1079" s="17" t="s">
        <v>733</v>
      </c>
      <c r="C1079" s="17" t="s">
        <v>733</v>
      </c>
      <c r="D1079" s="5"/>
    </row>
    <row r="1080">
      <c r="A1080" s="21" t="s">
        <v>733</v>
      </c>
      <c r="B1080" s="17" t="s">
        <v>733</v>
      </c>
      <c r="C1080" s="17" t="s">
        <v>733</v>
      </c>
      <c r="D1080" s="5"/>
    </row>
    <row r="1081">
      <c r="A1081" s="21" t="s">
        <v>733</v>
      </c>
      <c r="B1081" s="17" t="s">
        <v>733</v>
      </c>
      <c r="C1081" s="17" t="s">
        <v>733</v>
      </c>
      <c r="D1081" s="5"/>
    </row>
    <row r="1082">
      <c r="A1082" s="21" t="s">
        <v>733</v>
      </c>
      <c r="B1082" s="17" t="s">
        <v>733</v>
      </c>
      <c r="C1082" s="17" t="s">
        <v>733</v>
      </c>
      <c r="D1082" s="5"/>
    </row>
    <row r="1083">
      <c r="A1083" s="21" t="s">
        <v>733</v>
      </c>
      <c r="B1083" s="17" t="s">
        <v>733</v>
      </c>
      <c r="C1083" s="17" t="s">
        <v>733</v>
      </c>
      <c r="D1083" s="5"/>
    </row>
    <row r="1084">
      <c r="A1084" s="21" t="s">
        <v>733</v>
      </c>
      <c r="B1084" s="17" t="s">
        <v>733</v>
      </c>
      <c r="C1084" s="17" t="s">
        <v>733</v>
      </c>
      <c r="D1084" s="5"/>
    </row>
    <row r="1085">
      <c r="A1085" s="21" t="s">
        <v>733</v>
      </c>
      <c r="B1085" s="17" t="s">
        <v>733</v>
      </c>
      <c r="C1085" s="17" t="s">
        <v>733</v>
      </c>
      <c r="D1085" s="5"/>
    </row>
    <row r="1086">
      <c r="A1086" s="21" t="s">
        <v>733</v>
      </c>
      <c r="B1086" s="17" t="s">
        <v>733</v>
      </c>
      <c r="C1086" s="17" t="s">
        <v>733</v>
      </c>
      <c r="D1086" s="5"/>
    </row>
    <row r="1087">
      <c r="A1087" s="21" t="s">
        <v>733</v>
      </c>
      <c r="B1087" s="17" t="s">
        <v>733</v>
      </c>
      <c r="C1087" s="17" t="s">
        <v>733</v>
      </c>
      <c r="D1087" s="5"/>
    </row>
    <row r="1088">
      <c r="A1088" s="21" t="s">
        <v>733</v>
      </c>
      <c r="B1088" s="17" t="s">
        <v>733</v>
      </c>
      <c r="C1088" s="17" t="s">
        <v>733</v>
      </c>
      <c r="D1088" s="5"/>
    </row>
    <row r="1089">
      <c r="A1089" s="21" t="s">
        <v>733</v>
      </c>
      <c r="B1089" s="17" t="s">
        <v>733</v>
      </c>
      <c r="C1089" s="17" t="s">
        <v>733</v>
      </c>
      <c r="D1089" s="5"/>
    </row>
    <row r="1090">
      <c r="A1090" s="21" t="s">
        <v>733</v>
      </c>
      <c r="B1090" s="17" t="s">
        <v>733</v>
      </c>
      <c r="C1090" s="17" t="s">
        <v>733</v>
      </c>
      <c r="D1090" s="5"/>
    </row>
    <row r="1091">
      <c r="A1091" s="21" t="s">
        <v>733</v>
      </c>
      <c r="B1091" s="17" t="s">
        <v>733</v>
      </c>
      <c r="C1091" s="17" t="s">
        <v>733</v>
      </c>
      <c r="D1091" s="5"/>
    </row>
    <row r="1092">
      <c r="A1092" s="21" t="s">
        <v>733</v>
      </c>
      <c r="B1092" s="17" t="s">
        <v>733</v>
      </c>
      <c r="C1092" s="17" t="s">
        <v>733</v>
      </c>
      <c r="D1092" s="5"/>
    </row>
    <row r="1093">
      <c r="A1093" s="21" t="s">
        <v>733</v>
      </c>
      <c r="B1093" s="17" t="s">
        <v>733</v>
      </c>
      <c r="C1093" s="17" t="s">
        <v>733</v>
      </c>
      <c r="D1093" s="5"/>
    </row>
    <row r="1094">
      <c r="A1094" s="21" t="s">
        <v>733</v>
      </c>
      <c r="B1094" s="17" t="s">
        <v>733</v>
      </c>
      <c r="C1094" s="17" t="s">
        <v>733</v>
      </c>
      <c r="D1094" s="5"/>
    </row>
    <row r="1095">
      <c r="A1095" s="21" t="s">
        <v>733</v>
      </c>
      <c r="B1095" s="17" t="s">
        <v>733</v>
      </c>
      <c r="C1095" s="17" t="s">
        <v>733</v>
      </c>
      <c r="D1095" s="5"/>
    </row>
    <row r="1096">
      <c r="A1096" s="21" t="s">
        <v>733</v>
      </c>
      <c r="B1096" s="17" t="s">
        <v>733</v>
      </c>
      <c r="C1096" s="17" t="s">
        <v>733</v>
      </c>
      <c r="D1096" s="5"/>
    </row>
    <row r="1097">
      <c r="A1097" s="21" t="s">
        <v>733</v>
      </c>
      <c r="B1097" s="17" t="s">
        <v>733</v>
      </c>
      <c r="C1097" s="17" t="s">
        <v>733</v>
      </c>
      <c r="D1097" s="5"/>
    </row>
    <row r="1098">
      <c r="A1098" s="21" t="s">
        <v>733</v>
      </c>
      <c r="B1098" s="17" t="s">
        <v>733</v>
      </c>
      <c r="C1098" s="17" t="s">
        <v>733</v>
      </c>
      <c r="D1098" s="5"/>
    </row>
    <row r="1099">
      <c r="A1099" s="21" t="s">
        <v>733</v>
      </c>
      <c r="B1099" s="17" t="s">
        <v>733</v>
      </c>
      <c r="C1099" s="17" t="s">
        <v>733</v>
      </c>
      <c r="D1099" s="5"/>
    </row>
    <row r="1100">
      <c r="A1100" s="21" t="s">
        <v>733</v>
      </c>
      <c r="B1100" s="17" t="s">
        <v>733</v>
      </c>
      <c r="C1100" s="17" t="s">
        <v>733</v>
      </c>
      <c r="D1100" s="5"/>
    </row>
    <row r="1101">
      <c r="A1101" s="21" t="s">
        <v>733</v>
      </c>
      <c r="B1101" s="17" t="s">
        <v>733</v>
      </c>
      <c r="C1101" s="17" t="s">
        <v>733</v>
      </c>
      <c r="D1101" s="5"/>
    </row>
    <row r="1102">
      <c r="A1102" s="21" t="s">
        <v>733</v>
      </c>
      <c r="B1102" s="17" t="s">
        <v>733</v>
      </c>
      <c r="C1102" s="17" t="s">
        <v>733</v>
      </c>
      <c r="D1102" s="5"/>
    </row>
    <row r="1103">
      <c r="A1103" s="21" t="s">
        <v>733</v>
      </c>
      <c r="B1103" s="17" t="s">
        <v>733</v>
      </c>
      <c r="C1103" s="17" t="s">
        <v>733</v>
      </c>
      <c r="D1103" s="5"/>
    </row>
    <row r="1104">
      <c r="A1104" s="21" t="s">
        <v>733</v>
      </c>
      <c r="B1104" s="17" t="s">
        <v>733</v>
      </c>
      <c r="C1104" s="17" t="s">
        <v>733</v>
      </c>
      <c r="D1104" s="5"/>
    </row>
    <row r="1105">
      <c r="A1105" s="21" t="s">
        <v>733</v>
      </c>
      <c r="B1105" s="17" t="s">
        <v>733</v>
      </c>
      <c r="C1105" s="17" t="s">
        <v>733</v>
      </c>
      <c r="D1105" s="5"/>
    </row>
    <row r="1106">
      <c r="A1106" s="21" t="s">
        <v>733</v>
      </c>
      <c r="B1106" s="17" t="s">
        <v>733</v>
      </c>
      <c r="C1106" s="17" t="s">
        <v>733</v>
      </c>
      <c r="D1106" s="5"/>
    </row>
    <row r="1107">
      <c r="A1107" s="21" t="s">
        <v>733</v>
      </c>
      <c r="B1107" s="17" t="s">
        <v>733</v>
      </c>
      <c r="C1107" s="17" t="s">
        <v>733</v>
      </c>
      <c r="D1107" s="5"/>
    </row>
    <row r="1108">
      <c r="A1108" s="21" t="s">
        <v>733</v>
      </c>
      <c r="B1108" s="17" t="s">
        <v>733</v>
      </c>
      <c r="C1108" s="17" t="s">
        <v>733</v>
      </c>
      <c r="D1108" s="5"/>
    </row>
    <row r="1109">
      <c r="A1109" s="21" t="s">
        <v>733</v>
      </c>
      <c r="B1109" s="17" t="s">
        <v>733</v>
      </c>
      <c r="C1109" s="17" t="s">
        <v>733</v>
      </c>
      <c r="D1109" s="5"/>
    </row>
    <row r="1110">
      <c r="A1110" s="21" t="s">
        <v>733</v>
      </c>
      <c r="B1110" s="17" t="s">
        <v>733</v>
      </c>
      <c r="C1110" s="17" t="s">
        <v>733</v>
      </c>
      <c r="D1110" s="5"/>
    </row>
    <row r="1111">
      <c r="A1111" s="21" t="s">
        <v>733</v>
      </c>
      <c r="B1111" s="17" t="s">
        <v>733</v>
      </c>
      <c r="C1111" s="17" t="s">
        <v>733</v>
      </c>
      <c r="D1111" s="5"/>
    </row>
    <row r="1112">
      <c r="A1112" s="21" t="s">
        <v>733</v>
      </c>
      <c r="B1112" s="17" t="s">
        <v>733</v>
      </c>
      <c r="C1112" s="17" t="s">
        <v>733</v>
      </c>
      <c r="D1112" s="5"/>
    </row>
    <row r="1113">
      <c r="A1113" s="21" t="s">
        <v>733</v>
      </c>
      <c r="B1113" s="17" t="s">
        <v>733</v>
      </c>
      <c r="C1113" s="17" t="s">
        <v>733</v>
      </c>
      <c r="D1113" s="5"/>
    </row>
    <row r="1114">
      <c r="A1114" s="21" t="s">
        <v>733</v>
      </c>
      <c r="B1114" s="17" t="s">
        <v>733</v>
      </c>
      <c r="C1114" s="17" t="s">
        <v>733</v>
      </c>
      <c r="D1114" s="5"/>
    </row>
    <row r="1115">
      <c r="A1115" s="21" t="s">
        <v>733</v>
      </c>
      <c r="B1115" s="17" t="s">
        <v>733</v>
      </c>
      <c r="C1115" s="17" t="s">
        <v>733</v>
      </c>
      <c r="D1115" s="5"/>
    </row>
    <row r="1116">
      <c r="A1116" s="21" t="s">
        <v>733</v>
      </c>
      <c r="B1116" s="17" t="s">
        <v>733</v>
      </c>
      <c r="C1116" s="17" t="s">
        <v>733</v>
      </c>
      <c r="D1116" s="5"/>
    </row>
    <row r="1117">
      <c r="A1117" s="21" t="s">
        <v>733</v>
      </c>
      <c r="B1117" s="17" t="s">
        <v>733</v>
      </c>
      <c r="C1117" s="17" t="s">
        <v>733</v>
      </c>
      <c r="D1117" s="5"/>
    </row>
    <row r="1118">
      <c r="A1118" s="21" t="s">
        <v>733</v>
      </c>
      <c r="B1118" s="17" t="s">
        <v>733</v>
      </c>
      <c r="C1118" s="17" t="s">
        <v>733</v>
      </c>
      <c r="D1118" s="5"/>
    </row>
    <row r="1119">
      <c r="A1119" s="21" t="s">
        <v>733</v>
      </c>
      <c r="B1119" s="17" t="s">
        <v>733</v>
      </c>
      <c r="C1119" s="17" t="s">
        <v>733</v>
      </c>
      <c r="D1119" s="5"/>
    </row>
    <row r="1120">
      <c r="A1120" s="21" t="s">
        <v>733</v>
      </c>
      <c r="B1120" s="17" t="s">
        <v>733</v>
      </c>
      <c r="C1120" s="17" t="s">
        <v>733</v>
      </c>
      <c r="D1120" s="5"/>
    </row>
    <row r="1121">
      <c r="A1121" s="21" t="s">
        <v>733</v>
      </c>
      <c r="B1121" s="17" t="s">
        <v>733</v>
      </c>
      <c r="C1121" s="17" t="s">
        <v>733</v>
      </c>
      <c r="D1121" s="5"/>
    </row>
    <row r="1122">
      <c r="A1122" s="21" t="s">
        <v>733</v>
      </c>
      <c r="B1122" s="17" t="s">
        <v>733</v>
      </c>
      <c r="C1122" s="17" t="s">
        <v>733</v>
      </c>
      <c r="D1122" s="5"/>
    </row>
    <row r="1123">
      <c r="A1123" s="21" t="s">
        <v>733</v>
      </c>
      <c r="B1123" s="17" t="s">
        <v>733</v>
      </c>
      <c r="C1123" s="17" t="s">
        <v>733</v>
      </c>
      <c r="D1123" s="5"/>
    </row>
    <row r="1124">
      <c r="A1124" s="21" t="s">
        <v>733</v>
      </c>
      <c r="B1124" s="17" t="s">
        <v>733</v>
      </c>
      <c r="C1124" s="17" t="s">
        <v>733</v>
      </c>
      <c r="D1124" s="5"/>
    </row>
    <row r="1125">
      <c r="A1125" s="21" t="s">
        <v>733</v>
      </c>
      <c r="B1125" s="17" t="s">
        <v>733</v>
      </c>
      <c r="C1125" s="17" t="s">
        <v>733</v>
      </c>
      <c r="D1125" s="5"/>
    </row>
    <row r="1126">
      <c r="A1126" s="21" t="s">
        <v>733</v>
      </c>
      <c r="B1126" s="17" t="s">
        <v>733</v>
      </c>
      <c r="C1126" s="17" t="s">
        <v>733</v>
      </c>
      <c r="D1126" s="5"/>
    </row>
    <row r="1127">
      <c r="A1127" s="21" t="s">
        <v>733</v>
      </c>
      <c r="B1127" s="17" t="s">
        <v>733</v>
      </c>
      <c r="C1127" s="17" t="s">
        <v>733</v>
      </c>
      <c r="D1127" s="5"/>
    </row>
    <row r="1128">
      <c r="A1128" s="21" t="s">
        <v>733</v>
      </c>
      <c r="B1128" s="17" t="s">
        <v>733</v>
      </c>
      <c r="C1128" s="17" t="s">
        <v>733</v>
      </c>
      <c r="D1128" s="5"/>
    </row>
    <row r="1129">
      <c r="A1129" s="21" t="s">
        <v>733</v>
      </c>
      <c r="B1129" s="17" t="s">
        <v>733</v>
      </c>
      <c r="C1129" s="17" t="s">
        <v>733</v>
      </c>
      <c r="D1129" s="5"/>
    </row>
    <row r="1130">
      <c r="A1130" s="21" t="s">
        <v>733</v>
      </c>
      <c r="B1130" s="17" t="s">
        <v>733</v>
      </c>
      <c r="C1130" s="17" t="s">
        <v>733</v>
      </c>
      <c r="D1130" s="5"/>
    </row>
    <row r="1131">
      <c r="A1131" s="21" t="s">
        <v>733</v>
      </c>
      <c r="B1131" s="17" t="s">
        <v>733</v>
      </c>
      <c r="C1131" s="17" t="s">
        <v>733</v>
      </c>
      <c r="D1131" s="5"/>
    </row>
    <row r="1132">
      <c r="A1132" s="21" t="s">
        <v>733</v>
      </c>
      <c r="B1132" s="17" t="s">
        <v>733</v>
      </c>
      <c r="C1132" s="17" t="s">
        <v>733</v>
      </c>
      <c r="D1132" s="5"/>
    </row>
    <row r="1133">
      <c r="A1133" s="21" t="s">
        <v>733</v>
      </c>
      <c r="B1133" s="17" t="s">
        <v>733</v>
      </c>
      <c r="C1133" s="17" t="s">
        <v>733</v>
      </c>
      <c r="D1133" s="5"/>
    </row>
    <row r="1134">
      <c r="A1134" s="21" t="s">
        <v>733</v>
      </c>
      <c r="B1134" s="17" t="s">
        <v>733</v>
      </c>
      <c r="C1134" s="17" t="s">
        <v>733</v>
      </c>
      <c r="D1134" s="5"/>
    </row>
    <row r="1135">
      <c r="A1135" s="21" t="s">
        <v>733</v>
      </c>
      <c r="B1135" s="17" t="s">
        <v>733</v>
      </c>
      <c r="C1135" s="17" t="s">
        <v>733</v>
      </c>
      <c r="D1135" s="5"/>
    </row>
    <row r="1136">
      <c r="A1136" s="21" t="s">
        <v>733</v>
      </c>
      <c r="B1136" s="17" t="s">
        <v>733</v>
      </c>
      <c r="C1136" s="17" t="s">
        <v>733</v>
      </c>
      <c r="D1136" s="5"/>
    </row>
    <row r="1137">
      <c r="A1137" s="21" t="s">
        <v>733</v>
      </c>
      <c r="B1137" s="17" t="s">
        <v>733</v>
      </c>
      <c r="C1137" s="17" t="s">
        <v>733</v>
      </c>
      <c r="D1137" s="5"/>
    </row>
    <row r="1138">
      <c r="A1138" s="21" t="s">
        <v>733</v>
      </c>
      <c r="B1138" s="17" t="s">
        <v>733</v>
      </c>
      <c r="C1138" s="17" t="s">
        <v>733</v>
      </c>
      <c r="D1138" s="5"/>
    </row>
    <row r="1139">
      <c r="A1139" s="21" t="s">
        <v>733</v>
      </c>
      <c r="B1139" s="17" t="s">
        <v>733</v>
      </c>
      <c r="C1139" s="17" t="s">
        <v>733</v>
      </c>
      <c r="D1139" s="5"/>
    </row>
    <row r="1140">
      <c r="A1140" s="21" t="s">
        <v>733</v>
      </c>
      <c r="B1140" s="17" t="s">
        <v>733</v>
      </c>
      <c r="C1140" s="17" t="s">
        <v>733</v>
      </c>
      <c r="D1140" s="5"/>
    </row>
    <row r="1141">
      <c r="A1141" s="21" t="s">
        <v>733</v>
      </c>
      <c r="B1141" s="17" t="s">
        <v>733</v>
      </c>
      <c r="C1141" s="17" t="s">
        <v>733</v>
      </c>
      <c r="D1141" s="5"/>
    </row>
    <row r="1142">
      <c r="A1142" s="21" t="s">
        <v>733</v>
      </c>
      <c r="B1142" s="17" t="s">
        <v>733</v>
      </c>
      <c r="C1142" s="17" t="s">
        <v>733</v>
      </c>
      <c r="D1142" s="5"/>
    </row>
    <row r="1143">
      <c r="A1143" s="21" t="s">
        <v>733</v>
      </c>
      <c r="B1143" s="17" t="s">
        <v>733</v>
      </c>
      <c r="C1143" s="17" t="s">
        <v>733</v>
      </c>
      <c r="D1143" s="5"/>
    </row>
    <row r="1144">
      <c r="A1144" s="21" t="s">
        <v>733</v>
      </c>
      <c r="B1144" s="17" t="s">
        <v>733</v>
      </c>
      <c r="C1144" s="17" t="s">
        <v>733</v>
      </c>
      <c r="D1144" s="5"/>
    </row>
    <row r="1145">
      <c r="A1145" s="21" t="s">
        <v>733</v>
      </c>
      <c r="B1145" s="17" t="s">
        <v>733</v>
      </c>
      <c r="C1145" s="17" t="s">
        <v>733</v>
      </c>
      <c r="D1145" s="5"/>
    </row>
    <row r="1146">
      <c r="A1146" s="21" t="s">
        <v>733</v>
      </c>
      <c r="B1146" s="17" t="s">
        <v>733</v>
      </c>
      <c r="C1146" s="17" t="s">
        <v>733</v>
      </c>
      <c r="D1146" s="5"/>
    </row>
    <row r="1147">
      <c r="A1147" s="21" t="s">
        <v>733</v>
      </c>
      <c r="B1147" s="17" t="s">
        <v>733</v>
      </c>
      <c r="C1147" s="17" t="s">
        <v>733</v>
      </c>
      <c r="D1147" s="5"/>
    </row>
    <row r="1148">
      <c r="A1148" s="21" t="s">
        <v>733</v>
      </c>
      <c r="B1148" s="17" t="s">
        <v>733</v>
      </c>
      <c r="C1148" s="17" t="s">
        <v>733</v>
      </c>
      <c r="D1148" s="5"/>
    </row>
    <row r="1149">
      <c r="A1149" s="21" t="s">
        <v>733</v>
      </c>
      <c r="B1149" s="17" t="s">
        <v>733</v>
      </c>
      <c r="C1149" s="17" t="s">
        <v>733</v>
      </c>
      <c r="D1149" s="5"/>
    </row>
    <row r="1150">
      <c r="A1150" s="21" t="s">
        <v>733</v>
      </c>
      <c r="B1150" s="17" t="s">
        <v>733</v>
      </c>
      <c r="C1150" s="17" t="s">
        <v>733</v>
      </c>
      <c r="D1150" s="5"/>
    </row>
    <row r="1151">
      <c r="A1151" s="21" t="s">
        <v>733</v>
      </c>
      <c r="B1151" s="17" t="s">
        <v>733</v>
      </c>
      <c r="C1151" s="17" t="s">
        <v>733</v>
      </c>
      <c r="D1151" s="5"/>
    </row>
    <row r="1152">
      <c r="A1152" s="21" t="s">
        <v>733</v>
      </c>
      <c r="B1152" s="17" t="s">
        <v>733</v>
      </c>
      <c r="C1152" s="17" t="s">
        <v>733</v>
      </c>
      <c r="D1152" s="5"/>
    </row>
    <row r="1153">
      <c r="A1153" s="21" t="s">
        <v>733</v>
      </c>
      <c r="B1153" s="17" t="s">
        <v>733</v>
      </c>
      <c r="C1153" s="17" t="s">
        <v>733</v>
      </c>
      <c r="D1153" s="5"/>
    </row>
    <row r="1154">
      <c r="A1154" s="21" t="s">
        <v>733</v>
      </c>
      <c r="B1154" s="17" t="s">
        <v>733</v>
      </c>
      <c r="C1154" s="17" t="s">
        <v>733</v>
      </c>
      <c r="D1154" s="5"/>
    </row>
    <row r="1155">
      <c r="A1155" s="21" t="s">
        <v>733</v>
      </c>
      <c r="B1155" s="17" t="s">
        <v>733</v>
      </c>
      <c r="C1155" s="17" t="s">
        <v>733</v>
      </c>
      <c r="D1155" s="5"/>
    </row>
    <row r="1156">
      <c r="A1156" s="21" t="s">
        <v>733</v>
      </c>
      <c r="B1156" s="17" t="s">
        <v>733</v>
      </c>
      <c r="C1156" s="17" t="s">
        <v>733</v>
      </c>
      <c r="D1156" s="5"/>
    </row>
    <row r="1157">
      <c r="A1157" s="21" t="s">
        <v>733</v>
      </c>
      <c r="B1157" s="17" t="s">
        <v>733</v>
      </c>
      <c r="C1157" s="17" t="s">
        <v>733</v>
      </c>
      <c r="D1157" s="5"/>
    </row>
    <row r="1158">
      <c r="A1158" s="21" t="s">
        <v>733</v>
      </c>
      <c r="B1158" s="17" t="s">
        <v>733</v>
      </c>
      <c r="C1158" s="17" t="s">
        <v>733</v>
      </c>
      <c r="D1158" s="5"/>
    </row>
    <row r="1159">
      <c r="A1159" s="21" t="s">
        <v>733</v>
      </c>
      <c r="B1159" s="17" t="s">
        <v>733</v>
      </c>
      <c r="C1159" s="17" t="s">
        <v>733</v>
      </c>
      <c r="D1159" s="5"/>
    </row>
    <row r="1160">
      <c r="A1160" s="21" t="s">
        <v>733</v>
      </c>
      <c r="B1160" s="17" t="s">
        <v>733</v>
      </c>
      <c r="C1160" s="17" t="s">
        <v>733</v>
      </c>
      <c r="D1160" s="5"/>
    </row>
    <row r="1161">
      <c r="A1161" s="21" t="s">
        <v>733</v>
      </c>
      <c r="B1161" s="17" t="s">
        <v>733</v>
      </c>
      <c r="C1161" s="17" t="s">
        <v>733</v>
      </c>
      <c r="D1161" s="5"/>
    </row>
    <row r="1162">
      <c r="A1162" s="21" t="s">
        <v>733</v>
      </c>
      <c r="B1162" s="17" t="s">
        <v>733</v>
      </c>
      <c r="C1162" s="17" t="s">
        <v>733</v>
      </c>
      <c r="D1162" s="5"/>
    </row>
    <row r="1163">
      <c r="A1163" s="21" t="s">
        <v>733</v>
      </c>
      <c r="B1163" s="17" t="s">
        <v>733</v>
      </c>
      <c r="C1163" s="17" t="s">
        <v>733</v>
      </c>
      <c r="D1163" s="5"/>
    </row>
    <row r="1164">
      <c r="A1164" s="21" t="s">
        <v>733</v>
      </c>
      <c r="B1164" s="17" t="s">
        <v>733</v>
      </c>
      <c r="C1164" s="17" t="s">
        <v>733</v>
      </c>
      <c r="D1164" s="5"/>
    </row>
    <row r="1165">
      <c r="A1165" s="21" t="s">
        <v>733</v>
      </c>
      <c r="B1165" s="17" t="s">
        <v>733</v>
      </c>
      <c r="C1165" s="17" t="s">
        <v>733</v>
      </c>
      <c r="D1165" s="5"/>
    </row>
    <row r="1166">
      <c r="A1166" s="21" t="s">
        <v>733</v>
      </c>
      <c r="B1166" s="17" t="s">
        <v>733</v>
      </c>
      <c r="C1166" s="17" t="s">
        <v>733</v>
      </c>
      <c r="D1166" s="5"/>
    </row>
    <row r="1167">
      <c r="A1167" s="21" t="s">
        <v>733</v>
      </c>
      <c r="B1167" s="17" t="s">
        <v>733</v>
      </c>
      <c r="C1167" s="17" t="s">
        <v>733</v>
      </c>
      <c r="D1167" s="5"/>
    </row>
    <row r="1168">
      <c r="A1168" s="21" t="s">
        <v>733</v>
      </c>
      <c r="B1168" s="17" t="s">
        <v>733</v>
      </c>
      <c r="C1168" s="17" t="s">
        <v>733</v>
      </c>
      <c r="D1168" s="5"/>
    </row>
    <row r="1169">
      <c r="A1169" s="21" t="s">
        <v>733</v>
      </c>
      <c r="B1169" s="17" t="s">
        <v>733</v>
      </c>
      <c r="C1169" s="17" t="s">
        <v>733</v>
      </c>
      <c r="D1169" s="5"/>
    </row>
    <row r="1170">
      <c r="A1170" s="21" t="s">
        <v>733</v>
      </c>
      <c r="B1170" s="17" t="s">
        <v>733</v>
      </c>
      <c r="C1170" s="17" t="s">
        <v>733</v>
      </c>
      <c r="D1170" s="5"/>
    </row>
    <row r="1171">
      <c r="A1171" s="21" t="s">
        <v>733</v>
      </c>
      <c r="B1171" s="17" t="s">
        <v>733</v>
      </c>
      <c r="C1171" s="17" t="s">
        <v>733</v>
      </c>
      <c r="D1171" s="5"/>
    </row>
    <row r="1172">
      <c r="A1172" s="21" t="s">
        <v>733</v>
      </c>
      <c r="B1172" s="17" t="s">
        <v>733</v>
      </c>
      <c r="C1172" s="17" t="s">
        <v>733</v>
      </c>
      <c r="D1172" s="5"/>
    </row>
    <row r="1173">
      <c r="A1173" s="21" t="s">
        <v>733</v>
      </c>
      <c r="B1173" s="17" t="s">
        <v>733</v>
      </c>
      <c r="C1173" s="17" t="s">
        <v>733</v>
      </c>
      <c r="D1173" s="5"/>
    </row>
    <row r="1174">
      <c r="A1174" s="21" t="s">
        <v>733</v>
      </c>
      <c r="B1174" s="17" t="s">
        <v>733</v>
      </c>
      <c r="C1174" s="17" t="s">
        <v>733</v>
      </c>
      <c r="D1174" s="5"/>
    </row>
    <row r="1175">
      <c r="A1175" s="21" t="s">
        <v>733</v>
      </c>
      <c r="B1175" s="17" t="s">
        <v>733</v>
      </c>
      <c r="C1175" s="17" t="s">
        <v>733</v>
      </c>
      <c r="D1175" s="5"/>
    </row>
    <row r="1176">
      <c r="A1176" s="21" t="s">
        <v>733</v>
      </c>
      <c r="B1176" s="17" t="s">
        <v>733</v>
      </c>
      <c r="C1176" s="17" t="s">
        <v>733</v>
      </c>
      <c r="D1176" s="5"/>
    </row>
    <row r="1177">
      <c r="A1177" s="21" t="s">
        <v>733</v>
      </c>
      <c r="B1177" s="17" t="s">
        <v>733</v>
      </c>
      <c r="C1177" s="17" t="s">
        <v>733</v>
      </c>
      <c r="D1177" s="5"/>
    </row>
    <row r="1178">
      <c r="A1178" s="21" t="s">
        <v>733</v>
      </c>
      <c r="B1178" s="17" t="s">
        <v>733</v>
      </c>
      <c r="C1178" s="17" t="s">
        <v>733</v>
      </c>
      <c r="D1178" s="5"/>
    </row>
    <row r="1179">
      <c r="A1179" s="21" t="s">
        <v>733</v>
      </c>
      <c r="B1179" s="17" t="s">
        <v>733</v>
      </c>
      <c r="C1179" s="17" t="s">
        <v>733</v>
      </c>
      <c r="D1179" s="5"/>
    </row>
    <row r="1180">
      <c r="A1180" s="21" t="s">
        <v>733</v>
      </c>
      <c r="B1180" s="17" t="s">
        <v>733</v>
      </c>
      <c r="C1180" s="17" t="s">
        <v>733</v>
      </c>
      <c r="D1180" s="5"/>
    </row>
    <row r="1181">
      <c r="A1181" s="21" t="s">
        <v>733</v>
      </c>
      <c r="B1181" s="17" t="s">
        <v>733</v>
      </c>
      <c r="C1181" s="17" t="s">
        <v>733</v>
      </c>
      <c r="D1181" s="5"/>
    </row>
    <row r="1182">
      <c r="A1182" s="21" t="s">
        <v>733</v>
      </c>
      <c r="B1182" s="17" t="s">
        <v>733</v>
      </c>
      <c r="C1182" s="17" t="s">
        <v>733</v>
      </c>
      <c r="D1182" s="5"/>
    </row>
    <row r="1183">
      <c r="A1183" s="21" t="s">
        <v>733</v>
      </c>
      <c r="B1183" s="17" t="s">
        <v>733</v>
      </c>
      <c r="C1183" s="17" t="s">
        <v>733</v>
      </c>
      <c r="D1183" s="5"/>
    </row>
    <row r="1184">
      <c r="A1184" s="21" t="s">
        <v>733</v>
      </c>
      <c r="B1184" s="17" t="s">
        <v>733</v>
      </c>
      <c r="C1184" s="17" t="s">
        <v>733</v>
      </c>
      <c r="D1184" s="5"/>
    </row>
    <row r="1185">
      <c r="A1185" s="21" t="s">
        <v>733</v>
      </c>
      <c r="B1185" s="17" t="s">
        <v>733</v>
      </c>
      <c r="C1185" s="17" t="s">
        <v>733</v>
      </c>
      <c r="D1185" s="5"/>
    </row>
    <row r="1186">
      <c r="A1186" s="21" t="s">
        <v>733</v>
      </c>
      <c r="B1186" s="17" t="s">
        <v>733</v>
      </c>
      <c r="C1186" s="17" t="s">
        <v>733</v>
      </c>
      <c r="D1186" s="5"/>
    </row>
    <row r="1187">
      <c r="A1187" s="21" t="s">
        <v>733</v>
      </c>
      <c r="B1187" s="17" t="s">
        <v>733</v>
      </c>
      <c r="C1187" s="17" t="s">
        <v>733</v>
      </c>
      <c r="D1187" s="5"/>
    </row>
    <row r="1188">
      <c r="A1188" s="21" t="s">
        <v>733</v>
      </c>
      <c r="B1188" s="17" t="s">
        <v>733</v>
      </c>
      <c r="C1188" s="17" t="s">
        <v>733</v>
      </c>
      <c r="D1188" s="5"/>
    </row>
    <row r="1189">
      <c r="A1189" s="21" t="s">
        <v>733</v>
      </c>
      <c r="B1189" s="17" t="s">
        <v>733</v>
      </c>
      <c r="C1189" s="17" t="s">
        <v>733</v>
      </c>
      <c r="D1189" s="5"/>
    </row>
    <row r="1190">
      <c r="A1190" s="21" t="s">
        <v>733</v>
      </c>
      <c r="B1190" s="17" t="s">
        <v>733</v>
      </c>
      <c r="C1190" s="17" t="s">
        <v>733</v>
      </c>
      <c r="D1190" s="5"/>
    </row>
    <row r="1191">
      <c r="A1191" s="21" t="s">
        <v>733</v>
      </c>
      <c r="B1191" s="17" t="s">
        <v>733</v>
      </c>
      <c r="C1191" s="17" t="s">
        <v>733</v>
      </c>
      <c r="D1191" s="5"/>
    </row>
    <row r="1192">
      <c r="A1192" s="21" t="s">
        <v>733</v>
      </c>
      <c r="B1192" s="17" t="s">
        <v>733</v>
      </c>
      <c r="C1192" s="17" t="s">
        <v>733</v>
      </c>
      <c r="D1192" s="5"/>
    </row>
    <row r="1193">
      <c r="A1193" s="21" t="s">
        <v>733</v>
      </c>
      <c r="B1193" s="17" t="s">
        <v>733</v>
      </c>
      <c r="C1193" s="17" t="s">
        <v>733</v>
      </c>
      <c r="D1193" s="5"/>
    </row>
    <row r="1194">
      <c r="A1194" s="21" t="s">
        <v>733</v>
      </c>
      <c r="B1194" s="17" t="s">
        <v>733</v>
      </c>
      <c r="C1194" s="17" t="s">
        <v>733</v>
      </c>
      <c r="D1194" s="5"/>
    </row>
    <row r="1195">
      <c r="A1195" s="21" t="s">
        <v>733</v>
      </c>
      <c r="B1195" s="17" t="s">
        <v>733</v>
      </c>
      <c r="C1195" s="17" t="s">
        <v>733</v>
      </c>
      <c r="D1195" s="5"/>
    </row>
    <row r="1196">
      <c r="A1196" s="21" t="s">
        <v>733</v>
      </c>
      <c r="B1196" s="17" t="s">
        <v>733</v>
      </c>
      <c r="C1196" s="17" t="s">
        <v>733</v>
      </c>
      <c r="D1196" s="5"/>
    </row>
    <row r="1197">
      <c r="A1197" s="21" t="s">
        <v>733</v>
      </c>
      <c r="B1197" s="17" t="s">
        <v>733</v>
      </c>
      <c r="C1197" s="17" t="s">
        <v>733</v>
      </c>
      <c r="D1197" s="5"/>
    </row>
    <row r="1198">
      <c r="A1198" s="21" t="s">
        <v>733</v>
      </c>
      <c r="B1198" s="17" t="s">
        <v>733</v>
      </c>
      <c r="C1198" s="17" t="s">
        <v>733</v>
      </c>
      <c r="D1198" s="5"/>
    </row>
    <row r="1199">
      <c r="A1199" s="21" t="s">
        <v>733</v>
      </c>
      <c r="B1199" s="17" t="s">
        <v>733</v>
      </c>
      <c r="C1199" s="17" t="s">
        <v>733</v>
      </c>
      <c r="D1199" s="5"/>
    </row>
    <row r="1200">
      <c r="A1200" s="21" t="s">
        <v>733</v>
      </c>
      <c r="B1200" s="17" t="s">
        <v>733</v>
      </c>
      <c r="C1200" s="17" t="s">
        <v>733</v>
      </c>
      <c r="D1200" s="5"/>
    </row>
    <row r="1201">
      <c r="A1201" s="21" t="s">
        <v>733</v>
      </c>
      <c r="B1201" s="17" t="s">
        <v>733</v>
      </c>
      <c r="C1201" s="17" t="s">
        <v>733</v>
      </c>
      <c r="D1201" s="5"/>
    </row>
    <row r="1202">
      <c r="A1202" s="21" t="s">
        <v>733</v>
      </c>
      <c r="B1202" s="17" t="s">
        <v>733</v>
      </c>
      <c r="C1202" s="17" t="s">
        <v>733</v>
      </c>
      <c r="D1202" s="5"/>
    </row>
    <row r="1203">
      <c r="A1203" s="21" t="s">
        <v>733</v>
      </c>
      <c r="B1203" s="17" t="s">
        <v>733</v>
      </c>
      <c r="C1203" s="17" t="s">
        <v>733</v>
      </c>
      <c r="D1203" s="5"/>
    </row>
    <row r="1204">
      <c r="A1204" s="21" t="s">
        <v>733</v>
      </c>
      <c r="B1204" s="17" t="s">
        <v>733</v>
      </c>
      <c r="C1204" s="17" t="s">
        <v>733</v>
      </c>
      <c r="D1204" s="5"/>
    </row>
    <row r="1205">
      <c r="A1205" s="21" t="s">
        <v>733</v>
      </c>
      <c r="B1205" s="17" t="s">
        <v>733</v>
      </c>
      <c r="C1205" s="17" t="s">
        <v>733</v>
      </c>
      <c r="D1205" s="5"/>
    </row>
    <row r="1206">
      <c r="A1206" s="21" t="s">
        <v>733</v>
      </c>
      <c r="B1206" s="17" t="s">
        <v>733</v>
      </c>
      <c r="C1206" s="17" t="s">
        <v>733</v>
      </c>
      <c r="D1206" s="5"/>
    </row>
    <row r="1207">
      <c r="A1207" s="21" t="s">
        <v>733</v>
      </c>
      <c r="B1207" s="17" t="s">
        <v>733</v>
      </c>
      <c r="C1207" s="17" t="s">
        <v>733</v>
      </c>
      <c r="D1207" s="5"/>
    </row>
    <row r="1208">
      <c r="A1208" s="21" t="s">
        <v>733</v>
      </c>
      <c r="B1208" s="17" t="s">
        <v>733</v>
      </c>
      <c r="C1208" s="17" t="s">
        <v>733</v>
      </c>
      <c r="D1208" s="5"/>
    </row>
    <row r="1209">
      <c r="A1209" s="21" t="s">
        <v>733</v>
      </c>
      <c r="B1209" s="17" t="s">
        <v>733</v>
      </c>
      <c r="C1209" s="17" t="s">
        <v>733</v>
      </c>
      <c r="D1209" s="5"/>
    </row>
    <row r="1210">
      <c r="A1210" s="21" t="s">
        <v>733</v>
      </c>
      <c r="B1210" s="17" t="s">
        <v>733</v>
      </c>
      <c r="C1210" s="17" t="s">
        <v>733</v>
      </c>
      <c r="D1210" s="5"/>
    </row>
    <row r="1211">
      <c r="A1211" s="21" t="s">
        <v>733</v>
      </c>
      <c r="B1211" s="17" t="s">
        <v>733</v>
      </c>
      <c r="C1211" s="17" t="s">
        <v>733</v>
      </c>
      <c r="D1211" s="5"/>
    </row>
    <row r="1212">
      <c r="A1212" s="21" t="s">
        <v>733</v>
      </c>
      <c r="B1212" s="17" t="s">
        <v>733</v>
      </c>
      <c r="C1212" s="17" t="s">
        <v>733</v>
      </c>
      <c r="D1212" s="5"/>
    </row>
    <row r="1213">
      <c r="A1213" s="21" t="s">
        <v>733</v>
      </c>
      <c r="B1213" s="17" t="s">
        <v>733</v>
      </c>
      <c r="C1213" s="17" t="s">
        <v>733</v>
      </c>
      <c r="D1213" s="5"/>
    </row>
    <row r="1214">
      <c r="A1214" s="21" t="s">
        <v>733</v>
      </c>
      <c r="B1214" s="17" t="s">
        <v>733</v>
      </c>
      <c r="C1214" s="17" t="s">
        <v>733</v>
      </c>
      <c r="D1214" s="5"/>
    </row>
    <row r="1215">
      <c r="A1215" s="21" t="s">
        <v>733</v>
      </c>
      <c r="B1215" s="17" t="s">
        <v>733</v>
      </c>
      <c r="C1215" s="17" t="s">
        <v>733</v>
      </c>
      <c r="D1215" s="5"/>
    </row>
    <row r="1216">
      <c r="A1216" s="21" t="s">
        <v>733</v>
      </c>
      <c r="B1216" s="17" t="s">
        <v>733</v>
      </c>
      <c r="C1216" s="17" t="s">
        <v>733</v>
      </c>
      <c r="D1216" s="5"/>
    </row>
    <row r="1217">
      <c r="A1217" s="21" t="s">
        <v>733</v>
      </c>
      <c r="B1217" s="17" t="s">
        <v>733</v>
      </c>
      <c r="C1217" s="17" t="s">
        <v>733</v>
      </c>
      <c r="D1217" s="5"/>
    </row>
    <row r="1218">
      <c r="A1218" s="21" t="s">
        <v>733</v>
      </c>
      <c r="B1218" s="17" t="s">
        <v>733</v>
      </c>
      <c r="C1218" s="17" t="s">
        <v>733</v>
      </c>
      <c r="D1218" s="5"/>
    </row>
    <row r="1219">
      <c r="A1219" s="21" t="s">
        <v>733</v>
      </c>
      <c r="B1219" s="17" t="s">
        <v>733</v>
      </c>
      <c r="C1219" s="17" t="s">
        <v>733</v>
      </c>
      <c r="D1219" s="5"/>
    </row>
    <row r="1220">
      <c r="A1220" s="21" t="s">
        <v>733</v>
      </c>
      <c r="B1220" s="17" t="s">
        <v>733</v>
      </c>
      <c r="C1220" s="17" t="s">
        <v>733</v>
      </c>
      <c r="D1220" s="5"/>
    </row>
    <row r="1221">
      <c r="A1221" s="21" t="s">
        <v>733</v>
      </c>
      <c r="B1221" s="17" t="s">
        <v>733</v>
      </c>
      <c r="C1221" s="17" t="s">
        <v>733</v>
      </c>
      <c r="D1221" s="5"/>
    </row>
    <row r="1222">
      <c r="A1222" s="21" t="s">
        <v>733</v>
      </c>
      <c r="B1222" s="17" t="s">
        <v>733</v>
      </c>
      <c r="C1222" s="17" t="s">
        <v>733</v>
      </c>
      <c r="D1222" s="5"/>
    </row>
    <row r="1223">
      <c r="A1223" s="21" t="s">
        <v>733</v>
      </c>
      <c r="B1223" s="17" t="s">
        <v>733</v>
      </c>
      <c r="C1223" s="17" t="s">
        <v>733</v>
      </c>
      <c r="D1223" s="5"/>
    </row>
    <row r="1224">
      <c r="A1224" s="21" t="s">
        <v>733</v>
      </c>
      <c r="B1224" s="17" t="s">
        <v>733</v>
      </c>
      <c r="C1224" s="17" t="s">
        <v>733</v>
      </c>
      <c r="D1224" s="5"/>
    </row>
    <row r="1225">
      <c r="A1225" s="21" t="s">
        <v>733</v>
      </c>
      <c r="B1225" s="17" t="s">
        <v>733</v>
      </c>
      <c r="C1225" s="17" t="s">
        <v>733</v>
      </c>
      <c r="D1225" s="5"/>
    </row>
    <row r="1226">
      <c r="A1226" s="21" t="s">
        <v>733</v>
      </c>
      <c r="B1226" s="17" t="s">
        <v>733</v>
      </c>
      <c r="C1226" s="17" t="s">
        <v>733</v>
      </c>
      <c r="D1226" s="5"/>
    </row>
    <row r="1227">
      <c r="A1227" s="21" t="s">
        <v>733</v>
      </c>
      <c r="B1227" s="17" t="s">
        <v>733</v>
      </c>
      <c r="C1227" s="17" t="s">
        <v>733</v>
      </c>
      <c r="D1227" s="5"/>
    </row>
    <row r="1228">
      <c r="A1228" s="21" t="s">
        <v>733</v>
      </c>
      <c r="B1228" s="17" t="s">
        <v>733</v>
      </c>
      <c r="C1228" s="17" t="s">
        <v>733</v>
      </c>
      <c r="D1228" s="5"/>
    </row>
    <row r="1229">
      <c r="B1229" s="17"/>
      <c r="C1229" s="17"/>
      <c r="D1229" s="5"/>
    </row>
    <row r="1230">
      <c r="B1230" s="17"/>
      <c r="C1230" s="17"/>
      <c r="D1230" s="5"/>
    </row>
    <row r="1231">
      <c r="B1231" s="17"/>
      <c r="C1231" s="17"/>
      <c r="D1231" s="5"/>
    </row>
    <row r="1232">
      <c r="B1232" s="17"/>
      <c r="C1232" s="17"/>
      <c r="D1232" s="5"/>
    </row>
    <row r="1233">
      <c r="B1233" s="17"/>
      <c r="C1233" s="17"/>
      <c r="D1233" s="5"/>
    </row>
    <row r="1234">
      <c r="B1234" s="17"/>
      <c r="C1234" s="17"/>
      <c r="D1234" s="5"/>
    </row>
    <row r="1235">
      <c r="B1235" s="17"/>
      <c r="C1235" s="17"/>
      <c r="D1235" s="5"/>
    </row>
    <row r="1236">
      <c r="B1236" s="17"/>
      <c r="C1236" s="17"/>
      <c r="D1236" s="5"/>
    </row>
    <row r="1237">
      <c r="B1237" s="17"/>
      <c r="C1237" s="17"/>
      <c r="D1237" s="5"/>
    </row>
    <row r="1238">
      <c r="B1238" s="17"/>
      <c r="C1238" s="17"/>
      <c r="D1238" s="5"/>
    </row>
    <row r="1239">
      <c r="B1239" s="17"/>
      <c r="C1239" s="17"/>
      <c r="D1239" s="5"/>
    </row>
    <row r="1240">
      <c r="B1240" s="17"/>
      <c r="C1240" s="17"/>
      <c r="D1240" s="5"/>
    </row>
    <row r="1241">
      <c r="B1241" s="17"/>
      <c r="C1241" s="17"/>
      <c r="D1241" s="5"/>
    </row>
    <row r="1242">
      <c r="B1242" s="17"/>
      <c r="C1242" s="17"/>
      <c r="D1242" s="5"/>
    </row>
    <row r="1243">
      <c r="B1243" s="17"/>
      <c r="C1243" s="17"/>
      <c r="D1243" s="5"/>
    </row>
    <row r="1244">
      <c r="B1244" s="17"/>
      <c r="C1244" s="17"/>
      <c r="D1244" s="5"/>
    </row>
    <row r="1245">
      <c r="B1245" s="17"/>
      <c r="C1245" s="17"/>
      <c r="D1245" s="5"/>
    </row>
    <row r="1246">
      <c r="B1246" s="17"/>
      <c r="C1246" s="17"/>
      <c r="D1246" s="5"/>
    </row>
    <row r="1247">
      <c r="B1247" s="17"/>
      <c r="C1247" s="17"/>
      <c r="D1247" s="5"/>
    </row>
    <row r="1248">
      <c r="B1248" s="17"/>
      <c r="C1248" s="17"/>
      <c r="D1248" s="5"/>
    </row>
    <row r="1249">
      <c r="B1249" s="17"/>
      <c r="C1249" s="17"/>
      <c r="D1249" s="5"/>
    </row>
    <row r="1250">
      <c r="B1250" s="17"/>
      <c r="C1250" s="17"/>
      <c r="D1250" s="5"/>
    </row>
    <row r="1251">
      <c r="B1251" s="17"/>
      <c r="C1251" s="17"/>
      <c r="D1251" s="5"/>
    </row>
    <row r="1252">
      <c r="B1252" s="17"/>
      <c r="C1252" s="17"/>
      <c r="D1252" s="5"/>
    </row>
    <row r="1253">
      <c r="B1253" s="17"/>
      <c r="C1253" s="17"/>
      <c r="D1253" s="5"/>
    </row>
    <row r="1254">
      <c r="B1254" s="17"/>
      <c r="C1254" s="17"/>
      <c r="D1254" s="5"/>
    </row>
    <row r="1255">
      <c r="B1255" s="17"/>
      <c r="C1255" s="17"/>
      <c r="D1255" s="5"/>
    </row>
    <row r="1256">
      <c r="B1256" s="17"/>
      <c r="C1256" s="17"/>
      <c r="D1256" s="5"/>
    </row>
    <row r="1257">
      <c r="B1257" s="17"/>
      <c r="C1257" s="17"/>
      <c r="D1257" s="5"/>
    </row>
    <row r="1258">
      <c r="B1258" s="17"/>
      <c r="C1258" s="17"/>
      <c r="D1258" s="5"/>
    </row>
    <row r="1259">
      <c r="B1259" s="17"/>
      <c r="C1259" s="17"/>
      <c r="D1259" s="5"/>
    </row>
    <row r="1260">
      <c r="B1260" s="17"/>
      <c r="C1260" s="17"/>
      <c r="D1260" s="5"/>
    </row>
    <row r="1261">
      <c r="B1261" s="17"/>
      <c r="C1261" s="17"/>
      <c r="D1261" s="5"/>
    </row>
    <row r="1262">
      <c r="B1262" s="17"/>
      <c r="C1262" s="17"/>
      <c r="D1262" s="5"/>
    </row>
    <row r="1263">
      <c r="B1263" s="17"/>
      <c r="C1263" s="17"/>
      <c r="D1263" s="5"/>
    </row>
    <row r="1264">
      <c r="B1264" s="17"/>
      <c r="C1264" s="17"/>
      <c r="D1264" s="5"/>
    </row>
    <row r="1265">
      <c r="B1265" s="17"/>
      <c r="C1265" s="17"/>
      <c r="D1265" s="5"/>
    </row>
    <row r="1266">
      <c r="B1266" s="17"/>
      <c r="C1266" s="17"/>
      <c r="D1266" s="5"/>
    </row>
    <row r="1267">
      <c r="B1267" s="17"/>
      <c r="C1267" s="17"/>
      <c r="D1267" s="5"/>
    </row>
    <row r="1268">
      <c r="B1268" s="17"/>
      <c r="C1268" s="17"/>
      <c r="D1268" s="5"/>
    </row>
    <row r="1269">
      <c r="B1269" s="17"/>
      <c r="C1269" s="17"/>
      <c r="D1269" s="5"/>
    </row>
    <row r="1270">
      <c r="B1270" s="17"/>
      <c r="C1270" s="17"/>
      <c r="D1270" s="5"/>
    </row>
    <row r="1271">
      <c r="B1271" s="17"/>
      <c r="C1271" s="17"/>
      <c r="D1271" s="5"/>
    </row>
    <row r="1272">
      <c r="B1272" s="17"/>
      <c r="C1272" s="17"/>
      <c r="D1272" s="5"/>
    </row>
    <row r="1273">
      <c r="B1273" s="17"/>
      <c r="C1273" s="17"/>
      <c r="D1273" s="5"/>
    </row>
    <row r="1274">
      <c r="B1274" s="17"/>
      <c r="C1274" s="17"/>
      <c r="D1274" s="5"/>
    </row>
    <row r="1275">
      <c r="B1275" s="17"/>
      <c r="C1275" s="17"/>
      <c r="D1275" s="5"/>
    </row>
    <row r="1276">
      <c r="B1276" s="17"/>
      <c r="C1276" s="17"/>
      <c r="D1276" s="5"/>
    </row>
    <row r="1277">
      <c r="B1277" s="17"/>
      <c r="C1277" s="17"/>
      <c r="D1277" s="5"/>
    </row>
    <row r="1278">
      <c r="B1278" s="17"/>
      <c r="C1278" s="17"/>
      <c r="D1278" s="5"/>
    </row>
    <row r="1279">
      <c r="B1279" s="17"/>
      <c r="C1279" s="17"/>
      <c r="D1279" s="5"/>
    </row>
    <row r="1280">
      <c r="B1280" s="17"/>
      <c r="C1280" s="17"/>
      <c r="D1280" s="5"/>
    </row>
    <row r="1281">
      <c r="B1281" s="17"/>
      <c r="C1281" s="17"/>
      <c r="D1281" s="5"/>
    </row>
    <row r="1282">
      <c r="B1282" s="17"/>
      <c r="C1282" s="17"/>
      <c r="D1282" s="5"/>
    </row>
    <row r="1283">
      <c r="B1283" s="17"/>
      <c r="C1283" s="17"/>
      <c r="D1283" s="5"/>
    </row>
    <row r="1284">
      <c r="B1284" s="17"/>
      <c r="C1284" s="17"/>
      <c r="D1284" s="5"/>
    </row>
    <row r="1285">
      <c r="B1285" s="17"/>
      <c r="C1285" s="17"/>
      <c r="D1285" s="5"/>
    </row>
    <row r="1286">
      <c r="B1286" s="17"/>
      <c r="C1286" s="17"/>
      <c r="D1286" s="5"/>
    </row>
    <row r="1287">
      <c r="B1287" s="17"/>
      <c r="C1287" s="17"/>
      <c r="D1287" s="5"/>
    </row>
    <row r="1288">
      <c r="B1288" s="17"/>
      <c r="C1288" s="17"/>
      <c r="D1288" s="5"/>
    </row>
    <row r="1289">
      <c r="B1289" s="17"/>
      <c r="C1289" s="17"/>
      <c r="D1289" s="5"/>
    </row>
    <row r="1290">
      <c r="B1290" s="17"/>
      <c r="C1290" s="17"/>
      <c r="D1290" s="5"/>
    </row>
    <row r="1291">
      <c r="B1291" s="17"/>
      <c r="C1291" s="17"/>
      <c r="D1291" s="5"/>
    </row>
    <row r="1292">
      <c r="B1292" s="17"/>
      <c r="C1292" s="17"/>
      <c r="D1292" s="5"/>
    </row>
    <row r="1293">
      <c r="B1293" s="17"/>
      <c r="C1293" s="17"/>
      <c r="D1293" s="5"/>
    </row>
    <row r="1294">
      <c r="B1294" s="17"/>
      <c r="C1294" s="17"/>
      <c r="D1294" s="5"/>
    </row>
    <row r="1295">
      <c r="B1295" s="17"/>
      <c r="C1295" s="17"/>
      <c r="D1295" s="5"/>
    </row>
    <row r="1296">
      <c r="B1296" s="17"/>
      <c r="C1296" s="17"/>
      <c r="D1296" s="5"/>
    </row>
    <row r="1297">
      <c r="B1297" s="17"/>
      <c r="C1297" s="17"/>
      <c r="D1297" s="5"/>
    </row>
    <row r="1298">
      <c r="B1298" s="17"/>
      <c r="C1298" s="17"/>
      <c r="D1298" s="5"/>
    </row>
    <row r="1299">
      <c r="B1299" s="17"/>
      <c r="C1299" s="17"/>
      <c r="D1299" s="5"/>
    </row>
    <row r="1300">
      <c r="B1300" s="17"/>
      <c r="C1300" s="17"/>
      <c r="D1300" s="5"/>
    </row>
    <row r="1301">
      <c r="B1301" s="17"/>
      <c r="C1301" s="17"/>
      <c r="D1301" s="5"/>
    </row>
    <row r="1302">
      <c r="B1302" s="17"/>
      <c r="C1302" s="17"/>
      <c r="D1302" s="5"/>
    </row>
    <row r="1303">
      <c r="B1303" s="17"/>
      <c r="C1303" s="17"/>
      <c r="D1303" s="5"/>
    </row>
    <row r="1304">
      <c r="B1304" s="17"/>
      <c r="C1304" s="17"/>
      <c r="D1304" s="5"/>
    </row>
    <row r="1305">
      <c r="B1305" s="17"/>
      <c r="C1305" s="17"/>
      <c r="D1305" s="5"/>
    </row>
    <row r="1306">
      <c r="B1306" s="17"/>
      <c r="C1306" s="17"/>
      <c r="D1306" s="5"/>
    </row>
    <row r="1307">
      <c r="B1307" s="17"/>
      <c r="C1307" s="17"/>
      <c r="D1307" s="5"/>
    </row>
    <row r="1308">
      <c r="B1308" s="17"/>
      <c r="C1308" s="17"/>
      <c r="D1308" s="5"/>
    </row>
    <row r="1309">
      <c r="B1309" s="17"/>
      <c r="C1309" s="17"/>
      <c r="D1309" s="5"/>
    </row>
    <row r="1310">
      <c r="B1310" s="17"/>
      <c r="C1310" s="17"/>
      <c r="D1310" s="5"/>
    </row>
    <row r="1311">
      <c r="B1311" s="17"/>
      <c r="C1311" s="17"/>
      <c r="D1311" s="5"/>
    </row>
    <row r="1312">
      <c r="B1312" s="17"/>
      <c r="C1312" s="17"/>
      <c r="D1312" s="5"/>
    </row>
    <row r="1313">
      <c r="B1313" s="17"/>
      <c r="C1313" s="17"/>
      <c r="D1313" s="5"/>
    </row>
    <row r="1314">
      <c r="B1314" s="17"/>
      <c r="C1314" s="17"/>
      <c r="D1314" s="5"/>
    </row>
    <row r="1315">
      <c r="B1315" s="17"/>
      <c r="C1315" s="17"/>
      <c r="D1315" s="5"/>
    </row>
    <row r="1316">
      <c r="B1316" s="17"/>
      <c r="C1316" s="17"/>
      <c r="D1316" s="5"/>
    </row>
    <row r="1317">
      <c r="B1317" s="17"/>
      <c r="C1317" s="17"/>
      <c r="D1317" s="5"/>
    </row>
    <row r="1318">
      <c r="B1318" s="17"/>
      <c r="C1318" s="17"/>
      <c r="D1318" s="5"/>
    </row>
    <row r="1319">
      <c r="B1319" s="17"/>
      <c r="C1319" s="17"/>
      <c r="D1319" s="5"/>
    </row>
    <row r="1320">
      <c r="B1320" s="17"/>
      <c r="C1320" s="17"/>
      <c r="D1320" s="5"/>
    </row>
    <row r="1321">
      <c r="B1321" s="17"/>
      <c r="C1321" s="17"/>
      <c r="D1321" s="5"/>
    </row>
    <row r="1322">
      <c r="B1322" s="17"/>
      <c r="C1322" s="17"/>
      <c r="D1322" s="5"/>
    </row>
    <row r="1323">
      <c r="B1323" s="17"/>
      <c r="C1323" s="17"/>
      <c r="D1323" s="5"/>
    </row>
    <row r="1324">
      <c r="B1324" s="17"/>
      <c r="C1324" s="17"/>
      <c r="D1324" s="5"/>
    </row>
    <row r="1325">
      <c r="B1325" s="17"/>
      <c r="C1325" s="17"/>
      <c r="D1325" s="5"/>
    </row>
    <row r="1326">
      <c r="B1326" s="17"/>
      <c r="C1326" s="17"/>
      <c r="D1326" s="5"/>
    </row>
    <row r="1327">
      <c r="B1327" s="17"/>
      <c r="C1327" s="17"/>
      <c r="D1327" s="5"/>
    </row>
    <row r="1328">
      <c r="B1328" s="17"/>
      <c r="C1328" s="17"/>
      <c r="D1328" s="5"/>
    </row>
    <row r="1329">
      <c r="B1329" s="17"/>
      <c r="C1329" s="17"/>
      <c r="D1329" s="5"/>
    </row>
    <row r="1330">
      <c r="B1330" s="17"/>
      <c r="C1330" s="17"/>
      <c r="D1330" s="5"/>
    </row>
    <row r="1331">
      <c r="B1331" s="17"/>
      <c r="C1331" s="17"/>
      <c r="D1331" s="5"/>
    </row>
    <row r="1332">
      <c r="B1332" s="17"/>
      <c r="C1332" s="17"/>
      <c r="D1332" s="5"/>
    </row>
    <row r="1333">
      <c r="B1333" s="17"/>
      <c r="C1333" s="17"/>
      <c r="D1333" s="5"/>
    </row>
    <row r="1334">
      <c r="B1334" s="17"/>
      <c r="C1334" s="17"/>
      <c r="D1334" s="5"/>
    </row>
    <row r="1335">
      <c r="B1335" s="17"/>
      <c r="C1335" s="17"/>
      <c r="D1335" s="5"/>
    </row>
    <row r="1336">
      <c r="B1336" s="17"/>
      <c r="C1336" s="17"/>
      <c r="D1336" s="5"/>
    </row>
    <row r="1337">
      <c r="B1337" s="17"/>
      <c r="C1337" s="17"/>
      <c r="D1337" s="5"/>
    </row>
    <row r="1338">
      <c r="B1338" s="17"/>
      <c r="C1338" s="17"/>
      <c r="D1338" s="5"/>
    </row>
    <row r="1339">
      <c r="B1339" s="17"/>
      <c r="C1339" s="17"/>
      <c r="D1339" s="5"/>
    </row>
    <row r="1340">
      <c r="B1340" s="17"/>
      <c r="C1340" s="17"/>
      <c r="D1340" s="5"/>
    </row>
    <row r="1341">
      <c r="B1341" s="17"/>
      <c r="C1341" s="17"/>
      <c r="D1341" s="5"/>
    </row>
    <row r="1342">
      <c r="B1342" s="17"/>
      <c r="C1342" s="17"/>
      <c r="D1342" s="5"/>
    </row>
    <row r="1343">
      <c r="B1343" s="17"/>
      <c r="C1343" s="17"/>
      <c r="D1343" s="5"/>
    </row>
    <row r="1344">
      <c r="B1344" s="17"/>
      <c r="C1344" s="17"/>
      <c r="D1344" s="5"/>
    </row>
    <row r="1345">
      <c r="B1345" s="17"/>
      <c r="C1345" s="17"/>
      <c r="D1345" s="5"/>
    </row>
    <row r="1346">
      <c r="B1346" s="17"/>
      <c r="C1346" s="17"/>
      <c r="D1346" s="5"/>
    </row>
    <row r="1347">
      <c r="B1347" s="17"/>
      <c r="C1347" s="17"/>
      <c r="D1347" s="5"/>
    </row>
    <row r="1348">
      <c r="B1348" s="17"/>
      <c r="C1348" s="17"/>
      <c r="D1348" s="5"/>
    </row>
    <row r="1349">
      <c r="B1349" s="17"/>
      <c r="C1349" s="17"/>
      <c r="D1349" s="5"/>
    </row>
    <row r="1350">
      <c r="B1350" s="17"/>
      <c r="C1350" s="17"/>
      <c r="D1350" s="5"/>
    </row>
    <row r="1351">
      <c r="B1351" s="17"/>
      <c r="C1351" s="17"/>
      <c r="D1351" s="5"/>
    </row>
    <row r="1352">
      <c r="B1352" s="17"/>
      <c r="C1352" s="17"/>
      <c r="D1352" s="5"/>
    </row>
    <row r="1353">
      <c r="B1353" s="17"/>
      <c r="C1353" s="17"/>
      <c r="D1353" s="5"/>
    </row>
    <row r="1354">
      <c r="B1354" s="17"/>
      <c r="C1354" s="17"/>
      <c r="D1354" s="5"/>
    </row>
    <row r="1355">
      <c r="B1355" s="17"/>
      <c r="C1355" s="17"/>
      <c r="D1355" s="5"/>
    </row>
    <row r="1356">
      <c r="B1356" s="17"/>
      <c r="C1356" s="17"/>
      <c r="D1356" s="5"/>
    </row>
    <row r="1357">
      <c r="B1357" s="17"/>
      <c r="C1357" s="17"/>
      <c r="D1357" s="5"/>
    </row>
    <row r="1358">
      <c r="B1358" s="17"/>
      <c r="C1358" s="17"/>
      <c r="D1358" s="5"/>
    </row>
    <row r="1359">
      <c r="B1359" s="17"/>
      <c r="C1359" s="17"/>
      <c r="D1359" s="5"/>
    </row>
    <row r="1360">
      <c r="B1360" s="17"/>
      <c r="C1360" s="17"/>
      <c r="D1360" s="5"/>
    </row>
    <row r="1361">
      <c r="B1361" s="17"/>
      <c r="C1361" s="17"/>
      <c r="D1361" s="5"/>
    </row>
    <row r="1362">
      <c r="B1362" s="17"/>
      <c r="C1362" s="17"/>
      <c r="D1362" s="5"/>
    </row>
    <row r="1363">
      <c r="B1363" s="17"/>
      <c r="C1363" s="17"/>
      <c r="D1363" s="5"/>
    </row>
    <row r="1364">
      <c r="B1364" s="17"/>
      <c r="C1364" s="17"/>
      <c r="D1364" s="5"/>
    </row>
    <row r="1365">
      <c r="B1365" s="17"/>
      <c r="C1365" s="17"/>
      <c r="D1365" s="5"/>
    </row>
    <row r="1366">
      <c r="B1366" s="17"/>
      <c r="C1366" s="17"/>
      <c r="D1366" s="5"/>
    </row>
    <row r="1367">
      <c r="B1367" s="17"/>
      <c r="C1367" s="17"/>
      <c r="D1367" s="5"/>
    </row>
    <row r="1368">
      <c r="B1368" s="17"/>
      <c r="C1368" s="17"/>
      <c r="D1368" s="5"/>
    </row>
    <row r="1369">
      <c r="B1369" s="17"/>
      <c r="C1369" s="17"/>
      <c r="D1369" s="5"/>
    </row>
    <row r="1370">
      <c r="B1370" s="17"/>
      <c r="C1370" s="17"/>
      <c r="D1370" s="5"/>
    </row>
    <row r="1371">
      <c r="B1371" s="17"/>
      <c r="C1371" s="17"/>
      <c r="D1371" s="5"/>
    </row>
    <row r="1372">
      <c r="B1372" s="17"/>
      <c r="C1372" s="17"/>
      <c r="D1372" s="5"/>
    </row>
    <row r="1373">
      <c r="B1373" s="17"/>
      <c r="C1373" s="17"/>
      <c r="D1373" s="5"/>
    </row>
    <row r="1374">
      <c r="B1374" s="17"/>
      <c r="C1374" s="17"/>
      <c r="D1374" s="5"/>
    </row>
    <row r="1375">
      <c r="B1375" s="17"/>
      <c r="C1375" s="17"/>
      <c r="D1375" s="5"/>
    </row>
    <row r="1376">
      <c r="B1376" s="17"/>
      <c r="C1376" s="17"/>
      <c r="D1376" s="5"/>
    </row>
    <row r="1377">
      <c r="B1377" s="17"/>
      <c r="C1377" s="17"/>
      <c r="D1377" s="5"/>
    </row>
    <row r="1378">
      <c r="B1378" s="17"/>
      <c r="C1378" s="17"/>
      <c r="D1378" s="5"/>
    </row>
    <row r="1379">
      <c r="B1379" s="17"/>
      <c r="C1379" s="17"/>
      <c r="D1379" s="5"/>
    </row>
    <row r="1380">
      <c r="B1380" s="17"/>
      <c r="C1380" s="17"/>
      <c r="D1380" s="5"/>
    </row>
    <row r="1381">
      <c r="B1381" s="17"/>
      <c r="C1381" s="17"/>
      <c r="D1381" s="5"/>
    </row>
    <row r="1382">
      <c r="B1382" s="17"/>
      <c r="C1382" s="17"/>
      <c r="D1382" s="5"/>
    </row>
    <row r="1383">
      <c r="B1383" s="17"/>
      <c r="C1383" s="17"/>
      <c r="D1383" s="5"/>
    </row>
    <row r="1384">
      <c r="B1384" s="17"/>
      <c r="C1384" s="17"/>
      <c r="D1384" s="5"/>
    </row>
    <row r="1385">
      <c r="B1385" s="17"/>
      <c r="C1385" s="17"/>
      <c r="D1385" s="5"/>
    </row>
    <row r="1386">
      <c r="B1386" s="17"/>
      <c r="C1386" s="17"/>
      <c r="D1386" s="5"/>
    </row>
    <row r="1387">
      <c r="B1387" s="17"/>
      <c r="C1387" s="17"/>
      <c r="D1387" s="5"/>
    </row>
    <row r="1388">
      <c r="B1388" s="17"/>
      <c r="C1388" s="17"/>
      <c r="D1388" s="5"/>
    </row>
    <row r="1389">
      <c r="B1389" s="17"/>
      <c r="C1389" s="17"/>
      <c r="D1389" s="5"/>
    </row>
    <row r="1390">
      <c r="B1390" s="17"/>
      <c r="C1390" s="17"/>
      <c r="D1390" s="5"/>
    </row>
    <row r="1391">
      <c r="B1391" s="17"/>
      <c r="C1391" s="17"/>
      <c r="D1391" s="5"/>
    </row>
    <row r="1392">
      <c r="B1392" s="17"/>
      <c r="C1392" s="17"/>
      <c r="D1392" s="5"/>
    </row>
    <row r="1393">
      <c r="B1393" s="17"/>
      <c r="C1393" s="17"/>
      <c r="D1393" s="5"/>
    </row>
    <row r="1394">
      <c r="B1394" s="17"/>
      <c r="C1394" s="17"/>
      <c r="D1394" s="5"/>
    </row>
    <row r="1395">
      <c r="B1395" s="17"/>
      <c r="C1395" s="17"/>
      <c r="D1395" s="5"/>
    </row>
    <row r="1396">
      <c r="B1396" s="17"/>
      <c r="C1396" s="17"/>
      <c r="D1396" s="5"/>
    </row>
    <row r="1397">
      <c r="B1397" s="17"/>
      <c r="C1397" s="17"/>
      <c r="D1397" s="5"/>
    </row>
    <row r="1398">
      <c r="B1398" s="17"/>
      <c r="C1398" s="17"/>
      <c r="D1398" s="5"/>
    </row>
    <row r="1399">
      <c r="B1399" s="17"/>
      <c r="C1399" s="17"/>
      <c r="D1399" s="5"/>
    </row>
    <row r="1400">
      <c r="B1400" s="17"/>
      <c r="C1400" s="17"/>
      <c r="D1400" s="5"/>
    </row>
    <row r="1401">
      <c r="B1401" s="17"/>
      <c r="C1401" s="17"/>
      <c r="D1401" s="5"/>
    </row>
    <row r="1402">
      <c r="B1402" s="17"/>
      <c r="C1402" s="17"/>
      <c r="D1402" s="5"/>
    </row>
    <row r="1403">
      <c r="B1403" s="17"/>
      <c r="C1403" s="17"/>
      <c r="D1403" s="5"/>
    </row>
    <row r="1404">
      <c r="B1404" s="17"/>
      <c r="C1404" s="17"/>
      <c r="D1404" s="5"/>
    </row>
    <row r="1405">
      <c r="B1405" s="17"/>
      <c r="C1405" s="17"/>
      <c r="D1405" s="5"/>
    </row>
    <row r="1406">
      <c r="B1406" s="17"/>
      <c r="C1406" s="17"/>
      <c r="D1406" s="5"/>
    </row>
    <row r="1407">
      <c r="B1407" s="17"/>
      <c r="C1407" s="17"/>
      <c r="D1407" s="5"/>
    </row>
    <row r="1408">
      <c r="B1408" s="17"/>
      <c r="C1408" s="17"/>
      <c r="D1408" s="5"/>
    </row>
    <row r="1409">
      <c r="B1409" s="17"/>
      <c r="C1409" s="17"/>
      <c r="D1409" s="5"/>
    </row>
    <row r="1410">
      <c r="B1410" s="17"/>
      <c r="C1410" s="17"/>
      <c r="D1410" s="5"/>
    </row>
    <row r="1411">
      <c r="B1411" s="17"/>
      <c r="C1411" s="17"/>
      <c r="D1411" s="5"/>
    </row>
    <row r="1412">
      <c r="B1412" s="17"/>
      <c r="C1412" s="17"/>
      <c r="D1412" s="5"/>
    </row>
    <row r="1413">
      <c r="B1413" s="17"/>
      <c r="C1413" s="17"/>
      <c r="D1413" s="5"/>
    </row>
    <row r="1414">
      <c r="B1414" s="17"/>
      <c r="C1414" s="17"/>
      <c r="D1414" s="5"/>
    </row>
    <row r="1415">
      <c r="B1415" s="17"/>
      <c r="C1415" s="17"/>
      <c r="D1415" s="5"/>
    </row>
    <row r="1416">
      <c r="B1416" s="17"/>
      <c r="C1416" s="17"/>
      <c r="D1416" s="5"/>
    </row>
    <row r="1417">
      <c r="B1417" s="17"/>
      <c r="C1417" s="17"/>
      <c r="D1417" s="5"/>
    </row>
    <row r="1418">
      <c r="B1418" s="17"/>
      <c r="C1418" s="17"/>
      <c r="D1418" s="5"/>
    </row>
    <row r="1419">
      <c r="B1419" s="17"/>
      <c r="C1419" s="17"/>
      <c r="D1419" s="5"/>
    </row>
    <row r="1420">
      <c r="B1420" s="17"/>
      <c r="C1420" s="17"/>
      <c r="D1420" s="5"/>
    </row>
    <row r="1421">
      <c r="B1421" s="17"/>
      <c r="C1421" s="17"/>
      <c r="D1421" s="5"/>
    </row>
    <row r="1422">
      <c r="B1422" s="17"/>
      <c r="C1422" s="17"/>
      <c r="D1422" s="5"/>
    </row>
    <row r="1423">
      <c r="B1423" s="17"/>
      <c r="C1423" s="17"/>
      <c r="D1423" s="5"/>
    </row>
    <row r="1424">
      <c r="B1424" s="17"/>
      <c r="C1424" s="17"/>
      <c r="D1424" s="5"/>
    </row>
    <row r="1425">
      <c r="B1425" s="17"/>
      <c r="C1425" s="17"/>
      <c r="D1425" s="5"/>
    </row>
    <row r="1426">
      <c r="B1426" s="17"/>
      <c r="C1426" s="17"/>
      <c r="D1426" s="5"/>
    </row>
    <row r="1427">
      <c r="B1427" s="17"/>
      <c r="C1427" s="17"/>
      <c r="D1427" s="5"/>
    </row>
    <row r="1428">
      <c r="B1428" s="17"/>
      <c r="C1428" s="17"/>
      <c r="D1428" s="5"/>
    </row>
    <row r="1429">
      <c r="B1429" s="17"/>
      <c r="C1429" s="17"/>
      <c r="D1429" s="5"/>
    </row>
    <row r="1430">
      <c r="B1430" s="17"/>
      <c r="C1430" s="17"/>
      <c r="D1430" s="5"/>
    </row>
    <row r="1431">
      <c r="B1431" s="17"/>
      <c r="C1431" s="17"/>
      <c r="D1431" s="5"/>
    </row>
    <row r="1432">
      <c r="B1432" s="17"/>
      <c r="C1432" s="17"/>
      <c r="D1432" s="5"/>
    </row>
    <row r="1433">
      <c r="B1433" s="17"/>
      <c r="C1433" s="17"/>
      <c r="D1433" s="5"/>
    </row>
    <row r="1434">
      <c r="B1434" s="17"/>
      <c r="C1434" s="17"/>
      <c r="D1434" s="5"/>
    </row>
    <row r="1435">
      <c r="B1435" s="17"/>
      <c r="C1435" s="17"/>
      <c r="D1435" s="5"/>
    </row>
    <row r="1436">
      <c r="B1436" s="17"/>
      <c r="C1436" s="17"/>
      <c r="D1436" s="5"/>
    </row>
    <row r="1437">
      <c r="B1437" s="17"/>
      <c r="C1437" s="17"/>
      <c r="D1437" s="5"/>
    </row>
    <row r="1438">
      <c r="B1438" s="17"/>
      <c r="C1438" s="17"/>
      <c r="D1438" s="5"/>
    </row>
    <row r="1439">
      <c r="B1439" s="17"/>
      <c r="C1439" s="17"/>
      <c r="D1439" s="5"/>
    </row>
    <row r="1440">
      <c r="B1440" s="17"/>
      <c r="C1440" s="17"/>
      <c r="D1440" s="5"/>
    </row>
    <row r="1441">
      <c r="B1441" s="17"/>
      <c r="C1441" s="17"/>
      <c r="D1441" s="5"/>
    </row>
    <row r="1442">
      <c r="B1442" s="17"/>
      <c r="C1442" s="17"/>
      <c r="D1442" s="5"/>
    </row>
    <row r="1443">
      <c r="B1443" s="17"/>
      <c r="C1443" s="17"/>
      <c r="D1443" s="5"/>
    </row>
    <row r="1444">
      <c r="B1444" s="17"/>
      <c r="C1444" s="17"/>
      <c r="D1444" s="5"/>
    </row>
    <row r="1445">
      <c r="B1445" s="17"/>
      <c r="C1445" s="17"/>
      <c r="D1445" s="5"/>
    </row>
    <row r="1446">
      <c r="B1446" s="17"/>
      <c r="C1446" s="17"/>
      <c r="D1446" s="5"/>
    </row>
    <row r="1447">
      <c r="B1447" s="17"/>
      <c r="C1447" s="17"/>
      <c r="D1447" s="5"/>
    </row>
    <row r="1448">
      <c r="B1448" s="17"/>
      <c r="C1448" s="17"/>
      <c r="D1448" s="5"/>
    </row>
    <row r="1449">
      <c r="B1449" s="17"/>
      <c r="C1449" s="17"/>
      <c r="D1449" s="5"/>
    </row>
    <row r="1450">
      <c r="B1450" s="17"/>
      <c r="C1450" s="17"/>
      <c r="D1450" s="5"/>
    </row>
    <row r="1451">
      <c r="B1451" s="17"/>
      <c r="C1451" s="17"/>
      <c r="D1451" s="5"/>
    </row>
    <row r="1452">
      <c r="B1452" s="17"/>
      <c r="C1452" s="17"/>
      <c r="D1452" s="5"/>
    </row>
    <row r="1453">
      <c r="B1453" s="17"/>
      <c r="C1453" s="17"/>
      <c r="D1453" s="5"/>
    </row>
    <row r="1454">
      <c r="B1454" s="17"/>
      <c r="C1454" s="17"/>
      <c r="D1454" s="5"/>
    </row>
    <row r="1455">
      <c r="B1455" s="17"/>
      <c r="C1455" s="17"/>
      <c r="D1455" s="5"/>
    </row>
    <row r="1456">
      <c r="B1456" s="17"/>
      <c r="C1456" s="17"/>
      <c r="D1456" s="5"/>
    </row>
    <row r="1457">
      <c r="B1457" s="17"/>
      <c r="C1457" s="17"/>
      <c r="D1457" s="5"/>
    </row>
    <row r="1458">
      <c r="B1458" s="17"/>
      <c r="C1458" s="17"/>
      <c r="D1458" s="5"/>
    </row>
    <row r="1459">
      <c r="B1459" s="17"/>
      <c r="C1459" s="17"/>
      <c r="D1459" s="5"/>
    </row>
    <row r="1460">
      <c r="B1460" s="17"/>
      <c r="C1460" s="17"/>
      <c r="D1460" s="5"/>
    </row>
    <row r="1461">
      <c r="B1461" s="17"/>
      <c r="C1461" s="17"/>
      <c r="D1461" s="5"/>
    </row>
    <row r="1462">
      <c r="B1462" s="17"/>
      <c r="C1462" s="17"/>
      <c r="D1462" s="5"/>
    </row>
    <row r="1463">
      <c r="B1463" s="17"/>
      <c r="C1463" s="17"/>
      <c r="D1463" s="5"/>
    </row>
    <row r="1464">
      <c r="B1464" s="17"/>
      <c r="C1464" s="17"/>
      <c r="D1464" s="5"/>
    </row>
    <row r="1465">
      <c r="B1465" s="17"/>
      <c r="C1465" s="17"/>
      <c r="D1465" s="5"/>
    </row>
    <row r="1466">
      <c r="B1466" s="17"/>
      <c r="C1466" s="17"/>
      <c r="D1466" s="5"/>
    </row>
    <row r="1467">
      <c r="B1467" s="17"/>
      <c r="C1467" s="17"/>
      <c r="D1467" s="5"/>
    </row>
    <row r="1468">
      <c r="B1468" s="17"/>
      <c r="C1468" s="17"/>
      <c r="D1468" s="5"/>
    </row>
    <row r="1469">
      <c r="B1469" s="17"/>
      <c r="C1469" s="17"/>
      <c r="D1469" s="5"/>
    </row>
    <row r="1470">
      <c r="B1470" s="17"/>
      <c r="C1470" s="17"/>
      <c r="D1470" s="5"/>
    </row>
    <row r="1471">
      <c r="B1471" s="17"/>
      <c r="C1471" s="17"/>
      <c r="D1471" s="5"/>
    </row>
    <row r="1472">
      <c r="B1472" s="17"/>
      <c r="C1472" s="17"/>
      <c r="D1472" s="5"/>
    </row>
    <row r="1473">
      <c r="B1473" s="17"/>
      <c r="C1473" s="17"/>
      <c r="D1473" s="5"/>
    </row>
    <row r="1474">
      <c r="B1474" s="17"/>
      <c r="C1474" s="17"/>
      <c r="D1474" s="5"/>
    </row>
    <row r="1475">
      <c r="B1475" s="17"/>
      <c r="C1475" s="17"/>
      <c r="D1475" s="5"/>
    </row>
    <row r="1476">
      <c r="B1476" s="17"/>
      <c r="C1476" s="17"/>
      <c r="D1476" s="5"/>
    </row>
    <row r="1477">
      <c r="B1477" s="17"/>
      <c r="C1477" s="17"/>
      <c r="D1477" s="5"/>
    </row>
    <row r="1478">
      <c r="B1478" s="17"/>
      <c r="C1478" s="17"/>
      <c r="D1478" s="5"/>
    </row>
    <row r="1479">
      <c r="B1479" s="17"/>
      <c r="C1479" s="17"/>
      <c r="D1479" s="5"/>
    </row>
    <row r="1480">
      <c r="B1480" s="17"/>
      <c r="C1480" s="17"/>
      <c r="D1480" s="5"/>
    </row>
    <row r="1481">
      <c r="B1481" s="17"/>
      <c r="C1481" s="17"/>
      <c r="D1481" s="5"/>
    </row>
    <row r="1482">
      <c r="B1482" s="17"/>
      <c r="C1482" s="17"/>
      <c r="D1482" s="5"/>
    </row>
    <row r="1483">
      <c r="B1483" s="17"/>
      <c r="C1483" s="17"/>
      <c r="D1483" s="5"/>
    </row>
    <row r="1484">
      <c r="B1484" s="17"/>
      <c r="C1484" s="17"/>
      <c r="D1484" s="5"/>
    </row>
    <row r="1485">
      <c r="B1485" s="17"/>
      <c r="C1485" s="17"/>
      <c r="D1485" s="5"/>
    </row>
    <row r="1486">
      <c r="B1486" s="17"/>
      <c r="C1486" s="17"/>
      <c r="D1486" s="5"/>
    </row>
    <row r="1487">
      <c r="B1487" s="17"/>
      <c r="C1487" s="17"/>
      <c r="D1487" s="5"/>
    </row>
    <row r="1488">
      <c r="B1488" s="17"/>
      <c r="C1488" s="17"/>
      <c r="D1488" s="5"/>
    </row>
    <row r="1489">
      <c r="B1489" s="17"/>
      <c r="C1489" s="17"/>
      <c r="D1489" s="5"/>
    </row>
    <row r="1490">
      <c r="B1490" s="17"/>
      <c r="C1490" s="17"/>
      <c r="D1490" s="5"/>
    </row>
    <row r="1491">
      <c r="B1491" s="17"/>
      <c r="C1491" s="17"/>
      <c r="D1491" s="5"/>
    </row>
    <row r="1492">
      <c r="B1492" s="17"/>
      <c r="C1492" s="17"/>
      <c r="D1492" s="5"/>
    </row>
    <row r="1493">
      <c r="B1493" s="17"/>
      <c r="C1493" s="17"/>
      <c r="D1493" s="5"/>
    </row>
    <row r="1494">
      <c r="B1494" s="17"/>
      <c r="C1494" s="17"/>
      <c r="D1494" s="5"/>
    </row>
    <row r="1495">
      <c r="B1495" s="17"/>
      <c r="C1495" s="17"/>
      <c r="D1495" s="5"/>
    </row>
    <row r="1496">
      <c r="B1496" s="17"/>
      <c r="C1496" s="17"/>
      <c r="D1496" s="5"/>
    </row>
    <row r="1497">
      <c r="B1497" s="17"/>
      <c r="C1497" s="17"/>
      <c r="D1497" s="5"/>
    </row>
    <row r="1498">
      <c r="B1498" s="17"/>
      <c r="C1498" s="17"/>
      <c r="D1498" s="5"/>
    </row>
    <row r="1499">
      <c r="B1499" s="17"/>
      <c r="C1499" s="17"/>
      <c r="D1499" s="5"/>
    </row>
    <row r="1500">
      <c r="B1500" s="17"/>
      <c r="C1500" s="17"/>
      <c r="D1500" s="5"/>
    </row>
    <row r="1501">
      <c r="B1501" s="17"/>
      <c r="C1501" s="17"/>
      <c r="D1501" s="5"/>
    </row>
    <row r="1502">
      <c r="B1502" s="17"/>
      <c r="C1502" s="17"/>
      <c r="D1502" s="5"/>
    </row>
    <row r="1503">
      <c r="B1503" s="17"/>
      <c r="C1503" s="17"/>
      <c r="D1503" s="5"/>
    </row>
    <row r="1504">
      <c r="B1504" s="17"/>
      <c r="C1504" s="17"/>
      <c r="D1504" s="5"/>
    </row>
    <row r="1505">
      <c r="B1505" s="17"/>
      <c r="C1505" s="17"/>
      <c r="D1505" s="5"/>
    </row>
    <row r="1506">
      <c r="B1506" s="17"/>
      <c r="C1506" s="17"/>
      <c r="D1506" s="5"/>
    </row>
    <row r="1507">
      <c r="B1507" s="17"/>
      <c r="C1507" s="17"/>
      <c r="D1507" s="5"/>
    </row>
    <row r="1508">
      <c r="B1508" s="17"/>
      <c r="C1508" s="17"/>
      <c r="D1508" s="5"/>
    </row>
    <row r="1509">
      <c r="B1509" s="17"/>
      <c r="C1509" s="17"/>
      <c r="D1509" s="5"/>
    </row>
    <row r="1510">
      <c r="B1510" s="17"/>
      <c r="C1510" s="17"/>
      <c r="D1510" s="5"/>
    </row>
    <row r="1511">
      <c r="B1511" s="17"/>
      <c r="C1511" s="17"/>
      <c r="D1511" s="5"/>
    </row>
    <row r="1512">
      <c r="B1512" s="17"/>
      <c r="C1512" s="17"/>
      <c r="D1512" s="5"/>
    </row>
    <row r="1513">
      <c r="B1513" s="17"/>
      <c r="C1513" s="17"/>
      <c r="D1513" s="5"/>
    </row>
    <row r="1514">
      <c r="B1514" s="17"/>
      <c r="C1514" s="17"/>
      <c r="D1514" s="5"/>
    </row>
    <row r="1515">
      <c r="B1515" s="17"/>
      <c r="C1515" s="17"/>
      <c r="D1515" s="5"/>
    </row>
    <row r="1516">
      <c r="B1516" s="17"/>
      <c r="C1516" s="17"/>
      <c r="D1516" s="5"/>
    </row>
    <row r="1517">
      <c r="B1517" s="17"/>
      <c r="C1517" s="17"/>
      <c r="D1517" s="5"/>
    </row>
    <row r="1518">
      <c r="B1518" s="17"/>
      <c r="C1518" s="17"/>
      <c r="D1518" s="5"/>
    </row>
    <row r="1519">
      <c r="B1519" s="17"/>
      <c r="C1519" s="17"/>
      <c r="D1519" s="5"/>
    </row>
    <row r="1520">
      <c r="B1520" s="17"/>
      <c r="C1520" s="17"/>
      <c r="D1520" s="5"/>
    </row>
    <row r="1521">
      <c r="B1521" s="17"/>
      <c r="C1521" s="17"/>
      <c r="D1521" s="5"/>
    </row>
    <row r="1522">
      <c r="B1522" s="17"/>
      <c r="C1522" s="17"/>
      <c r="D1522" s="5"/>
    </row>
    <row r="1523">
      <c r="B1523" s="17"/>
      <c r="C1523" s="17"/>
      <c r="D1523" s="5"/>
    </row>
    <row r="1524">
      <c r="B1524" s="17"/>
      <c r="C1524" s="17"/>
      <c r="D1524" s="5"/>
    </row>
    <row r="1525">
      <c r="B1525" s="17"/>
      <c r="C1525" s="17"/>
      <c r="D1525" s="5"/>
    </row>
    <row r="1526">
      <c r="B1526" s="17"/>
      <c r="C1526" s="17"/>
      <c r="D1526" s="5"/>
    </row>
    <row r="1527">
      <c r="B1527" s="17"/>
      <c r="C1527" s="17"/>
      <c r="D1527" s="5"/>
    </row>
    <row r="1528">
      <c r="B1528" s="17"/>
      <c r="C1528" s="17"/>
      <c r="D1528" s="5"/>
    </row>
    <row r="1529">
      <c r="B1529" s="17"/>
      <c r="C1529" s="17"/>
      <c r="D1529" s="5"/>
    </row>
    <row r="1530">
      <c r="B1530" s="17"/>
      <c r="C1530" s="17"/>
      <c r="D1530" s="5"/>
    </row>
    <row r="1531">
      <c r="B1531" s="17"/>
      <c r="C1531" s="17"/>
      <c r="D1531" s="5"/>
    </row>
    <row r="1532">
      <c r="B1532" s="17"/>
      <c r="C1532" s="17"/>
      <c r="D1532" s="5"/>
    </row>
    <row r="1533">
      <c r="B1533" s="17"/>
      <c r="C1533" s="17"/>
      <c r="D1533" s="5"/>
    </row>
    <row r="1534">
      <c r="B1534" s="17"/>
      <c r="C1534" s="17"/>
      <c r="D1534" s="5"/>
    </row>
    <row r="1535">
      <c r="B1535" s="17"/>
      <c r="C1535" s="17"/>
      <c r="D1535" s="5"/>
    </row>
    <row r="1536">
      <c r="B1536" s="17"/>
      <c r="C1536" s="17"/>
      <c r="D1536" s="5"/>
    </row>
    <row r="1537">
      <c r="B1537" s="17"/>
      <c r="C1537" s="17"/>
      <c r="D1537" s="5"/>
    </row>
    <row r="1538">
      <c r="B1538" s="17"/>
      <c r="C1538" s="17"/>
      <c r="D1538" s="5"/>
    </row>
    <row r="1539">
      <c r="B1539" s="17"/>
      <c r="C1539" s="17"/>
      <c r="D1539" s="5"/>
    </row>
    <row r="1540">
      <c r="B1540" s="17"/>
      <c r="C1540" s="17"/>
      <c r="D1540" s="5"/>
    </row>
    <row r="1541">
      <c r="B1541" s="17"/>
      <c r="C1541" s="17"/>
      <c r="D1541" s="5"/>
    </row>
    <row r="1542">
      <c r="B1542" s="17"/>
      <c r="C1542" s="17"/>
      <c r="D1542" s="5"/>
    </row>
    <row r="1543">
      <c r="B1543" s="17"/>
      <c r="C1543" s="17"/>
      <c r="D1543" s="5"/>
    </row>
    <row r="1544">
      <c r="B1544" s="17"/>
      <c r="C1544" s="17"/>
      <c r="D1544" s="5"/>
    </row>
    <row r="1545">
      <c r="B1545" s="17"/>
      <c r="C1545" s="17"/>
      <c r="D1545" s="5"/>
    </row>
    <row r="1546">
      <c r="B1546" s="17"/>
      <c r="C1546" s="17"/>
      <c r="D1546" s="5"/>
    </row>
    <row r="1547">
      <c r="B1547" s="17"/>
      <c r="C1547" s="17"/>
      <c r="D1547" s="5"/>
    </row>
    <row r="1548">
      <c r="B1548" s="17"/>
      <c r="C1548" s="17"/>
      <c r="D1548" s="5"/>
    </row>
    <row r="1549">
      <c r="B1549" s="17"/>
      <c r="C1549" s="17"/>
      <c r="D1549" s="5"/>
    </row>
    <row r="1550">
      <c r="B1550" s="17"/>
      <c r="C1550" s="17"/>
      <c r="D1550" s="5"/>
    </row>
    <row r="1551">
      <c r="B1551" s="17"/>
      <c r="C1551" s="17"/>
      <c r="D1551" s="5"/>
    </row>
    <row r="1552">
      <c r="B1552" s="17"/>
      <c r="C1552" s="17"/>
      <c r="D1552" s="5"/>
    </row>
    <row r="1553">
      <c r="B1553" s="17"/>
      <c r="C1553" s="17"/>
      <c r="D1553" s="5"/>
    </row>
    <row r="1554">
      <c r="B1554" s="17"/>
      <c r="C1554" s="17"/>
      <c r="D1554" s="5"/>
    </row>
    <row r="1555">
      <c r="B1555" s="17"/>
      <c r="C1555" s="17"/>
      <c r="D1555" s="5"/>
    </row>
    <row r="1556">
      <c r="B1556" s="17"/>
      <c r="C1556" s="17"/>
      <c r="D1556" s="5"/>
    </row>
    <row r="1557">
      <c r="B1557" s="17"/>
      <c r="C1557" s="17"/>
      <c r="D1557" s="5"/>
    </row>
    <row r="1558">
      <c r="B1558" s="17"/>
      <c r="C1558" s="17"/>
      <c r="D1558" s="5"/>
    </row>
    <row r="1559">
      <c r="B1559" s="17"/>
      <c r="C1559" s="17"/>
      <c r="D1559" s="5"/>
    </row>
    <row r="1560">
      <c r="B1560" s="17"/>
      <c r="C1560" s="17"/>
      <c r="D1560" s="5"/>
    </row>
    <row r="1561">
      <c r="B1561" s="17"/>
      <c r="C1561" s="17"/>
      <c r="D1561" s="5"/>
    </row>
    <row r="1562">
      <c r="B1562" s="17"/>
      <c r="C1562" s="17"/>
      <c r="D1562" s="5"/>
    </row>
    <row r="1563">
      <c r="B1563" s="17"/>
      <c r="C1563" s="17"/>
      <c r="D1563" s="5"/>
    </row>
    <row r="1564">
      <c r="B1564" s="17"/>
      <c r="C1564" s="17"/>
      <c r="D1564" s="5"/>
    </row>
    <row r="1565">
      <c r="B1565" s="17"/>
      <c r="C1565" s="17"/>
      <c r="D1565" s="5"/>
    </row>
    <row r="1566">
      <c r="B1566" s="17"/>
      <c r="C1566" s="17"/>
      <c r="D1566" s="5"/>
    </row>
    <row r="1567">
      <c r="B1567" s="17"/>
      <c r="C1567" s="17"/>
      <c r="D1567" s="5"/>
    </row>
    <row r="1568">
      <c r="B1568" s="17"/>
      <c r="C1568" s="17"/>
      <c r="D1568" s="5"/>
    </row>
    <row r="1569">
      <c r="B1569" s="17"/>
      <c r="C1569" s="17"/>
      <c r="D1569" s="5"/>
    </row>
    <row r="1570">
      <c r="B1570" s="17"/>
      <c r="C1570" s="17"/>
      <c r="D1570" s="5"/>
    </row>
    <row r="1571">
      <c r="B1571" s="17"/>
      <c r="C1571" s="17"/>
      <c r="D1571" s="5"/>
    </row>
    <row r="1572">
      <c r="B1572" s="17"/>
      <c r="C1572" s="17"/>
      <c r="D1572" s="5"/>
    </row>
    <row r="1573">
      <c r="B1573" s="17"/>
      <c r="C1573" s="17"/>
      <c r="D1573" s="5"/>
    </row>
    <row r="1574">
      <c r="B1574" s="17"/>
      <c r="C1574" s="17"/>
      <c r="D1574" s="5"/>
    </row>
    <row r="1575">
      <c r="B1575" s="17"/>
      <c r="C1575" s="17"/>
      <c r="D1575" s="5"/>
    </row>
    <row r="1576">
      <c r="B1576" s="17"/>
      <c r="C1576" s="17"/>
      <c r="D1576" s="5"/>
    </row>
    <row r="1577">
      <c r="B1577" s="17"/>
      <c r="C1577" s="17"/>
      <c r="D1577" s="5"/>
    </row>
    <row r="1578">
      <c r="B1578" s="17"/>
      <c r="C1578" s="17"/>
      <c r="D1578" s="5"/>
    </row>
    <row r="1579">
      <c r="B1579" s="17"/>
      <c r="C1579" s="17"/>
      <c r="D1579" s="5"/>
    </row>
    <row r="1580">
      <c r="B1580" s="17"/>
      <c r="C1580" s="17"/>
      <c r="D1580" s="5"/>
    </row>
    <row r="1581">
      <c r="B1581" s="17"/>
      <c r="C1581" s="17"/>
      <c r="D1581" s="5"/>
    </row>
    <row r="1582">
      <c r="B1582" s="17"/>
      <c r="C1582" s="17"/>
      <c r="D1582" s="5"/>
    </row>
    <row r="1583">
      <c r="B1583" s="17"/>
      <c r="C1583" s="17"/>
      <c r="D1583" s="5"/>
    </row>
    <row r="1584">
      <c r="B1584" s="17"/>
      <c r="C1584" s="17"/>
      <c r="D1584" s="5"/>
    </row>
    <row r="1585">
      <c r="B1585" s="17"/>
      <c r="C1585" s="17"/>
      <c r="D1585" s="5"/>
    </row>
    <row r="1586">
      <c r="B1586" s="17"/>
      <c r="C1586" s="17"/>
      <c r="D1586" s="5"/>
    </row>
    <row r="1587">
      <c r="B1587" s="17"/>
      <c r="C1587" s="17"/>
      <c r="D1587" s="5"/>
    </row>
    <row r="1588">
      <c r="B1588" s="17"/>
      <c r="C1588" s="17"/>
      <c r="D1588" s="5"/>
    </row>
    <row r="1589">
      <c r="B1589" s="17"/>
      <c r="C1589" s="17"/>
      <c r="D1589" s="5"/>
    </row>
    <row r="1590">
      <c r="B1590" s="17"/>
      <c r="C1590" s="17"/>
      <c r="D1590" s="5"/>
    </row>
    <row r="1591">
      <c r="B1591" s="17"/>
      <c r="C1591" s="17"/>
      <c r="D1591" s="5"/>
    </row>
    <row r="1592">
      <c r="B1592" s="17"/>
      <c r="C1592" s="17"/>
      <c r="D1592" s="5"/>
    </row>
    <row r="1593">
      <c r="B1593" s="17"/>
      <c r="C1593" s="17"/>
      <c r="D1593" s="5"/>
    </row>
    <row r="1594">
      <c r="B1594" s="17"/>
      <c r="C1594" s="17"/>
      <c r="D1594" s="5"/>
    </row>
    <row r="1595">
      <c r="B1595" s="17"/>
      <c r="C1595" s="17"/>
      <c r="D1595" s="5"/>
    </row>
    <row r="1596">
      <c r="B1596" s="17"/>
      <c r="C1596" s="17"/>
      <c r="D1596" s="5"/>
    </row>
    <row r="1597">
      <c r="B1597" s="17"/>
      <c r="C1597" s="17"/>
      <c r="D1597" s="5"/>
    </row>
    <row r="1598">
      <c r="B1598" s="17"/>
      <c r="C1598" s="17"/>
      <c r="D1598" s="5"/>
    </row>
    <row r="1599">
      <c r="B1599" s="17"/>
      <c r="C1599" s="17"/>
      <c r="D1599" s="5"/>
    </row>
    <row r="1600">
      <c r="B1600" s="17"/>
      <c r="C1600" s="17"/>
      <c r="D1600" s="5"/>
    </row>
    <row r="1601">
      <c r="B1601" s="17"/>
      <c r="C1601" s="17"/>
      <c r="D1601" s="5"/>
    </row>
    <row r="1602">
      <c r="B1602" s="17"/>
      <c r="C1602" s="17"/>
      <c r="D1602" s="5"/>
    </row>
    <row r="1603">
      <c r="B1603" s="17"/>
      <c r="C1603" s="17"/>
      <c r="D1603" s="5"/>
    </row>
    <row r="1604">
      <c r="B1604" s="17"/>
      <c r="C1604" s="17"/>
      <c r="D1604" s="5"/>
    </row>
    <row r="1605">
      <c r="B1605" s="17"/>
      <c r="C1605" s="17"/>
      <c r="D1605" s="5"/>
    </row>
    <row r="1606">
      <c r="B1606" s="17"/>
      <c r="C1606" s="17"/>
      <c r="D1606" s="5"/>
    </row>
    <row r="1607">
      <c r="B1607" s="17"/>
      <c r="C1607" s="17"/>
      <c r="D1607" s="5"/>
    </row>
    <row r="1608">
      <c r="B1608" s="17"/>
      <c r="C1608" s="17"/>
      <c r="D1608" s="5"/>
    </row>
    <row r="1609">
      <c r="B1609" s="17"/>
      <c r="C1609" s="17"/>
      <c r="D1609" s="5"/>
    </row>
    <row r="1610">
      <c r="B1610" s="17"/>
      <c r="C1610" s="17"/>
      <c r="D1610" s="5"/>
    </row>
    <row r="1611">
      <c r="B1611" s="17"/>
      <c r="C1611" s="17"/>
      <c r="D1611" s="5"/>
    </row>
    <row r="1612">
      <c r="B1612" s="17"/>
      <c r="C1612" s="17"/>
      <c r="D1612" s="5"/>
    </row>
    <row r="1613">
      <c r="B1613" s="17"/>
      <c r="C1613" s="17"/>
      <c r="D1613" s="5"/>
    </row>
    <row r="1614">
      <c r="B1614" s="17"/>
      <c r="C1614" s="17"/>
      <c r="D1614" s="5"/>
    </row>
    <row r="1615">
      <c r="B1615" s="17"/>
      <c r="C1615" s="17"/>
      <c r="D1615" s="5"/>
    </row>
    <row r="1616">
      <c r="B1616" s="17"/>
      <c r="C1616" s="17"/>
      <c r="D1616" s="5"/>
    </row>
    <row r="1617">
      <c r="B1617" s="17"/>
      <c r="C1617" s="17"/>
      <c r="D1617" s="5"/>
    </row>
    <row r="1618">
      <c r="B1618" s="17"/>
      <c r="C1618" s="17"/>
      <c r="D1618" s="5"/>
    </row>
    <row r="1619">
      <c r="B1619" s="17"/>
      <c r="C1619" s="17"/>
      <c r="D1619" s="5"/>
    </row>
    <row r="1620">
      <c r="B1620" s="17"/>
      <c r="C1620" s="17"/>
      <c r="D1620" s="5"/>
    </row>
    <row r="1621">
      <c r="B1621" s="17"/>
      <c r="C1621" s="17"/>
      <c r="D1621" s="5"/>
    </row>
    <row r="1622">
      <c r="B1622" s="17"/>
      <c r="C1622" s="17"/>
      <c r="D1622" s="5"/>
    </row>
    <row r="1623">
      <c r="B1623" s="17"/>
      <c r="C1623" s="17"/>
      <c r="D1623" s="5"/>
    </row>
    <row r="1624">
      <c r="B1624" s="17"/>
      <c r="C1624" s="17"/>
      <c r="D1624" s="5"/>
    </row>
    <row r="1625">
      <c r="B1625" s="17"/>
      <c r="C1625" s="17"/>
      <c r="D1625" s="5"/>
    </row>
    <row r="1626">
      <c r="B1626" s="17"/>
      <c r="C1626" s="17"/>
      <c r="D1626" s="5"/>
    </row>
    <row r="1627">
      <c r="B1627" s="17"/>
      <c r="C1627" s="17"/>
      <c r="D1627" s="5"/>
    </row>
    <row r="1628">
      <c r="B1628" s="17"/>
      <c r="C1628" s="17"/>
      <c r="D1628" s="5"/>
    </row>
    <row r="1629">
      <c r="B1629" s="17"/>
      <c r="C1629" s="17"/>
      <c r="D1629" s="5"/>
    </row>
    <row r="1630">
      <c r="B1630" s="17"/>
      <c r="C1630" s="17"/>
      <c r="D1630" s="5"/>
    </row>
    <row r="1631">
      <c r="B1631" s="17"/>
      <c r="C1631" s="17"/>
      <c r="D1631" s="5"/>
    </row>
    <row r="1632">
      <c r="B1632" s="17"/>
      <c r="C1632" s="17"/>
      <c r="D1632" s="5"/>
    </row>
    <row r="1633">
      <c r="B1633" s="17"/>
      <c r="C1633" s="17"/>
      <c r="D1633" s="5"/>
    </row>
    <row r="1634">
      <c r="B1634" s="17"/>
      <c r="C1634" s="17"/>
      <c r="D1634" s="5"/>
    </row>
    <row r="1635">
      <c r="B1635" s="17"/>
      <c r="C1635" s="17"/>
      <c r="D1635" s="5"/>
    </row>
    <row r="1636">
      <c r="B1636" s="17"/>
      <c r="C1636" s="17"/>
      <c r="D1636" s="5"/>
    </row>
    <row r="1637">
      <c r="B1637" s="17"/>
      <c r="C1637" s="17"/>
      <c r="D1637" s="5"/>
    </row>
    <row r="1638">
      <c r="B1638" s="17"/>
      <c r="C1638" s="17"/>
      <c r="D1638" s="5"/>
    </row>
    <row r="1639">
      <c r="B1639" s="17"/>
      <c r="C1639" s="17"/>
      <c r="D1639" s="5"/>
    </row>
    <row r="1640">
      <c r="B1640" s="17"/>
      <c r="C1640" s="17"/>
      <c r="D1640" s="5"/>
    </row>
    <row r="1641">
      <c r="B1641" s="17"/>
      <c r="C1641" s="17"/>
      <c r="D1641" s="5"/>
    </row>
    <row r="1642">
      <c r="B1642" s="17"/>
      <c r="C1642" s="17"/>
      <c r="D1642" s="5"/>
    </row>
    <row r="1643">
      <c r="B1643" s="17"/>
      <c r="C1643" s="17"/>
      <c r="D1643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4.5"/>
    <col customWidth="1" min="3" max="3" width="41.38"/>
    <col customWidth="1" min="4" max="4" width="8.38"/>
    <col customWidth="1" min="5" max="5" width="9.75"/>
    <col customWidth="1" min="6" max="6" width="11.38"/>
    <col customWidth="1" min="9" max="9" width="5.75"/>
    <col customWidth="1" min="10" max="10" width="7.25"/>
    <col customWidth="1" min="11" max="11" width="44.0"/>
    <col customWidth="1" min="12" max="12" width="18.0"/>
    <col customWidth="1" min="13" max="13" width="28.63"/>
  </cols>
  <sheetData>
    <row r="1">
      <c r="A1" s="4" t="s">
        <v>3</v>
      </c>
      <c r="B1" s="4" t="s">
        <v>11</v>
      </c>
      <c r="C1" s="4" t="s">
        <v>13</v>
      </c>
      <c r="D1" s="7" t="s">
        <v>15</v>
      </c>
      <c r="E1" s="7" t="s">
        <v>17</v>
      </c>
      <c r="F1" s="7" t="s">
        <v>19</v>
      </c>
      <c r="G1" s="4" t="s">
        <v>20</v>
      </c>
      <c r="H1" s="4" t="s">
        <v>20</v>
      </c>
      <c r="I1" s="4" t="s">
        <v>21</v>
      </c>
      <c r="J1" s="4" t="s">
        <v>22</v>
      </c>
      <c r="K1" s="4" t="s">
        <v>23</v>
      </c>
    </row>
    <row r="2">
      <c r="A2" s="10">
        <v>46065.55580596065</v>
      </c>
      <c r="B2" s="4" t="s">
        <v>25</v>
      </c>
      <c r="C2" s="4" t="s">
        <v>26</v>
      </c>
      <c r="D2" s="7">
        <v>240.0</v>
      </c>
      <c r="E2" s="7">
        <v>55.97200000000001</v>
      </c>
      <c r="F2" s="7">
        <f>IFERROR(__xludf.DUMMYFUNCTION("ARRAYFORMULA(IF(B2:B292="""", """",IF(REGEXMATCH(LOWER(B2:B292),""tin uy|charly distri|agus honney""),E2:E292/2, E2:E292)))"),55.97200000000001)</f>
        <v>55.972</v>
      </c>
      <c r="G2" s="4"/>
      <c r="H2" s="4"/>
      <c r="I2" s="4">
        <v>240.0</v>
      </c>
    </row>
    <row r="3">
      <c r="A3" s="10">
        <v>46065.55909001158</v>
      </c>
      <c r="B3" s="4" t="s">
        <v>36</v>
      </c>
      <c r="C3" s="4" t="s">
        <v>37</v>
      </c>
      <c r="D3" s="7">
        <v>1315.0</v>
      </c>
      <c r="E3" s="7">
        <v>326.42800000000005</v>
      </c>
      <c r="F3" s="7">
        <f>IFERROR(__xludf.DUMMYFUNCTION("""COMPUTED_VALUE"""),326.42800000000005)</f>
        <v>326.428</v>
      </c>
      <c r="G3" s="4"/>
      <c r="H3" s="4"/>
      <c r="I3" s="4">
        <v>1315.0</v>
      </c>
    </row>
    <row r="4">
      <c r="A4" s="10">
        <v>46065.56648637731</v>
      </c>
      <c r="B4" s="4" t="s">
        <v>38</v>
      </c>
      <c r="C4" s="4" t="s">
        <v>39</v>
      </c>
      <c r="D4" s="7">
        <v>5185.0</v>
      </c>
      <c r="E4" s="7">
        <v>1260.0059999999999</v>
      </c>
      <c r="F4" s="12">
        <f>IFERROR(__xludf.DUMMYFUNCTION("""COMPUTED_VALUE"""),630.0029999999999)</f>
        <v>630.003</v>
      </c>
    </row>
    <row r="5">
      <c r="A5" s="10">
        <v>46065.57201809028</v>
      </c>
      <c r="B5" s="4" t="s">
        <v>40</v>
      </c>
      <c r="C5" s="4" t="s">
        <v>41</v>
      </c>
      <c r="D5" s="7">
        <v>400.0</v>
      </c>
      <c r="E5" s="7">
        <v>80.602</v>
      </c>
      <c r="F5" s="7">
        <f>IFERROR(__xludf.DUMMYFUNCTION("""COMPUTED_VALUE"""),80.602)</f>
        <v>80.602</v>
      </c>
      <c r="G5" s="4"/>
      <c r="H5" s="4"/>
      <c r="I5" s="4">
        <v>100.0</v>
      </c>
      <c r="J5" s="4" t="s">
        <v>42</v>
      </c>
    </row>
    <row r="6">
      <c r="A6" s="10">
        <v>46065.57297009259</v>
      </c>
      <c r="B6" s="4" t="s">
        <v>43</v>
      </c>
      <c r="C6" s="4" t="s">
        <v>44</v>
      </c>
      <c r="D6" s="7">
        <v>440.0</v>
      </c>
      <c r="E6" s="7">
        <v>105.16799999999998</v>
      </c>
      <c r="F6" s="12">
        <f>IFERROR(__xludf.DUMMYFUNCTION("""COMPUTED_VALUE"""),105.16799999999998)</f>
        <v>105.168</v>
      </c>
      <c r="J6" s="4" t="s">
        <v>45</v>
      </c>
    </row>
    <row r="7">
      <c r="A7" s="10">
        <v>46065.5755347338</v>
      </c>
      <c r="B7" s="4" t="s">
        <v>46</v>
      </c>
      <c r="C7" s="4" t="s">
        <v>47</v>
      </c>
      <c r="D7" s="7">
        <v>1690.0</v>
      </c>
      <c r="E7" s="7">
        <v>387.472</v>
      </c>
      <c r="F7" s="7">
        <f>IFERROR(__xludf.DUMMYFUNCTION("""COMPUTED_VALUE"""),387.472)</f>
        <v>387.472</v>
      </c>
      <c r="G7" s="4"/>
      <c r="H7" s="4"/>
      <c r="I7" s="4">
        <v>350.0</v>
      </c>
    </row>
    <row r="8">
      <c r="A8" s="10">
        <v>46065.586095694445</v>
      </c>
      <c r="B8" s="4" t="s">
        <v>48</v>
      </c>
      <c r="C8" s="4" t="s">
        <v>49</v>
      </c>
      <c r="D8" s="7">
        <v>6534.0</v>
      </c>
      <c r="E8" s="7">
        <v>1600.578</v>
      </c>
      <c r="F8" s="12">
        <f>IFERROR(__xludf.DUMMYFUNCTION("""COMPUTED_VALUE"""),800.289)</f>
        <v>800.289</v>
      </c>
      <c r="J8" s="4">
        <v>6534.0</v>
      </c>
      <c r="K8" s="4" t="s">
        <v>52</v>
      </c>
      <c r="L8" s="4" t="s">
        <v>53</v>
      </c>
    </row>
    <row r="9">
      <c r="A9" s="18">
        <v>46065.58946497685</v>
      </c>
      <c r="B9" s="19" t="s">
        <v>54</v>
      </c>
      <c r="C9" s="19" t="s">
        <v>56</v>
      </c>
      <c r="D9" s="20">
        <v>2085.0</v>
      </c>
      <c r="E9" s="20">
        <v>500.678</v>
      </c>
      <c r="F9" s="20">
        <f>IFERROR(__xludf.DUMMYFUNCTION("""COMPUTED_VALUE"""),500.678)</f>
        <v>500.678</v>
      </c>
      <c r="G9" s="19"/>
      <c r="H9" s="19"/>
      <c r="I9" s="19">
        <v>800.0</v>
      </c>
      <c r="J9" s="19" t="s">
        <v>59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>
      <c r="A10" s="24">
        <v>46065.5981771875</v>
      </c>
      <c r="B10" s="26" t="s">
        <v>66</v>
      </c>
      <c r="C10" s="26" t="s">
        <v>67</v>
      </c>
      <c r="D10" s="27">
        <v>3258.0</v>
      </c>
      <c r="E10" s="27">
        <v>784.9759999999999</v>
      </c>
      <c r="F10" s="28">
        <f>IFERROR(__xludf.DUMMYFUNCTION("""COMPUTED_VALUE"""),784.9759999999999)</f>
        <v>784.976</v>
      </c>
      <c r="G10" s="29"/>
      <c r="H10" s="29"/>
      <c r="I10" s="26">
        <v>3258.0</v>
      </c>
      <c r="J10" s="26"/>
      <c r="K10" s="30">
        <v>46094.0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>
      <c r="A11" s="10">
        <v>46065.604979930555</v>
      </c>
      <c r="B11" s="4" t="s">
        <v>73</v>
      </c>
      <c r="C11" s="4" t="s">
        <v>74</v>
      </c>
      <c r="D11" s="7">
        <v>3868.0</v>
      </c>
      <c r="E11" s="7">
        <v>711.368</v>
      </c>
      <c r="F11" s="12">
        <f>IFERROR(__xludf.DUMMYFUNCTION("""COMPUTED_VALUE"""),711.368)</f>
        <v>711.368</v>
      </c>
      <c r="I11" s="4">
        <v>4384.0</v>
      </c>
      <c r="J11" s="26"/>
      <c r="K11" s="4" t="s">
        <v>77</v>
      </c>
    </row>
    <row r="12">
      <c r="A12" s="10">
        <v>46065.60637005787</v>
      </c>
      <c r="B12" s="4" t="s">
        <v>73</v>
      </c>
      <c r="C12" s="4" t="s">
        <v>78</v>
      </c>
      <c r="D12" s="7">
        <v>160.0</v>
      </c>
      <c r="E12" s="7">
        <v>53.616</v>
      </c>
      <c r="F12" s="12">
        <f>IFERROR(__xludf.DUMMYFUNCTION("""COMPUTED_VALUE"""),53.616)</f>
        <v>53.616</v>
      </c>
      <c r="J12" s="26" t="s">
        <v>80</v>
      </c>
    </row>
    <row r="13">
      <c r="A13" s="10">
        <v>46065.61154158565</v>
      </c>
      <c r="B13" s="4" t="s">
        <v>73</v>
      </c>
      <c r="C13" s="4" t="s">
        <v>82</v>
      </c>
      <c r="D13" s="7">
        <v>190.0</v>
      </c>
      <c r="E13" s="7">
        <v>45.31200000000001</v>
      </c>
      <c r="F13" s="12">
        <f>IFERROR(__xludf.DUMMYFUNCTION("""COMPUTED_VALUE"""),45.31200000000001)</f>
        <v>45.312</v>
      </c>
      <c r="J13" s="26" t="s">
        <v>80</v>
      </c>
    </row>
    <row r="14">
      <c r="A14" s="10">
        <v>46066.452114432876</v>
      </c>
      <c r="B14" s="4" t="s">
        <v>83</v>
      </c>
      <c r="C14" s="4" t="s">
        <v>84</v>
      </c>
      <c r="D14" s="7">
        <v>700.0</v>
      </c>
      <c r="E14" s="7">
        <v>139.88400000000001</v>
      </c>
      <c r="F14" s="12">
        <f>IFERROR(__xludf.DUMMYFUNCTION("""COMPUTED_VALUE"""),139.88400000000001)</f>
        <v>139.884</v>
      </c>
      <c r="J14" s="4" t="s">
        <v>87</v>
      </c>
    </row>
    <row r="15">
      <c r="A15" s="10">
        <v>46066.474872962965</v>
      </c>
      <c r="B15" s="4" t="s">
        <v>88</v>
      </c>
      <c r="C15" s="31" t="s">
        <v>90</v>
      </c>
      <c r="D15" s="7">
        <v>1084.0</v>
      </c>
      <c r="E15" s="7">
        <v>268.38800000000003</v>
      </c>
      <c r="F15" s="7">
        <f>IFERROR(__xludf.DUMMYFUNCTION("""COMPUTED_VALUE"""),268.38800000000003)</f>
        <v>268.388</v>
      </c>
      <c r="G15" s="4"/>
      <c r="H15" s="4"/>
      <c r="I15" s="4">
        <v>1084.0</v>
      </c>
    </row>
    <row r="16">
      <c r="A16" s="10">
        <v>46066.48658791667</v>
      </c>
      <c r="B16" s="4" t="s">
        <v>83</v>
      </c>
      <c r="C16" s="4" t="s">
        <v>94</v>
      </c>
      <c r="D16" s="7">
        <v>70.0</v>
      </c>
      <c r="E16" s="7">
        <v>20.82</v>
      </c>
      <c r="F16" s="12">
        <f>IFERROR(__xludf.DUMMYFUNCTION("""COMPUTED_VALUE"""),20.82)</f>
        <v>20.82</v>
      </c>
      <c r="I16" s="4">
        <v>70.0</v>
      </c>
    </row>
    <row r="17">
      <c r="A17" s="10">
        <v>46066.48805971065</v>
      </c>
      <c r="B17" s="4" t="s">
        <v>38</v>
      </c>
      <c r="C17" s="4" t="s">
        <v>96</v>
      </c>
      <c r="D17" s="7">
        <v>380.0</v>
      </c>
      <c r="E17" s="7">
        <v>101.44000000000001</v>
      </c>
      <c r="F17" s="12">
        <f>IFERROR(__xludf.DUMMYFUNCTION("""COMPUTED_VALUE"""),50.720000000000006)</f>
        <v>50.72</v>
      </c>
    </row>
    <row r="18">
      <c r="A18" s="10">
        <v>46066.489157812495</v>
      </c>
      <c r="B18" s="4" t="s">
        <v>38</v>
      </c>
      <c r="C18" s="4" t="s">
        <v>98</v>
      </c>
      <c r="D18" s="7">
        <v>140.0</v>
      </c>
      <c r="E18" s="7">
        <v>41.64</v>
      </c>
      <c r="F18" s="12">
        <f>IFERROR(__xludf.DUMMYFUNCTION("""COMPUTED_VALUE"""),20.82)</f>
        <v>20.82</v>
      </c>
    </row>
    <row r="19">
      <c r="A19" s="10">
        <v>46066.69084402778</v>
      </c>
      <c r="B19" s="4" t="s">
        <v>68</v>
      </c>
      <c r="C19" s="4" t="s">
        <v>100</v>
      </c>
      <c r="D19" s="7">
        <v>1855.0</v>
      </c>
      <c r="E19" s="7">
        <v>440.9</v>
      </c>
      <c r="F19" s="12">
        <f>IFERROR(__xludf.DUMMYFUNCTION("""COMPUTED_VALUE"""),440.9)</f>
        <v>440.9</v>
      </c>
      <c r="J19" s="4">
        <v>1855.0</v>
      </c>
    </row>
    <row r="20">
      <c r="A20" s="10">
        <v>46066.85561770834</v>
      </c>
      <c r="B20" s="21" t="s">
        <v>102</v>
      </c>
      <c r="C20" s="4" t="s">
        <v>103</v>
      </c>
      <c r="D20" s="7">
        <v>375.0</v>
      </c>
      <c r="E20" s="7">
        <v>92.62600000000002</v>
      </c>
      <c r="F20" s="7">
        <f>IFERROR(__xludf.DUMMYFUNCTION("""COMPUTED_VALUE"""),92.62600000000002)</f>
        <v>92.626</v>
      </c>
      <c r="G20" s="4"/>
      <c r="H20" s="4"/>
      <c r="I20" s="4">
        <v>375.0</v>
      </c>
    </row>
    <row r="21">
      <c r="A21" s="10">
        <v>46066.87534918981</v>
      </c>
      <c r="B21" s="4" t="s">
        <v>105</v>
      </c>
      <c r="C21" s="4" t="s">
        <v>106</v>
      </c>
      <c r="D21" s="7">
        <v>110.0</v>
      </c>
      <c r="E21" s="7">
        <v>30.260000000000005</v>
      </c>
      <c r="F21" s="7">
        <f>IFERROR(__xludf.DUMMYFUNCTION("""COMPUTED_VALUE"""),30.260000000000005)</f>
        <v>30.26</v>
      </c>
      <c r="G21" s="4"/>
      <c r="H21" s="4"/>
      <c r="I21" s="4">
        <v>110.0</v>
      </c>
    </row>
    <row r="22">
      <c r="A22" s="10">
        <v>46071.32123290509</v>
      </c>
      <c r="B22" s="4" t="s">
        <v>38</v>
      </c>
      <c r="C22" s="4" t="s">
        <v>107</v>
      </c>
      <c r="D22" s="7">
        <v>710.0</v>
      </c>
      <c r="E22" s="7">
        <v>170.14399999999998</v>
      </c>
      <c r="F22" s="12">
        <f>IFERROR(__xludf.DUMMYFUNCTION("""COMPUTED_VALUE"""),85.07199999999999)</f>
        <v>85.072</v>
      </c>
    </row>
    <row r="23">
      <c r="A23" s="10">
        <v>46071.32832734953</v>
      </c>
      <c r="B23" s="4" t="s">
        <v>38</v>
      </c>
      <c r="C23" s="4" t="s">
        <v>109</v>
      </c>
      <c r="D23" s="7">
        <v>110.0</v>
      </c>
      <c r="E23" s="7">
        <v>30.260000000000005</v>
      </c>
      <c r="F23" s="12">
        <f>IFERROR(__xludf.DUMMYFUNCTION("""COMPUTED_VALUE"""),15.130000000000003)</f>
        <v>15.13</v>
      </c>
    </row>
    <row r="24">
      <c r="A24" s="10">
        <v>46071.362096689816</v>
      </c>
      <c r="B24" s="4" t="s">
        <v>38</v>
      </c>
      <c r="C24" s="4" t="s">
        <v>106</v>
      </c>
      <c r="D24" s="7">
        <v>110.0</v>
      </c>
      <c r="E24" s="7">
        <v>30.260000000000005</v>
      </c>
      <c r="F24" s="12">
        <f>IFERROR(__xludf.DUMMYFUNCTION("""COMPUTED_VALUE"""),15.130000000000003)</f>
        <v>15.13</v>
      </c>
    </row>
    <row r="25">
      <c r="A25" s="10">
        <v>46072.99220949074</v>
      </c>
      <c r="B25" s="4" t="s">
        <v>38</v>
      </c>
      <c r="C25" s="4" t="s">
        <v>112</v>
      </c>
      <c r="D25" s="7">
        <v>75.0</v>
      </c>
      <c r="E25" s="7">
        <v>17.054000000000002</v>
      </c>
      <c r="F25" s="12">
        <f>IFERROR(__xludf.DUMMYFUNCTION("""COMPUTED_VALUE"""),8.527000000000001)</f>
        <v>8.527</v>
      </c>
    </row>
    <row r="26">
      <c r="A26" s="10">
        <v>46073.35723768518</v>
      </c>
      <c r="B26" s="4" t="s">
        <v>113</v>
      </c>
      <c r="C26" s="4" t="s">
        <v>114</v>
      </c>
      <c r="D26" s="7">
        <v>214.0</v>
      </c>
      <c r="E26" s="7">
        <v>69.31200000000001</v>
      </c>
      <c r="F26" s="12">
        <f>IFERROR(__xludf.DUMMYFUNCTION("""COMPUTED_VALUE"""),34.656000000000006)</f>
        <v>34.656</v>
      </c>
      <c r="I26" s="4">
        <v>214.0</v>
      </c>
    </row>
    <row r="27">
      <c r="A27" s="39">
        <v>46073.0</v>
      </c>
      <c r="B27" s="4" t="s">
        <v>38</v>
      </c>
      <c r="C27" s="4" t="s">
        <v>116</v>
      </c>
      <c r="D27" s="7">
        <v>154.0</v>
      </c>
      <c r="E27" s="12"/>
      <c r="F27" s="12">
        <f>IFERROR(__xludf.DUMMYFUNCTION("""COMPUTED_VALUE"""),0.0)</f>
        <v>0</v>
      </c>
    </row>
    <row r="28">
      <c r="A28" s="10">
        <v>46073.56321445602</v>
      </c>
      <c r="B28" s="4" t="s">
        <v>83</v>
      </c>
      <c r="C28" s="4" t="s">
        <v>117</v>
      </c>
      <c r="D28" s="7">
        <v>295.0</v>
      </c>
      <c r="E28" s="7">
        <v>87.56200000000001</v>
      </c>
      <c r="F28" s="12">
        <f>IFERROR(__xludf.DUMMYFUNCTION("""COMPUTED_VALUE"""),87.56200000000001)</f>
        <v>87.562</v>
      </c>
      <c r="J28" s="4">
        <v>295.0</v>
      </c>
    </row>
    <row r="29">
      <c r="A29" s="10">
        <v>46076.36990046296</v>
      </c>
      <c r="B29" s="4" t="s">
        <v>119</v>
      </c>
      <c r="C29" s="4" t="s">
        <v>120</v>
      </c>
      <c r="D29" s="7">
        <v>680.0</v>
      </c>
      <c r="E29" s="7">
        <v>257.604</v>
      </c>
      <c r="F29" s="12">
        <f>IFERROR(__xludf.DUMMYFUNCTION("""COMPUTED_VALUE"""),128.802)</f>
        <v>128.802</v>
      </c>
    </row>
    <row r="30">
      <c r="A30" s="10">
        <v>46077.3882809375</v>
      </c>
      <c r="B30" s="4" t="s">
        <v>102</v>
      </c>
      <c r="C30" s="4" t="s">
        <v>122</v>
      </c>
      <c r="D30" s="7">
        <v>120.0</v>
      </c>
      <c r="E30" s="7">
        <v>30.837999999999994</v>
      </c>
      <c r="F30" s="7">
        <f>IFERROR(__xludf.DUMMYFUNCTION("""COMPUTED_VALUE"""),30.837999999999994)</f>
        <v>30.838</v>
      </c>
      <c r="G30" s="4"/>
      <c r="H30" s="4"/>
      <c r="I30" s="4">
        <v>120.0</v>
      </c>
    </row>
    <row r="31">
      <c r="A31" s="10">
        <v>46077.4104953125</v>
      </c>
      <c r="B31" s="4" t="s">
        <v>119</v>
      </c>
      <c r="C31" s="4" t="s">
        <v>124</v>
      </c>
      <c r="D31" s="7">
        <v>720.0</v>
      </c>
      <c r="E31" s="7">
        <v>185.02799999999996</v>
      </c>
      <c r="F31" s="12">
        <f>IFERROR(__xludf.DUMMYFUNCTION("""COMPUTED_VALUE"""),92.51399999999998)</f>
        <v>92.514</v>
      </c>
    </row>
    <row r="32">
      <c r="A32" s="10">
        <v>46077.4236172338</v>
      </c>
      <c r="B32" s="4" t="s">
        <v>60</v>
      </c>
      <c r="C32" s="4" t="s">
        <v>126</v>
      </c>
      <c r="D32" s="7">
        <v>1750.0</v>
      </c>
      <c r="E32" s="7">
        <v>459.34000000000003</v>
      </c>
      <c r="F32" s="12">
        <f>IFERROR(__xludf.DUMMYFUNCTION("""COMPUTED_VALUE"""),459.34000000000003)</f>
        <v>459.34</v>
      </c>
      <c r="J32" s="4">
        <v>1750.0</v>
      </c>
    </row>
    <row r="33">
      <c r="B33" s="4" t="s">
        <v>60</v>
      </c>
      <c r="C33" s="4" t="s">
        <v>128</v>
      </c>
      <c r="D33" s="7">
        <v>725.0</v>
      </c>
      <c r="E33" s="12"/>
      <c r="F33" s="12"/>
    </row>
    <row r="34">
      <c r="A34" s="10">
        <v>46077.64660891204</v>
      </c>
      <c r="B34" s="4" t="s">
        <v>68</v>
      </c>
      <c r="C34" s="4" t="s">
        <v>130</v>
      </c>
      <c r="D34" s="7">
        <v>1410.0</v>
      </c>
      <c r="E34" s="7">
        <v>291.34999999999997</v>
      </c>
      <c r="F34" s="12">
        <f>IFERROR(__xludf.DUMMYFUNCTION("""COMPUTED_VALUE"""),291.34999999999997)</f>
        <v>291.35</v>
      </c>
      <c r="J34" s="4">
        <v>1410.0</v>
      </c>
    </row>
    <row r="35">
      <c r="A35" s="10">
        <v>46078.00643018518</v>
      </c>
      <c r="B35" s="4" t="s">
        <v>113</v>
      </c>
      <c r="C35" s="4" t="s">
        <v>134</v>
      </c>
      <c r="D35" s="7">
        <v>300.0</v>
      </c>
      <c r="E35" s="7">
        <v>59.61</v>
      </c>
      <c r="F35" s="7">
        <f>IFERROR(__xludf.DUMMYFUNCTION("""COMPUTED_VALUE"""),29.805)</f>
        <v>29.805</v>
      </c>
      <c r="G35" s="4"/>
      <c r="H35" s="4"/>
      <c r="I35" s="4">
        <v>300.0</v>
      </c>
    </row>
    <row r="36">
      <c r="A36" s="42">
        <v>46080.705788946754</v>
      </c>
      <c r="B36" s="43" t="s">
        <v>137</v>
      </c>
      <c r="C36" s="44" t="s">
        <v>139</v>
      </c>
      <c r="D36" s="45">
        <v>1507.0</v>
      </c>
      <c r="E36" s="45">
        <v>364.304</v>
      </c>
      <c r="F36" s="45">
        <f>IFERROR(__xludf.DUMMYFUNCTION("""COMPUTED_VALUE"""),364.304)</f>
        <v>364.304</v>
      </c>
      <c r="I36" s="4">
        <v>1507.0</v>
      </c>
    </row>
    <row r="37">
      <c r="A37" s="42">
        <v>46080.70734325232</v>
      </c>
      <c r="B37" s="44" t="s">
        <v>113</v>
      </c>
      <c r="C37" s="44" t="s">
        <v>122</v>
      </c>
      <c r="D37" s="45">
        <v>120.0</v>
      </c>
      <c r="E37" s="45">
        <v>30.837999999999994</v>
      </c>
      <c r="F37" s="45">
        <f>IFERROR(__xludf.DUMMYFUNCTION("""COMPUTED_VALUE"""),15.418999999999997)</f>
        <v>15.419</v>
      </c>
      <c r="I37" s="4">
        <v>120.0</v>
      </c>
    </row>
    <row r="38">
      <c r="A38" s="10">
        <v>46080.81749991898</v>
      </c>
      <c r="B38" s="4" t="s">
        <v>143</v>
      </c>
      <c r="C38" s="4" t="s">
        <v>144</v>
      </c>
      <c r="D38" s="7">
        <v>450.0</v>
      </c>
      <c r="E38" s="7">
        <v>121.61800000000001</v>
      </c>
      <c r="F38" s="12">
        <f>IFERROR(__xludf.DUMMYFUNCTION("""COMPUTED_VALUE"""),121.61800000000001)</f>
        <v>121.618</v>
      </c>
      <c r="I38" s="4">
        <v>450.0</v>
      </c>
    </row>
    <row r="39">
      <c r="A39" s="10">
        <v>46080.84406765046</v>
      </c>
      <c r="B39" s="4" t="s">
        <v>146</v>
      </c>
      <c r="C39" s="4" t="s">
        <v>147</v>
      </c>
      <c r="D39" s="7">
        <v>1270.0</v>
      </c>
      <c r="E39" s="7">
        <v>302.92600000000004</v>
      </c>
      <c r="F39" s="12">
        <f>IFERROR(__xludf.DUMMYFUNCTION("""COMPUTED_VALUE"""),302.92600000000004)</f>
        <v>302.926</v>
      </c>
      <c r="J39" s="4">
        <v>1270.0</v>
      </c>
    </row>
    <row r="40">
      <c r="A40" s="10">
        <v>46080.84743357639</v>
      </c>
      <c r="B40" s="4" t="s">
        <v>146</v>
      </c>
      <c r="C40" s="4" t="s">
        <v>149</v>
      </c>
      <c r="D40" s="7">
        <v>172.0</v>
      </c>
      <c r="E40" s="7">
        <v>53.594</v>
      </c>
      <c r="F40" s="12">
        <f>IFERROR(__xludf.DUMMYFUNCTION("""COMPUTED_VALUE"""),53.594)</f>
        <v>53.594</v>
      </c>
      <c r="J40" s="4">
        <v>172.0</v>
      </c>
    </row>
    <row r="41">
      <c r="A41" s="10">
        <v>46081.6443337963</v>
      </c>
      <c r="B41" s="4" t="s">
        <v>68</v>
      </c>
      <c r="C41" s="4" t="s">
        <v>151</v>
      </c>
      <c r="D41" s="7">
        <v>430.0</v>
      </c>
      <c r="E41" s="7">
        <v>112.22999999999999</v>
      </c>
      <c r="F41" s="12">
        <f>IFERROR(__xludf.DUMMYFUNCTION("""COMPUTED_VALUE"""),112.22999999999999)</f>
        <v>112.23</v>
      </c>
      <c r="J41" s="4">
        <v>430.0</v>
      </c>
    </row>
    <row r="42">
      <c r="A42" s="10">
        <v>46083.52029925926</v>
      </c>
      <c r="B42" s="4" t="s">
        <v>113</v>
      </c>
      <c r="C42" s="4" t="s">
        <v>153</v>
      </c>
      <c r="D42" s="7">
        <v>102.0</v>
      </c>
      <c r="E42" s="7">
        <v>16.776000000000007</v>
      </c>
      <c r="F42" s="12">
        <f>IFERROR(__xludf.DUMMYFUNCTION("""COMPUTED_VALUE"""),8.388000000000003)</f>
        <v>8.388</v>
      </c>
      <c r="I42" s="4">
        <v>102.0</v>
      </c>
    </row>
    <row r="43">
      <c r="A43" s="10">
        <v>46083.91235726852</v>
      </c>
      <c r="B43" s="4" t="s">
        <v>62</v>
      </c>
      <c r="C43" s="4" t="s">
        <v>155</v>
      </c>
      <c r="D43" s="7">
        <v>4257.0</v>
      </c>
      <c r="E43" s="7">
        <v>1251.718</v>
      </c>
      <c r="F43" s="12">
        <f>IFERROR(__xludf.DUMMYFUNCTION("""COMPUTED_VALUE"""),1251.718)</f>
        <v>1251.718</v>
      </c>
      <c r="J43" s="4">
        <v>4257.0</v>
      </c>
    </row>
    <row r="44">
      <c r="A44" s="10">
        <v>46084.519517002314</v>
      </c>
      <c r="B44" s="4" t="s">
        <v>157</v>
      </c>
      <c r="C44" s="4" t="s">
        <v>158</v>
      </c>
      <c r="D44" s="7">
        <v>30.0</v>
      </c>
      <c r="E44" s="7">
        <v>13.100000000000001</v>
      </c>
      <c r="F44" s="12">
        <f>IFERROR(__xludf.DUMMYFUNCTION("""COMPUTED_VALUE"""),13.100000000000001)</f>
        <v>13.1</v>
      </c>
      <c r="I44" s="4">
        <v>30.0</v>
      </c>
    </row>
    <row r="45">
      <c r="A45" s="10">
        <v>46085.38190596065</v>
      </c>
      <c r="B45" s="4" t="s">
        <v>160</v>
      </c>
      <c r="C45" s="4" t="s">
        <v>161</v>
      </c>
      <c r="D45" s="7">
        <v>1309.0</v>
      </c>
      <c r="E45" s="7">
        <v>346.63</v>
      </c>
      <c r="F45" s="12">
        <f>IFERROR(__xludf.DUMMYFUNCTION("""COMPUTED_VALUE"""),346.63)</f>
        <v>346.63</v>
      </c>
      <c r="I45" s="4">
        <v>1309.0</v>
      </c>
    </row>
    <row r="46">
      <c r="A46" s="10">
        <v>46085.38769642361</v>
      </c>
      <c r="B46" s="4" t="s">
        <v>160</v>
      </c>
      <c r="C46" s="4" t="s">
        <v>162</v>
      </c>
      <c r="D46" s="7">
        <v>37.0</v>
      </c>
      <c r="E46" s="7">
        <v>9.012</v>
      </c>
      <c r="F46" s="12">
        <f>IFERROR(__xludf.DUMMYFUNCTION("""COMPUTED_VALUE"""),9.012)</f>
        <v>9.012</v>
      </c>
      <c r="I46" s="4">
        <v>37.0</v>
      </c>
    </row>
    <row r="47">
      <c r="A47" s="18">
        <v>46085.85309575232</v>
      </c>
      <c r="B47" s="19" t="s">
        <v>146</v>
      </c>
      <c r="C47" s="19" t="s">
        <v>164</v>
      </c>
      <c r="D47" s="20">
        <v>628.0</v>
      </c>
      <c r="E47" s="20">
        <v>193.42799999999997</v>
      </c>
      <c r="F47" s="48">
        <f>IFERROR(__xludf.DUMMYFUNCTION("""COMPUTED_VALUE"""),193.42799999999997)</f>
        <v>193.428</v>
      </c>
      <c r="G47" s="22"/>
      <c r="H47" s="22"/>
      <c r="I47" s="22"/>
      <c r="J47" s="19">
        <v>628.0</v>
      </c>
      <c r="K47" s="19" t="s">
        <v>166</v>
      </c>
      <c r="L47" s="22"/>
      <c r="M47" s="49" t="s">
        <v>167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>
      <c r="A48" s="24">
        <v>46085.859849050925</v>
      </c>
      <c r="B48" s="26" t="s">
        <v>73</v>
      </c>
      <c r="C48" s="26" t="s">
        <v>170</v>
      </c>
      <c r="D48" s="27">
        <v>3010.0</v>
      </c>
      <c r="E48" s="27">
        <v>702.014</v>
      </c>
      <c r="F48" s="28">
        <f>IFERROR(__xludf.DUMMYFUNCTION("""COMPUTED_VALUE"""),702.014)</f>
        <v>702.014</v>
      </c>
      <c r="G48" s="29"/>
      <c r="H48" s="29"/>
      <c r="I48" s="29"/>
      <c r="J48" s="26">
        <v>3010.0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>
      <c r="A49" s="18">
        <v>46086.46678859954</v>
      </c>
      <c r="B49" s="19" t="s">
        <v>172</v>
      </c>
      <c r="C49" s="19" t="s">
        <v>173</v>
      </c>
      <c r="D49" s="20">
        <v>700.0</v>
      </c>
      <c r="E49" s="20">
        <v>172.464</v>
      </c>
      <c r="F49" s="48">
        <f>IFERROR(__xludf.DUMMYFUNCTION("""COMPUTED_VALUE"""),172.464)</f>
        <v>172.464</v>
      </c>
      <c r="G49" s="22"/>
      <c r="H49" s="22"/>
      <c r="I49" s="19">
        <v>700.0</v>
      </c>
      <c r="J49" s="22"/>
      <c r="K49" s="19" t="s">
        <v>175</v>
      </c>
      <c r="L49" s="19" t="s">
        <v>176</v>
      </c>
      <c r="M49" s="49" t="s">
        <v>167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>
      <c r="A50" s="10">
        <v>46086.47876775463</v>
      </c>
      <c r="B50" s="4" t="s">
        <v>178</v>
      </c>
      <c r="C50" s="4" t="s">
        <v>179</v>
      </c>
      <c r="D50" s="7">
        <v>944.0</v>
      </c>
      <c r="E50" s="7">
        <v>242.60000000000002</v>
      </c>
      <c r="F50" s="12">
        <f>IFERROR(__xludf.DUMMYFUNCTION("""COMPUTED_VALUE"""),121.30000000000001)</f>
        <v>121.3</v>
      </c>
      <c r="I50" s="4"/>
      <c r="K50" s="4"/>
      <c r="L50" s="4"/>
    </row>
    <row r="51">
      <c r="A51" s="10">
        <v>46086.501544467596</v>
      </c>
      <c r="B51" s="4" t="s">
        <v>119</v>
      </c>
      <c r="C51" s="4" t="s">
        <v>181</v>
      </c>
      <c r="D51" s="7">
        <v>12.0</v>
      </c>
      <c r="E51" s="7">
        <v>5.48</v>
      </c>
      <c r="F51" s="12">
        <f>IFERROR(__xludf.DUMMYFUNCTION("""COMPUTED_VALUE"""),2.74)</f>
        <v>2.74</v>
      </c>
      <c r="I51" s="4"/>
      <c r="K51" s="4"/>
      <c r="L51" s="4"/>
    </row>
    <row r="52">
      <c r="A52" s="18">
        <v>46086.535897615744</v>
      </c>
      <c r="B52" s="19" t="s">
        <v>183</v>
      </c>
      <c r="C52" s="19" t="s">
        <v>185</v>
      </c>
      <c r="D52" s="20">
        <v>1240.0</v>
      </c>
      <c r="E52" s="20">
        <v>391.2460000000001</v>
      </c>
      <c r="F52" s="48">
        <f>IFERROR(__xludf.DUMMYFUNCTION("""COMPUTED_VALUE"""),391.2460000000001)</f>
        <v>391.246</v>
      </c>
      <c r="G52" s="22"/>
      <c r="H52" s="22"/>
      <c r="I52" s="19">
        <v>1240.0</v>
      </c>
      <c r="J52" s="22"/>
      <c r="K52" s="19" t="s">
        <v>187</v>
      </c>
      <c r="L52" s="19" t="s">
        <v>188</v>
      </c>
      <c r="M52" s="49" t="s">
        <v>167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>
      <c r="A53" s="10">
        <v>46086.799596805555</v>
      </c>
      <c r="B53" s="4" t="s">
        <v>91</v>
      </c>
      <c r="C53" s="4" t="s">
        <v>190</v>
      </c>
      <c r="D53" s="7">
        <v>386.0</v>
      </c>
      <c r="E53" s="7">
        <v>106.49199999999999</v>
      </c>
      <c r="F53" s="12">
        <f>IFERROR(__xludf.DUMMYFUNCTION("""COMPUTED_VALUE"""),106.49199999999999)</f>
        <v>106.492</v>
      </c>
      <c r="I53" s="4">
        <v>386.0</v>
      </c>
      <c r="K53" s="4"/>
      <c r="L53" s="4"/>
    </row>
    <row r="54">
      <c r="A54" s="18">
        <v>46087.36523340278</v>
      </c>
      <c r="B54" s="19" t="s">
        <v>25</v>
      </c>
      <c r="C54" s="19" t="s">
        <v>193</v>
      </c>
      <c r="D54" s="20">
        <v>1180.0</v>
      </c>
      <c r="E54" s="20">
        <v>268.74800000000005</v>
      </c>
      <c r="F54" s="48">
        <f>IFERROR(__xludf.DUMMYFUNCTION("""COMPUTED_VALUE"""),268.74800000000005)</f>
        <v>268.748</v>
      </c>
      <c r="G54" s="22"/>
      <c r="H54" s="22"/>
      <c r="I54" s="19"/>
      <c r="J54" s="19">
        <v>1180.0</v>
      </c>
      <c r="K54" s="19" t="s">
        <v>166</v>
      </c>
      <c r="L54" s="19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>
      <c r="A55" s="10">
        <v>46088.940433888885</v>
      </c>
      <c r="B55" s="4" t="s">
        <v>195</v>
      </c>
      <c r="C55" s="4" t="s">
        <v>196</v>
      </c>
      <c r="D55" s="7">
        <v>350.0</v>
      </c>
      <c r="E55" s="7">
        <v>86.23200000000001</v>
      </c>
      <c r="F55" s="12">
        <f>IFERROR(__xludf.DUMMYFUNCTION("""COMPUTED_VALUE"""),86.23200000000001)</f>
        <v>86.232</v>
      </c>
      <c r="I55" s="4"/>
      <c r="K55" s="4"/>
      <c r="L55" s="4"/>
    </row>
    <row r="56">
      <c r="A56" s="18">
        <v>46091.547995636574</v>
      </c>
      <c r="B56" s="19" t="s">
        <v>119</v>
      </c>
      <c r="C56" s="19" t="s">
        <v>198</v>
      </c>
      <c r="D56" s="20">
        <v>5940.0</v>
      </c>
      <c r="E56" s="20">
        <v>1513.8233081299697</v>
      </c>
      <c r="F56" s="48">
        <f>IFERROR(__xludf.DUMMYFUNCTION("""COMPUTED_VALUE"""),756.9116540649849)</f>
        <v>756.9116541</v>
      </c>
      <c r="G56" s="22"/>
      <c r="H56" s="22"/>
      <c r="I56" s="19"/>
      <c r="J56" s="22"/>
      <c r="K56" s="19" t="s">
        <v>200</v>
      </c>
      <c r="L56" s="19"/>
      <c r="M56" s="49" t="s">
        <v>167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>
      <c r="A57" s="18">
        <v>46091.55327074074</v>
      </c>
      <c r="B57" s="19" t="s">
        <v>202</v>
      </c>
      <c r="C57" s="19" t="s">
        <v>203</v>
      </c>
      <c r="D57" s="20">
        <v>368.0</v>
      </c>
      <c r="E57" s="20">
        <v>137.54089887721995</v>
      </c>
      <c r="F57" s="48">
        <f>IFERROR(__xludf.DUMMYFUNCTION("""COMPUTED_VALUE"""),137.54089887721995)</f>
        <v>137.5408989</v>
      </c>
      <c r="G57" s="22"/>
      <c r="H57" s="22"/>
      <c r="I57" s="19"/>
      <c r="J57" s="22"/>
      <c r="K57" s="19" t="s">
        <v>205</v>
      </c>
      <c r="L57" s="19" t="s">
        <v>188</v>
      </c>
      <c r="M57" s="49" t="s">
        <v>167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>
      <c r="A58" s="10">
        <v>46091.55504461806</v>
      </c>
      <c r="B58" s="4" t="s">
        <v>119</v>
      </c>
      <c r="C58" s="4" t="s">
        <v>207</v>
      </c>
      <c r="D58" s="7">
        <v>70.0</v>
      </c>
      <c r="E58" s="7">
        <v>18.102247193049887</v>
      </c>
      <c r="F58" s="12">
        <f>IFERROR(__xludf.DUMMYFUNCTION("""COMPUTED_VALUE"""),9.051123596524944)</f>
        <v>9.051123597</v>
      </c>
      <c r="I58" s="4"/>
      <c r="K58" s="4"/>
      <c r="L58" s="4"/>
    </row>
    <row r="59">
      <c r="A59" s="18">
        <v>46091.556624178236</v>
      </c>
      <c r="B59" s="19" t="s">
        <v>202</v>
      </c>
      <c r="C59" s="19" t="s">
        <v>122</v>
      </c>
      <c r="D59" s="20">
        <v>120.0</v>
      </c>
      <c r="E59" s="20">
        <v>30.837999999999994</v>
      </c>
      <c r="F59" s="48">
        <f>IFERROR(__xludf.DUMMYFUNCTION("""COMPUTED_VALUE"""),30.837999999999994)</f>
        <v>30.838</v>
      </c>
      <c r="G59" s="22"/>
      <c r="H59" s="22"/>
      <c r="I59" s="19"/>
      <c r="J59" s="22"/>
      <c r="K59" s="19"/>
      <c r="L59" s="19" t="s">
        <v>188</v>
      </c>
      <c r="M59" s="49" t="s">
        <v>167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>
      <c r="A60" s="24">
        <v>46092.63492619213</v>
      </c>
      <c r="B60" s="26" t="s">
        <v>51</v>
      </c>
      <c r="C60" s="26" t="s">
        <v>211</v>
      </c>
      <c r="D60" s="27">
        <v>4334.0</v>
      </c>
      <c r="E60" s="27">
        <v>1157.9036180007686</v>
      </c>
      <c r="F60" s="28">
        <f>IFERROR(__xludf.DUMMYFUNCTION("""COMPUTED_VALUE"""),1157.9036180007686)</f>
        <v>1157.903618</v>
      </c>
      <c r="G60" s="29"/>
      <c r="H60" s="29"/>
      <c r="I60" s="26"/>
      <c r="J60" s="29"/>
      <c r="K60" s="26"/>
      <c r="L60" s="26"/>
      <c r="M60" s="51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>
      <c r="A61" s="30">
        <v>46093.0</v>
      </c>
      <c r="B61" s="4" t="s">
        <v>48</v>
      </c>
      <c r="C61" s="26" t="s">
        <v>116</v>
      </c>
      <c r="D61" s="27">
        <v>890.0</v>
      </c>
      <c r="E61" s="27">
        <v>205.38</v>
      </c>
      <c r="F61" s="28">
        <f>IFERROR(__xludf.DUMMYFUNCTION("""COMPUTED_VALUE"""),102.69)</f>
        <v>102.69</v>
      </c>
      <c r="G61" s="29"/>
      <c r="H61" s="29"/>
      <c r="I61" s="26"/>
      <c r="J61" s="29"/>
      <c r="K61" s="26"/>
      <c r="L61" s="26"/>
      <c r="M61" s="51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>
      <c r="A62" s="52">
        <v>46093.98989271991</v>
      </c>
      <c r="B62" s="19" t="s">
        <v>88</v>
      </c>
      <c r="C62" s="19" t="s">
        <v>217</v>
      </c>
      <c r="D62" s="20">
        <v>1041.0</v>
      </c>
      <c r="E62" s="20">
        <v>284.25844943860994</v>
      </c>
      <c r="F62" s="48">
        <f>IFERROR(__xludf.DUMMYFUNCTION("""COMPUTED_VALUE"""),284.25844943860994)</f>
        <v>284.2584494</v>
      </c>
      <c r="G62" s="22"/>
      <c r="H62" s="22"/>
      <c r="I62" s="19"/>
      <c r="J62" s="22"/>
      <c r="K62" s="19" t="s">
        <v>218</v>
      </c>
      <c r="L62" s="19"/>
      <c r="M62" s="49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>
      <c r="A63" s="30">
        <v>46094.39025872685</v>
      </c>
      <c r="B63" s="4" t="s">
        <v>83</v>
      </c>
      <c r="C63" s="26" t="s">
        <v>220</v>
      </c>
      <c r="D63" s="27">
        <v>1767.0</v>
      </c>
      <c r="E63" s="27">
        <v>534.1431910177598</v>
      </c>
      <c r="F63" s="28">
        <f>IFERROR(__xludf.DUMMYFUNCTION("""COMPUTED_VALUE"""),534.1431910177598)</f>
        <v>534.143191</v>
      </c>
      <c r="G63" s="29"/>
      <c r="H63" s="29"/>
      <c r="I63" s="26"/>
      <c r="J63" s="29"/>
      <c r="K63" s="26"/>
      <c r="L63" s="26"/>
      <c r="M63" s="51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>
      <c r="A64" s="30">
        <v>46094.39509277778</v>
      </c>
      <c r="B64" s="4" t="s">
        <v>43</v>
      </c>
      <c r="C64" s="26" t="s">
        <v>223</v>
      </c>
      <c r="D64" s="27">
        <v>2868.0</v>
      </c>
      <c r="E64" s="27">
        <v>805.8681751239973</v>
      </c>
      <c r="F64" s="28">
        <f>IFERROR(__xludf.DUMMYFUNCTION("""COMPUTED_VALUE"""),805.8681751239973)</f>
        <v>805.8681751</v>
      </c>
      <c r="G64" s="29"/>
      <c r="H64" s="29"/>
      <c r="I64" s="26"/>
      <c r="J64" s="29"/>
      <c r="K64" s="26"/>
      <c r="L64" s="26"/>
      <c r="M64" s="51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>
      <c r="A65" s="30">
        <v>46094.39536949074</v>
      </c>
      <c r="B65" s="4" t="s">
        <v>83</v>
      </c>
      <c r="C65" s="26" t="s">
        <v>226</v>
      </c>
      <c r="D65" s="27">
        <v>200.0</v>
      </c>
      <c r="E65" s="27">
        <v>43.49199999999999</v>
      </c>
      <c r="F65" s="28">
        <f>IFERROR(__xludf.DUMMYFUNCTION("""COMPUTED_VALUE"""),43.49199999999999)</f>
        <v>43.492</v>
      </c>
      <c r="G65" s="29"/>
      <c r="H65" s="29"/>
      <c r="I65" s="26"/>
      <c r="J65" s="29"/>
      <c r="K65" s="26"/>
      <c r="L65" s="26"/>
      <c r="M65" s="51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>
      <c r="A66" s="30">
        <v>46094.90472501157</v>
      </c>
      <c r="B66" s="4" t="s">
        <v>119</v>
      </c>
      <c r="C66" s="26" t="s">
        <v>228</v>
      </c>
      <c r="D66" s="27">
        <v>73.0</v>
      </c>
      <c r="E66" s="27">
        <v>17.445999999999998</v>
      </c>
      <c r="F66" s="28">
        <f>IFERROR(__xludf.DUMMYFUNCTION("""COMPUTED_VALUE"""),8.722999999999999)</f>
        <v>8.723</v>
      </c>
      <c r="G66" s="29"/>
      <c r="H66" s="29"/>
      <c r="I66" s="26"/>
      <c r="J66" s="29"/>
      <c r="K66" s="26"/>
      <c r="L66" s="26"/>
      <c r="M66" s="51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>
      <c r="A67" s="24">
        <v>46097.50213896991</v>
      </c>
      <c r="B67" s="4" t="s">
        <v>48</v>
      </c>
      <c r="C67" s="26" t="s">
        <v>231</v>
      </c>
      <c r="D67" s="27">
        <v>6048.0</v>
      </c>
      <c r="E67" s="27">
        <v>1794.9940000000001</v>
      </c>
      <c r="F67" s="28">
        <f>IFERROR(__xludf.DUMMYFUNCTION("""COMPUTED_VALUE"""),897.4970000000001)</f>
        <v>897.497</v>
      </c>
      <c r="G67" s="29"/>
      <c r="H67" s="29"/>
      <c r="I67" s="26"/>
      <c r="J67" s="29"/>
      <c r="K67" s="26"/>
      <c r="L67" s="26"/>
      <c r="M67" s="51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>
      <c r="A68" s="24">
        <v>46098.43564730324</v>
      </c>
      <c r="B68" s="26" t="s">
        <v>233</v>
      </c>
      <c r="C68" s="26" t="s">
        <v>234</v>
      </c>
      <c r="D68" s="27">
        <v>2136.0</v>
      </c>
      <c r="E68" s="27">
        <v>557.5197199999999</v>
      </c>
      <c r="F68" s="28">
        <f>IFERROR(__xludf.DUMMYFUNCTION("""COMPUTED_VALUE"""),557.5197199999999)</f>
        <v>557.51972</v>
      </c>
      <c r="G68" s="29"/>
      <c r="H68" s="29"/>
      <c r="I68" s="26"/>
      <c r="J68" s="26" t="s">
        <v>236</v>
      </c>
      <c r="K68" s="26"/>
      <c r="L68" s="26"/>
      <c r="M68" s="51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>
      <c r="A69" s="24">
        <v>46098.516406979164</v>
      </c>
      <c r="B69" s="26" t="s">
        <v>233</v>
      </c>
      <c r="C69" s="26" t="s">
        <v>238</v>
      </c>
      <c r="D69" s="27">
        <v>280.0</v>
      </c>
      <c r="E69" s="27">
        <v>72.40898877219955</v>
      </c>
      <c r="F69" s="28">
        <f>IFERROR(__xludf.DUMMYFUNCTION("""COMPUTED_VALUE"""),72.40898877219955)</f>
        <v>72.40898877</v>
      </c>
      <c r="G69" s="29"/>
      <c r="H69" s="29"/>
      <c r="I69" s="26"/>
      <c r="J69" s="26" t="s">
        <v>236</v>
      </c>
      <c r="K69" s="26"/>
      <c r="L69" s="26"/>
      <c r="M69" s="51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>
      <c r="A70" s="24">
        <v>46098.58466619213</v>
      </c>
      <c r="B70" s="4" t="s">
        <v>48</v>
      </c>
      <c r="C70" s="26" t="s">
        <v>241</v>
      </c>
      <c r="D70" s="27">
        <v>3922.0</v>
      </c>
      <c r="E70" s="27">
        <v>896.3231599999999</v>
      </c>
      <c r="F70" s="28">
        <f>IFERROR(__xludf.DUMMYFUNCTION("""COMPUTED_VALUE"""),448.16157999999996)</f>
        <v>448.16158</v>
      </c>
      <c r="G70" s="29"/>
      <c r="H70" s="29"/>
      <c r="I70" s="26"/>
      <c r="J70" s="29"/>
      <c r="K70" s="26"/>
      <c r="L70" s="26"/>
      <c r="M70" s="51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>
      <c r="A71" s="24">
        <v>46098.61810814815</v>
      </c>
      <c r="B71" s="4" t="s">
        <v>68</v>
      </c>
      <c r="C71" s="26" t="s">
        <v>243</v>
      </c>
      <c r="D71" s="27">
        <v>1858.0</v>
      </c>
      <c r="E71" s="27">
        <v>427.27771999999993</v>
      </c>
      <c r="F71" s="28">
        <f>IFERROR(__xludf.DUMMYFUNCTION("""COMPUTED_VALUE"""),427.27771999999993)</f>
        <v>427.27772</v>
      </c>
      <c r="G71" s="29"/>
      <c r="H71" s="29"/>
      <c r="I71" s="26"/>
      <c r="J71" s="29"/>
      <c r="K71" s="26"/>
      <c r="L71" s="26"/>
      <c r="M71" s="51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>
      <c r="A72" s="24">
        <v>46099.42049445602</v>
      </c>
      <c r="B72" s="4" t="s">
        <v>51</v>
      </c>
      <c r="C72" s="26" t="s">
        <v>246</v>
      </c>
      <c r="D72" s="27">
        <v>1220.0</v>
      </c>
      <c r="E72" s="27">
        <v>279.37572</v>
      </c>
      <c r="F72" s="28">
        <f>IFERROR(__xludf.DUMMYFUNCTION("""COMPUTED_VALUE"""),279.37572)</f>
        <v>279.37572</v>
      </c>
      <c r="G72" s="29"/>
      <c r="H72" s="29"/>
      <c r="I72" s="26"/>
      <c r="J72" s="29"/>
      <c r="K72" s="26"/>
      <c r="L72" s="26"/>
      <c r="M72" s="51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>
      <c r="A73" s="18">
        <v>46099.479333807874</v>
      </c>
      <c r="B73" s="19" t="s">
        <v>99</v>
      </c>
      <c r="C73" s="19" t="s">
        <v>248</v>
      </c>
      <c r="D73" s="20">
        <v>2132.0</v>
      </c>
      <c r="E73" s="20">
        <v>514.33706831583</v>
      </c>
      <c r="F73" s="48">
        <f>IFERROR(__xludf.DUMMYFUNCTION("""COMPUTED_VALUE"""),514.33706831583)</f>
        <v>514.3370683</v>
      </c>
      <c r="G73" s="22"/>
      <c r="H73" s="22"/>
      <c r="I73" s="19">
        <v>2135.0</v>
      </c>
      <c r="J73" s="22"/>
      <c r="K73" s="19" t="s">
        <v>251</v>
      </c>
      <c r="L73" s="19"/>
      <c r="M73" s="49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>
      <c r="A74" s="24">
        <v>46099.63228344907</v>
      </c>
      <c r="B74" s="4" t="s">
        <v>43</v>
      </c>
      <c r="C74" s="26" t="s">
        <v>253</v>
      </c>
      <c r="D74" s="27">
        <v>920.0</v>
      </c>
      <c r="E74" s="27">
        <v>224.86257999999995</v>
      </c>
      <c r="F74" s="28">
        <f>IFERROR(__xludf.DUMMYFUNCTION("""COMPUTED_VALUE"""),224.86257999999995)</f>
        <v>224.86258</v>
      </c>
      <c r="G74" s="29"/>
      <c r="H74" s="29"/>
      <c r="I74" s="26"/>
      <c r="J74" s="29"/>
      <c r="K74" s="26"/>
      <c r="L74" s="26"/>
      <c r="M74" s="51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>
      <c r="A75" s="24">
        <v>46099.6556215625</v>
      </c>
      <c r="B75" s="4" t="s">
        <v>255</v>
      </c>
      <c r="C75" s="26" t="s">
        <v>257</v>
      </c>
      <c r="D75" s="27">
        <v>2180.0</v>
      </c>
      <c r="E75" s="27">
        <v>655.78172</v>
      </c>
      <c r="F75" s="28">
        <f>IFERROR(__xludf.DUMMYFUNCTION("""COMPUTED_VALUE"""),655.78172)</f>
        <v>655.78172</v>
      </c>
      <c r="G75" s="29"/>
      <c r="H75" s="29"/>
      <c r="I75" s="26"/>
      <c r="J75" s="29"/>
      <c r="K75" s="26"/>
      <c r="L75" s="26"/>
      <c r="M75" s="51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>
      <c r="A76" s="24">
        <v>46099.6939924537</v>
      </c>
      <c r="B76" s="4" t="s">
        <v>73</v>
      </c>
      <c r="C76" s="26" t="s">
        <v>259</v>
      </c>
      <c r="D76" s="27">
        <v>2310.0</v>
      </c>
      <c r="E76" s="27">
        <v>530.94406</v>
      </c>
      <c r="F76" s="28">
        <f>IFERROR(__xludf.DUMMYFUNCTION("""COMPUTED_VALUE"""),530.94406)</f>
        <v>530.94406</v>
      </c>
      <c r="G76" s="29"/>
      <c r="H76" s="29"/>
      <c r="I76" s="26"/>
      <c r="J76" s="29"/>
      <c r="K76" s="26"/>
      <c r="L76" s="26"/>
      <c r="M76" s="51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>
      <c r="A77" s="24">
        <v>46099.84272181713</v>
      </c>
      <c r="B77" s="4" t="s">
        <v>83</v>
      </c>
      <c r="C77" s="26" t="s">
        <v>262</v>
      </c>
      <c r="D77" s="27">
        <v>680.0</v>
      </c>
      <c r="E77" s="27">
        <v>164.12171999999998</v>
      </c>
      <c r="F77" s="28">
        <f>IFERROR(__xludf.DUMMYFUNCTION("""COMPUTED_VALUE"""),164.12171999999998)</f>
        <v>164.12172</v>
      </c>
      <c r="G77" s="29"/>
      <c r="H77" s="29"/>
      <c r="I77" s="26"/>
      <c r="J77" s="29"/>
      <c r="K77" s="26"/>
      <c r="L77" s="26"/>
      <c r="M77" s="51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>
      <c r="A78" s="24">
        <v>46100.40611190972</v>
      </c>
      <c r="B78" s="4" t="s">
        <v>119</v>
      </c>
      <c r="C78" s="26" t="s">
        <v>264</v>
      </c>
      <c r="D78" s="27">
        <v>2850.0</v>
      </c>
      <c r="E78" s="27">
        <v>653.70058</v>
      </c>
      <c r="F78" s="28">
        <f>IFERROR(__xludf.DUMMYFUNCTION("""COMPUTED_VALUE"""),326.85029)</f>
        <v>326.85029</v>
      </c>
      <c r="G78" s="29"/>
      <c r="H78" s="29"/>
      <c r="I78" s="26"/>
      <c r="J78" s="29"/>
      <c r="K78" s="26"/>
      <c r="L78" s="26"/>
      <c r="M78" s="51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>
      <c r="A79" s="24">
        <v>46100.42895394676</v>
      </c>
      <c r="B79" s="4" t="s">
        <v>119</v>
      </c>
      <c r="C79" s="26" t="s">
        <v>266</v>
      </c>
      <c r="D79" s="27">
        <v>111.0</v>
      </c>
      <c r="E79" s="27">
        <v>27.036</v>
      </c>
      <c r="F79" s="28">
        <f>IFERROR(__xludf.DUMMYFUNCTION("""COMPUTED_VALUE"""),13.518)</f>
        <v>13.518</v>
      </c>
      <c r="G79" s="29"/>
      <c r="H79" s="29"/>
      <c r="I79" s="26"/>
      <c r="J79" s="29"/>
      <c r="K79" s="26"/>
      <c r="L79" s="26"/>
      <c r="M79" s="51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>
      <c r="A80" s="18">
        <v>46100.45556076389</v>
      </c>
      <c r="B80" s="19" t="s">
        <v>269</v>
      </c>
      <c r="C80" s="19" t="s">
        <v>270</v>
      </c>
      <c r="D80" s="20">
        <v>50.0</v>
      </c>
      <c r="E80" s="20">
        <v>10.659999999999997</v>
      </c>
      <c r="F80" s="48">
        <f>IFERROR(__xludf.DUMMYFUNCTION("""COMPUTED_VALUE"""),10.659999999999997)</f>
        <v>10.66</v>
      </c>
      <c r="G80" s="22"/>
      <c r="H80" s="22"/>
      <c r="I80" s="19"/>
      <c r="J80" s="22"/>
      <c r="K80" s="19"/>
      <c r="L80" s="19"/>
      <c r="M80" s="49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>
      <c r="A81" s="24">
        <v>46100.45582446759</v>
      </c>
      <c r="B81" s="4" t="s">
        <v>43</v>
      </c>
      <c r="C81" s="26" t="s">
        <v>112</v>
      </c>
      <c r="D81" s="27">
        <v>75.0</v>
      </c>
      <c r="E81" s="27">
        <v>17.054000000000002</v>
      </c>
      <c r="F81" s="28">
        <f>IFERROR(__xludf.DUMMYFUNCTION("""COMPUTED_VALUE"""),17.054000000000002)</f>
        <v>17.054</v>
      </c>
      <c r="G81" s="29"/>
      <c r="H81" s="29"/>
      <c r="I81" s="26"/>
      <c r="J81" s="29"/>
      <c r="K81" s="26"/>
      <c r="L81" s="26"/>
      <c r="M81" s="51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>
      <c r="A82" s="18">
        <v>46100.60927165509</v>
      </c>
      <c r="B82" s="19" t="s">
        <v>273</v>
      </c>
      <c r="C82" s="19" t="s">
        <v>274</v>
      </c>
      <c r="D82" s="20">
        <v>428.0</v>
      </c>
      <c r="E82" s="20">
        <v>87.84289887721997</v>
      </c>
      <c r="F82" s="48">
        <f>IFERROR(__xludf.DUMMYFUNCTION("""COMPUTED_VALUE"""),87.84289887721997)</f>
        <v>87.84289888</v>
      </c>
      <c r="G82" s="22"/>
      <c r="H82" s="22"/>
      <c r="I82" s="19">
        <v>428.0</v>
      </c>
      <c r="J82" s="22"/>
      <c r="K82" s="19" t="s">
        <v>276</v>
      </c>
      <c r="L82" s="19"/>
      <c r="M82" s="49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>
      <c r="A83" s="24">
        <v>46100.81657142361</v>
      </c>
      <c r="B83" s="4" t="s">
        <v>62</v>
      </c>
      <c r="C83" s="26" t="s">
        <v>278</v>
      </c>
      <c r="D83" s="27">
        <v>1480.0</v>
      </c>
      <c r="E83" s="27">
        <v>367.38765263319715</v>
      </c>
      <c r="F83" s="28">
        <f>IFERROR(__xludf.DUMMYFUNCTION("""COMPUTED_VALUE"""),367.38765263319715)</f>
        <v>367.3876526</v>
      </c>
      <c r="G83" s="29"/>
      <c r="H83" s="29"/>
      <c r="I83" s="26"/>
      <c r="J83" s="29"/>
      <c r="K83" s="26"/>
      <c r="L83" s="26"/>
      <c r="M83" s="51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>
      <c r="A84" s="24">
        <v>46100.8250931713</v>
      </c>
      <c r="B84" s="4" t="s">
        <v>99</v>
      </c>
      <c r="C84" s="26" t="s">
        <v>281</v>
      </c>
      <c r="D84" s="27">
        <v>440.0</v>
      </c>
      <c r="E84" s="27">
        <v>121.04000000000002</v>
      </c>
      <c r="F84" s="28">
        <f>IFERROR(__xludf.DUMMYFUNCTION("""COMPUTED_VALUE"""),121.04000000000002)</f>
        <v>121.04</v>
      </c>
      <c r="G84" s="29"/>
      <c r="H84" s="29"/>
      <c r="I84" s="26"/>
      <c r="J84" s="26" t="s">
        <v>236</v>
      </c>
      <c r="K84" s="26"/>
      <c r="L84" s="26"/>
      <c r="M84" s="51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>
      <c r="A85" s="24">
        <v>46100.825369513885</v>
      </c>
      <c r="B85" s="4" t="s">
        <v>283</v>
      </c>
      <c r="C85" s="26" t="s">
        <v>284</v>
      </c>
      <c r="D85" s="27">
        <v>190.0</v>
      </c>
      <c r="E85" s="27">
        <v>43.560779999999994</v>
      </c>
      <c r="F85" s="28">
        <f>IFERROR(__xludf.DUMMYFUNCTION("""COMPUTED_VALUE"""),43.560779999999994)</f>
        <v>43.56078</v>
      </c>
      <c r="G85" s="29"/>
      <c r="H85" s="29"/>
      <c r="I85" s="26"/>
      <c r="J85" s="26" t="s">
        <v>236</v>
      </c>
      <c r="K85" s="26"/>
      <c r="L85" s="26"/>
      <c r="M85" s="51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>
      <c r="A86" s="24">
        <v>46100.91865572917</v>
      </c>
      <c r="B86" s="4" t="s">
        <v>51</v>
      </c>
      <c r="C86" s="26" t="s">
        <v>287</v>
      </c>
      <c r="D86" s="27">
        <v>380.0</v>
      </c>
      <c r="E86" s="27">
        <v>90.62400000000002</v>
      </c>
      <c r="F86" s="28">
        <f>IFERROR(__xludf.DUMMYFUNCTION("""COMPUTED_VALUE"""),90.62400000000002)</f>
        <v>90.624</v>
      </c>
      <c r="G86" s="29"/>
      <c r="H86" s="29"/>
      <c r="I86" s="26"/>
      <c r="J86" s="26"/>
      <c r="K86" s="26"/>
      <c r="L86" s="26"/>
      <c r="M86" s="51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>
      <c r="A87" s="24">
        <v>46105.50936083333</v>
      </c>
      <c r="B87" s="4" t="s">
        <v>119</v>
      </c>
      <c r="C87" s="26" t="s">
        <v>289</v>
      </c>
      <c r="D87" s="27">
        <v>2080.0</v>
      </c>
      <c r="E87" s="27">
        <v>496.00955999999996</v>
      </c>
      <c r="F87" s="28">
        <f>IFERROR(__xludf.DUMMYFUNCTION("""COMPUTED_VALUE"""),248.00477999999998)</f>
        <v>248.00478</v>
      </c>
      <c r="G87" s="29"/>
      <c r="H87" s="29"/>
      <c r="I87" s="26"/>
      <c r="J87" s="26"/>
      <c r="K87" s="26"/>
      <c r="L87" s="26"/>
      <c r="M87" s="51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>
      <c r="A88" s="18">
        <v>46107.54422940972</v>
      </c>
      <c r="B88" s="19" t="s">
        <v>292</v>
      </c>
      <c r="C88" s="19" t="s">
        <v>293</v>
      </c>
      <c r="D88" s="20">
        <v>380.0</v>
      </c>
      <c r="E88" s="20">
        <v>87.12155999999999</v>
      </c>
      <c r="F88" s="48">
        <f>IFERROR(__xludf.DUMMYFUNCTION("""COMPUTED_VALUE"""),87.12155999999999)</f>
        <v>87.12156</v>
      </c>
      <c r="G88" s="22"/>
      <c r="H88" s="22"/>
      <c r="I88" s="19">
        <v>380.0</v>
      </c>
      <c r="J88" s="19"/>
      <c r="K88" s="19" t="s">
        <v>294</v>
      </c>
      <c r="L88" s="19"/>
      <c r="M88" s="49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>
      <c r="A89" s="24">
        <v>46107.65429967592</v>
      </c>
      <c r="B89" s="4" t="s">
        <v>119</v>
      </c>
      <c r="C89" s="26" t="s">
        <v>293</v>
      </c>
      <c r="D89" s="27">
        <v>380.0</v>
      </c>
      <c r="E89" s="27">
        <v>87.12155999999999</v>
      </c>
      <c r="F89" s="28">
        <f>IFERROR(__xludf.DUMMYFUNCTION("""COMPUTED_VALUE"""),43.560779999999994)</f>
        <v>43.56078</v>
      </c>
      <c r="G89" s="29"/>
      <c r="H89" s="29"/>
      <c r="I89" s="26"/>
      <c r="J89" s="26"/>
      <c r="K89" s="26"/>
      <c r="L89" s="26"/>
      <c r="M89" s="51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>
      <c r="A90" s="24">
        <v>46108.62304065972</v>
      </c>
      <c r="B90" s="4" t="s">
        <v>51</v>
      </c>
      <c r="C90" s="26" t="s">
        <v>298</v>
      </c>
      <c r="D90" s="27">
        <v>282.0</v>
      </c>
      <c r="E90" s="27">
        <v>94.53200000000001</v>
      </c>
      <c r="F90" s="28">
        <f>IFERROR(__xludf.DUMMYFUNCTION("""COMPUTED_VALUE"""),94.53200000000001)</f>
        <v>94.532</v>
      </c>
      <c r="G90" s="29"/>
      <c r="H90" s="29"/>
      <c r="I90" s="26"/>
      <c r="J90" s="26"/>
      <c r="K90" s="26"/>
      <c r="L90" s="26"/>
      <c r="M90" s="51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>
      <c r="A91" s="18">
        <v>46108.87432293981</v>
      </c>
      <c r="B91" s="19" t="s">
        <v>300</v>
      </c>
      <c r="C91" s="19" t="s">
        <v>301</v>
      </c>
      <c r="D91" s="20">
        <v>43.0</v>
      </c>
      <c r="E91" s="20">
        <v>9.713999999999999</v>
      </c>
      <c r="F91" s="48">
        <f>IFERROR(__xludf.DUMMYFUNCTION("""COMPUTED_VALUE"""),9.713999999999999)</f>
        <v>9.714</v>
      </c>
      <c r="G91" s="22"/>
      <c r="H91" s="22"/>
      <c r="I91" s="19">
        <v>43.0</v>
      </c>
      <c r="J91" s="19"/>
      <c r="K91" s="19" t="s">
        <v>303</v>
      </c>
      <c r="L91" s="19"/>
      <c r="M91" s="49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24">
        <v>46112.6378921412</v>
      </c>
      <c r="B92" s="26" t="s">
        <v>113</v>
      </c>
      <c r="C92" s="26" t="s">
        <v>304</v>
      </c>
      <c r="D92" s="27">
        <v>630.0</v>
      </c>
      <c r="E92" s="27">
        <v>145.15000000000003</v>
      </c>
      <c r="F92" s="28">
        <f>IFERROR(__xludf.DUMMYFUNCTION("""COMPUTED_VALUE"""),72.57500000000002)</f>
        <v>72.575</v>
      </c>
      <c r="G92" s="29"/>
      <c r="H92" s="29"/>
      <c r="I92" s="26">
        <v>630.0</v>
      </c>
      <c r="J92" s="26"/>
      <c r="K92" s="26" t="s">
        <v>306</v>
      </c>
      <c r="L92" s="26"/>
      <c r="M92" s="51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>
      <c r="A93" s="24">
        <v>46112.681959548616</v>
      </c>
      <c r="B93" s="26" t="s">
        <v>308</v>
      </c>
      <c r="C93" s="26" t="s">
        <v>309</v>
      </c>
      <c r="D93" s="27">
        <v>460.0</v>
      </c>
      <c r="E93" s="27">
        <v>130.61615999999998</v>
      </c>
      <c r="F93" s="28">
        <f>IFERROR(__xludf.DUMMYFUNCTION("""COMPUTED_VALUE"""),130.61615999999998)</f>
        <v>130.61616</v>
      </c>
      <c r="G93" s="29"/>
      <c r="H93" s="29"/>
      <c r="I93" s="26"/>
      <c r="J93" s="26"/>
      <c r="K93" s="26"/>
      <c r="L93" s="26"/>
      <c r="M93" s="51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>
      <c r="A94" s="24">
        <v>46112.68247824074</v>
      </c>
      <c r="B94" s="26" t="s">
        <v>308</v>
      </c>
      <c r="C94" s="26" t="s">
        <v>311</v>
      </c>
      <c r="D94" s="27">
        <v>80.0</v>
      </c>
      <c r="E94" s="27">
        <v>17.4</v>
      </c>
      <c r="F94" s="28">
        <f>IFERROR(__xludf.DUMMYFUNCTION("""COMPUTED_VALUE"""),17.4)</f>
        <v>17.4</v>
      </c>
      <c r="G94" s="29"/>
      <c r="H94" s="29"/>
      <c r="I94" s="26"/>
      <c r="J94" s="26"/>
      <c r="K94" s="26"/>
      <c r="L94" s="26"/>
      <c r="M94" s="51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>
      <c r="A95" s="24">
        <v>46112.688090497686</v>
      </c>
      <c r="B95" s="26" t="s">
        <v>314</v>
      </c>
      <c r="C95" s="26" t="s">
        <v>315</v>
      </c>
      <c r="D95" s="27">
        <v>220.0</v>
      </c>
      <c r="E95" s="27">
        <v>60.52000000000001</v>
      </c>
      <c r="F95" s="28">
        <f>IFERROR(__xludf.DUMMYFUNCTION("""COMPUTED_VALUE"""),60.52000000000001)</f>
        <v>60.52</v>
      </c>
      <c r="G95" s="29"/>
      <c r="H95" s="29"/>
      <c r="I95" s="26"/>
      <c r="J95" s="26"/>
      <c r="K95" s="26"/>
      <c r="L95" s="26"/>
      <c r="M95" s="51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>
      <c r="A96" s="18">
        <v>46112.6939816088</v>
      </c>
      <c r="B96" s="19" t="s">
        <v>137</v>
      </c>
      <c r="C96" s="19" t="s">
        <v>317</v>
      </c>
      <c r="D96" s="20">
        <v>1358.0</v>
      </c>
      <c r="E96" s="20">
        <v>306.46356</v>
      </c>
      <c r="F96" s="48">
        <f>IFERROR(__xludf.DUMMYFUNCTION("""COMPUTED_VALUE"""),306.46356)</f>
        <v>306.46356</v>
      </c>
      <c r="G96" s="22"/>
      <c r="H96" s="22"/>
      <c r="I96" s="19"/>
      <c r="J96" s="19"/>
      <c r="K96" s="19" t="s">
        <v>319</v>
      </c>
      <c r="L96" s="19"/>
      <c r="M96" s="49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24">
        <v>46113.3379840625</v>
      </c>
      <c r="B97" s="26" t="s">
        <v>321</v>
      </c>
      <c r="C97" s="26" t="s">
        <v>322</v>
      </c>
      <c r="D97" s="27">
        <v>710.0</v>
      </c>
      <c r="E97" s="27">
        <v>178.17171999999997</v>
      </c>
      <c r="F97" s="28">
        <f>IFERROR(__xludf.DUMMYFUNCTION("""COMPUTED_VALUE"""),178.17171999999997)</f>
        <v>178.17172</v>
      </c>
      <c r="G97" s="29"/>
      <c r="H97" s="29"/>
      <c r="I97" s="26"/>
      <c r="J97" s="26"/>
      <c r="K97" s="26"/>
      <c r="L97" s="26"/>
      <c r="M97" s="51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>
      <c r="A98" s="24">
        <v>46113.367328796296</v>
      </c>
      <c r="B98" s="26" t="s">
        <v>83</v>
      </c>
      <c r="C98" s="26" t="s">
        <v>324</v>
      </c>
      <c r="D98" s="27">
        <v>480.0</v>
      </c>
      <c r="E98" s="27">
        <v>191.36799999999997</v>
      </c>
      <c r="F98" s="28">
        <f>IFERROR(__xludf.DUMMYFUNCTION("""COMPUTED_VALUE"""),191.36799999999997)</f>
        <v>191.368</v>
      </c>
      <c r="G98" s="29"/>
      <c r="H98" s="29"/>
      <c r="I98" s="26"/>
      <c r="J98" s="26"/>
      <c r="K98" s="26"/>
      <c r="L98" s="26"/>
      <c r="M98" s="51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>
      <c r="A99" s="24">
        <v>46113.48244548611</v>
      </c>
      <c r="B99" s="26" t="s">
        <v>119</v>
      </c>
      <c r="C99" s="26" t="s">
        <v>327</v>
      </c>
      <c r="D99" s="27">
        <v>2114.0</v>
      </c>
      <c r="E99" s="27">
        <v>573.6303200000001</v>
      </c>
      <c r="F99" s="28">
        <f>IFERROR(__xludf.DUMMYFUNCTION("""COMPUTED_VALUE"""),286.81516000000005)</f>
        <v>286.81516</v>
      </c>
      <c r="G99" s="29"/>
      <c r="H99" s="29"/>
      <c r="I99" s="26"/>
      <c r="J99" s="26"/>
      <c r="K99" s="26"/>
      <c r="L99" s="26"/>
      <c r="M99" s="51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>
      <c r="A100" s="24">
        <v>46113.54717881944</v>
      </c>
      <c r="B100" s="26" t="s">
        <v>308</v>
      </c>
      <c r="C100" s="26" t="s">
        <v>330</v>
      </c>
      <c r="D100" s="27">
        <v>1973.0</v>
      </c>
      <c r="E100" s="27">
        <v>441.80807999999996</v>
      </c>
      <c r="F100" s="28">
        <f>IFERROR(__xludf.DUMMYFUNCTION("""COMPUTED_VALUE"""),441.80807999999996)</f>
        <v>441.80808</v>
      </c>
      <c r="G100" s="29"/>
      <c r="H100" s="29"/>
      <c r="I100" s="26"/>
      <c r="J100" s="26"/>
      <c r="K100" s="26"/>
      <c r="L100" s="26"/>
      <c r="M100" s="51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>
      <c r="A101" s="24">
        <v>46113.555895046295</v>
      </c>
      <c r="B101" s="26" t="s">
        <v>73</v>
      </c>
      <c r="C101" s="26" t="s">
        <v>332</v>
      </c>
      <c r="D101" s="27">
        <v>4451.0</v>
      </c>
      <c r="E101" s="27">
        <v>1294.1308988772198</v>
      </c>
      <c r="F101" s="28">
        <f>IFERROR(__xludf.DUMMYFUNCTION("""COMPUTED_VALUE"""),1294.1308988772198)</f>
        <v>1294.130899</v>
      </c>
      <c r="G101" s="29"/>
      <c r="H101" s="29"/>
      <c r="I101" s="26"/>
      <c r="J101" s="26"/>
      <c r="K101" s="26"/>
      <c r="L101" s="26"/>
      <c r="M101" s="51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>
      <c r="A102" s="24">
        <v>46113.634494513884</v>
      </c>
      <c r="B102" s="26" t="s">
        <v>73</v>
      </c>
      <c r="C102" s="26" t="s">
        <v>335</v>
      </c>
      <c r="D102" s="27">
        <v>246.0</v>
      </c>
      <c r="E102" s="27">
        <v>105.52200000000002</v>
      </c>
      <c r="F102" s="28">
        <f>IFERROR(__xludf.DUMMYFUNCTION("""COMPUTED_VALUE"""),105.52200000000002)</f>
        <v>105.522</v>
      </c>
      <c r="G102" s="29"/>
      <c r="H102" s="29"/>
      <c r="I102" s="26"/>
      <c r="J102" s="26"/>
      <c r="K102" s="26"/>
      <c r="L102" s="26"/>
      <c r="M102" s="51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>
      <c r="A103" s="24">
        <v>46114.68181039352</v>
      </c>
      <c r="B103" s="26" t="s">
        <v>146</v>
      </c>
      <c r="C103" s="26" t="s">
        <v>337</v>
      </c>
      <c r="D103" s="27">
        <v>1040.0</v>
      </c>
      <c r="E103" s="27">
        <v>293.008</v>
      </c>
      <c r="F103" s="28">
        <f>IFERROR(__xludf.DUMMYFUNCTION("""COMPUTED_VALUE"""),293.008)</f>
        <v>293.008</v>
      </c>
      <c r="G103" s="29"/>
      <c r="H103" s="29"/>
      <c r="I103" s="26"/>
      <c r="J103" s="26"/>
      <c r="K103" s="26"/>
      <c r="L103" s="26"/>
      <c r="M103" s="51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>
      <c r="A104" s="24">
        <v>46114.68350179398</v>
      </c>
      <c r="B104" s="26" t="s">
        <v>146</v>
      </c>
      <c r="C104" s="26" t="s">
        <v>340</v>
      </c>
      <c r="D104" s="27">
        <v>28.0</v>
      </c>
      <c r="E104" s="27">
        <v>7.240898877219955</v>
      </c>
      <c r="F104" s="28">
        <f>IFERROR(__xludf.DUMMYFUNCTION("""COMPUTED_VALUE"""),7.240898877219955)</f>
        <v>7.240898877</v>
      </c>
      <c r="G104" s="29"/>
      <c r="H104" s="29"/>
      <c r="I104" s="26"/>
      <c r="J104" s="26"/>
      <c r="K104" s="26"/>
      <c r="L104" s="26"/>
      <c r="M104" s="51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>
      <c r="A105" s="24">
        <v>46114.81527715278</v>
      </c>
      <c r="B105" s="26" t="s">
        <v>73</v>
      </c>
      <c r="C105" s="26" t="s">
        <v>344</v>
      </c>
      <c r="D105" s="27">
        <v>220.0</v>
      </c>
      <c r="E105" s="27">
        <v>60.52000000000001</v>
      </c>
      <c r="F105" s="28">
        <f>IFERROR(__xludf.DUMMYFUNCTION("""COMPUTED_VALUE"""),60.52000000000001)</f>
        <v>60.52</v>
      </c>
      <c r="G105" s="29"/>
      <c r="H105" s="29"/>
      <c r="I105" s="26"/>
      <c r="J105" s="26"/>
      <c r="K105" s="26"/>
      <c r="L105" s="26"/>
      <c r="M105" s="51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>
      <c r="A106" s="18">
        <v>46114.83239974537</v>
      </c>
      <c r="B106" s="19" t="s">
        <v>273</v>
      </c>
      <c r="C106" s="19" t="s">
        <v>226</v>
      </c>
      <c r="D106" s="20">
        <v>200.0</v>
      </c>
      <c r="E106" s="20">
        <v>43.49199999999999</v>
      </c>
      <c r="F106" s="48">
        <f>IFERROR(__xludf.DUMMYFUNCTION("""COMPUTED_VALUE"""),43.49199999999999)</f>
        <v>43.492</v>
      </c>
      <c r="G106" s="22"/>
      <c r="H106" s="22"/>
      <c r="I106" s="19"/>
      <c r="J106" s="19"/>
      <c r="K106" s="19" t="s">
        <v>349</v>
      </c>
      <c r="L106" s="19"/>
      <c r="M106" s="49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18">
        <v>46114.941386446764</v>
      </c>
      <c r="B107" s="19" t="s">
        <v>353</v>
      </c>
      <c r="C107" s="19" t="s">
        <v>354</v>
      </c>
      <c r="D107" s="20">
        <v>378.0</v>
      </c>
      <c r="E107" s="20">
        <v>77.18289887721997</v>
      </c>
      <c r="F107" s="48">
        <f>IFERROR(__xludf.DUMMYFUNCTION("""COMPUTED_VALUE"""),77.18289887721997)</f>
        <v>77.18289888</v>
      </c>
      <c r="G107" s="22"/>
      <c r="H107" s="22"/>
      <c r="I107" s="19"/>
      <c r="J107" s="19"/>
      <c r="K107" s="19" t="s">
        <v>349</v>
      </c>
      <c r="L107" s="19"/>
      <c r="M107" s="49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>
      <c r="A108" s="18">
        <v>46115.50344347222</v>
      </c>
      <c r="B108" s="19" t="s">
        <v>119</v>
      </c>
      <c r="C108" s="19" t="s">
        <v>301</v>
      </c>
      <c r="D108" s="20">
        <v>43.0</v>
      </c>
      <c r="E108" s="20">
        <v>9.713999999999999</v>
      </c>
      <c r="F108" s="48">
        <f>IFERROR(__xludf.DUMMYFUNCTION("""COMPUTED_VALUE"""),4.856999999999999)</f>
        <v>4.857</v>
      </c>
      <c r="G108" s="22"/>
      <c r="H108" s="22"/>
      <c r="I108" s="19"/>
      <c r="J108" s="19"/>
      <c r="K108" s="19"/>
      <c r="L108" s="19"/>
      <c r="M108" s="49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>
      <c r="A109" s="18">
        <v>46115.50622765046</v>
      </c>
      <c r="B109" s="19" t="s">
        <v>113</v>
      </c>
      <c r="C109" s="19" t="s">
        <v>361</v>
      </c>
      <c r="D109" s="20">
        <v>401.0</v>
      </c>
      <c r="E109" s="20">
        <v>84.864</v>
      </c>
      <c r="F109" s="48">
        <f>IFERROR(__xludf.DUMMYFUNCTION("""COMPUTED_VALUE"""),42.432)</f>
        <v>42.432</v>
      </c>
      <c r="G109" s="22"/>
      <c r="H109" s="22"/>
      <c r="I109" s="19"/>
      <c r="J109" s="19"/>
      <c r="K109" s="19" t="s">
        <v>364</v>
      </c>
      <c r="L109" s="19"/>
      <c r="M109" s="49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>
      <c r="A110" s="18">
        <v>46115.540439062504</v>
      </c>
      <c r="B110" s="19" t="s">
        <v>113</v>
      </c>
      <c r="C110" s="19" t="s">
        <v>365</v>
      </c>
      <c r="D110" s="20">
        <v>50.0</v>
      </c>
      <c r="E110" s="20">
        <v>10.659999999999997</v>
      </c>
      <c r="F110" s="48">
        <f>IFERROR(__xludf.DUMMYFUNCTION("""COMPUTED_VALUE"""),5.329999999999998)</f>
        <v>5.33</v>
      </c>
      <c r="G110" s="22"/>
      <c r="H110" s="22"/>
      <c r="I110" s="19"/>
      <c r="J110" s="19"/>
      <c r="K110" s="19" t="s">
        <v>364</v>
      </c>
      <c r="L110" s="19"/>
      <c r="M110" s="49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>
      <c r="A111" s="18">
        <v>46121.502697812495</v>
      </c>
      <c r="B111" s="19" t="s">
        <v>355</v>
      </c>
      <c r="C111" s="19" t="s">
        <v>370</v>
      </c>
      <c r="D111" s="20">
        <v>127.0</v>
      </c>
      <c r="E111" s="20">
        <v>32.782</v>
      </c>
      <c r="F111" s="48">
        <f>IFERROR(__xludf.DUMMYFUNCTION("""COMPUTED_VALUE"""),32.782)</f>
        <v>32.782</v>
      </c>
      <c r="G111" s="22"/>
      <c r="H111" s="22"/>
      <c r="I111" s="19"/>
      <c r="J111" s="19"/>
      <c r="K111" s="19" t="s">
        <v>364</v>
      </c>
      <c r="L111" s="19"/>
      <c r="M111" s="49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18">
        <v>46122.48845561343</v>
      </c>
      <c r="B112" s="19" t="s">
        <v>119</v>
      </c>
      <c r="C112" s="19" t="s">
        <v>374</v>
      </c>
      <c r="D112" s="20">
        <v>1540.0</v>
      </c>
      <c r="E112" s="20">
        <v>347.908</v>
      </c>
      <c r="F112" s="48">
        <f>IFERROR(__xludf.DUMMYFUNCTION("""COMPUTED_VALUE"""),173.954)</f>
        <v>173.954</v>
      </c>
      <c r="G112" s="22"/>
      <c r="H112" s="22"/>
      <c r="I112" s="19"/>
      <c r="J112" s="19"/>
      <c r="K112" s="19"/>
      <c r="L112" s="19"/>
      <c r="M112" s="49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18">
        <v>46122.48950604167</v>
      </c>
      <c r="B113" s="19" t="s">
        <v>113</v>
      </c>
      <c r="C113" s="19" t="s">
        <v>379</v>
      </c>
      <c r="D113" s="20">
        <v>220.0</v>
      </c>
      <c r="E113" s="20">
        <v>60.52000000000001</v>
      </c>
      <c r="F113" s="48">
        <f>IFERROR(__xludf.DUMMYFUNCTION("""COMPUTED_VALUE"""),30.260000000000005)</f>
        <v>30.26</v>
      </c>
      <c r="G113" s="22"/>
      <c r="H113" s="22"/>
      <c r="I113" s="19"/>
      <c r="J113" s="19"/>
      <c r="K113" s="19"/>
      <c r="L113" s="19"/>
      <c r="M113" s="49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18">
        <v>46122.50316644676</v>
      </c>
      <c r="B114" s="19" t="s">
        <v>119</v>
      </c>
      <c r="C114" s="19" t="s">
        <v>162</v>
      </c>
      <c r="D114" s="20">
        <v>37.0</v>
      </c>
      <c r="E114" s="20">
        <v>9.012</v>
      </c>
      <c r="F114" s="48">
        <f>IFERROR(__xludf.DUMMYFUNCTION("""COMPUTED_VALUE"""),4.506)</f>
        <v>4.506</v>
      </c>
      <c r="G114" s="22"/>
      <c r="H114" s="22"/>
      <c r="I114" s="19"/>
      <c r="J114" s="19"/>
      <c r="K114" s="19"/>
      <c r="L114" s="19"/>
      <c r="M114" s="49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>
      <c r="A115" s="18">
        <v>46122.71392361111</v>
      </c>
      <c r="B115" s="19" t="s">
        <v>95</v>
      </c>
      <c r="C115" s="19" t="s">
        <v>385</v>
      </c>
      <c r="D115" s="20">
        <v>1300.0</v>
      </c>
      <c r="E115" s="20">
        <v>280.26800000000003</v>
      </c>
      <c r="F115" s="48">
        <f>IFERROR(__xludf.DUMMYFUNCTION("""COMPUTED_VALUE"""),280.26800000000003)</f>
        <v>280.268</v>
      </c>
      <c r="G115" s="22"/>
      <c r="H115" s="22"/>
      <c r="I115" s="19"/>
      <c r="J115" s="19"/>
      <c r="K115" s="19" t="s">
        <v>387</v>
      </c>
      <c r="L115" s="19"/>
      <c r="M115" s="49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>
      <c r="A116" s="24">
        <v>46122.723169178236</v>
      </c>
      <c r="B116" s="26" t="s">
        <v>308</v>
      </c>
      <c r="C116" s="26" t="s">
        <v>388</v>
      </c>
      <c r="D116" s="27">
        <v>1007.0</v>
      </c>
      <c r="E116" s="27">
        <v>227.94599999999997</v>
      </c>
      <c r="F116" s="28">
        <f>IFERROR(__xludf.DUMMYFUNCTION("""COMPUTED_VALUE"""),227.94599999999997)</f>
        <v>227.946</v>
      </c>
      <c r="G116" s="29"/>
      <c r="H116" s="29"/>
      <c r="I116" s="26"/>
      <c r="J116" s="26"/>
      <c r="K116" s="26"/>
      <c r="L116" s="26"/>
      <c r="M116" s="51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>
      <c r="A117" s="24">
        <v>46124.94814658565</v>
      </c>
      <c r="B117" s="26" t="s">
        <v>160</v>
      </c>
      <c r="C117" s="26" t="s">
        <v>393</v>
      </c>
      <c r="D117" s="27">
        <v>1080.0</v>
      </c>
      <c r="E117" s="27">
        <v>258.28</v>
      </c>
      <c r="F117" s="28">
        <f>IFERROR(__xludf.DUMMYFUNCTION("""COMPUTED_VALUE"""),258.28)</f>
        <v>258.28</v>
      </c>
      <c r="G117" s="29"/>
      <c r="H117" s="29"/>
      <c r="I117" s="26"/>
      <c r="J117" s="26" t="s">
        <v>236</v>
      </c>
      <c r="K117" s="26"/>
      <c r="L117" s="26"/>
      <c r="M117" s="51"/>
      <c r="N117" s="26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>
      <c r="A118" s="24">
        <v>46125.548567962964</v>
      </c>
      <c r="B118" s="26" t="s">
        <v>119</v>
      </c>
      <c r="C118" s="26" t="s">
        <v>396</v>
      </c>
      <c r="D118" s="27">
        <v>827.0</v>
      </c>
      <c r="E118" s="27">
        <v>234.61400000000003</v>
      </c>
      <c r="F118" s="28">
        <f>IFERROR(__xludf.DUMMYFUNCTION("""COMPUTED_VALUE"""),117.30700000000002)</f>
        <v>117.307</v>
      </c>
      <c r="G118" s="29"/>
      <c r="H118" s="29"/>
      <c r="I118" s="26"/>
      <c r="J118" s="26"/>
      <c r="K118" s="26"/>
      <c r="L118" s="26"/>
      <c r="M118" s="51"/>
      <c r="N118" s="26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>
      <c r="A119" s="18">
        <v>46126.38739642361</v>
      </c>
      <c r="B119" s="19" t="s">
        <v>46</v>
      </c>
      <c r="C119" s="19" t="s">
        <v>398</v>
      </c>
      <c r="D119" s="20">
        <v>769.0</v>
      </c>
      <c r="E119" s="20">
        <v>182.01199999999997</v>
      </c>
      <c r="F119" s="48">
        <f>IFERROR(__xludf.DUMMYFUNCTION("""COMPUTED_VALUE"""),182.01199999999997)</f>
        <v>182.012</v>
      </c>
      <c r="G119" s="22"/>
      <c r="H119" s="22"/>
      <c r="I119" s="19"/>
      <c r="J119" s="19"/>
      <c r="K119" s="19" t="s">
        <v>400</v>
      </c>
      <c r="L119" s="19"/>
      <c r="M119" s="49"/>
      <c r="N119" s="19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>
      <c r="A120" s="18">
        <v>46127.448699155095</v>
      </c>
      <c r="B120" s="19" t="s">
        <v>36</v>
      </c>
      <c r="C120" s="19" t="s">
        <v>401</v>
      </c>
      <c r="D120" s="20">
        <v>390.0</v>
      </c>
      <c r="E120" s="20">
        <v>150.78000000000003</v>
      </c>
      <c r="F120" s="48">
        <f>IFERROR(__xludf.DUMMYFUNCTION("""COMPUTED_VALUE"""),150.78000000000003)</f>
        <v>150.78</v>
      </c>
      <c r="G120" s="22"/>
      <c r="H120" s="22"/>
      <c r="I120" s="19"/>
      <c r="J120" s="19"/>
      <c r="K120" s="19" t="s">
        <v>403</v>
      </c>
      <c r="L120" s="19"/>
      <c r="M120" s="49"/>
      <c r="N120" s="19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>
      <c r="A121" s="24">
        <v>46128.612426458334</v>
      </c>
      <c r="B121" s="26" t="s">
        <v>119</v>
      </c>
      <c r="C121" s="26" t="s">
        <v>405</v>
      </c>
      <c r="D121" s="27">
        <v>556.0</v>
      </c>
      <c r="E121" s="27">
        <v>120.208</v>
      </c>
      <c r="F121" s="28">
        <f>IFERROR(__xludf.DUMMYFUNCTION("""COMPUTED_VALUE"""),60.104)</f>
        <v>60.104</v>
      </c>
      <c r="G121" s="29"/>
      <c r="H121" s="29"/>
      <c r="I121" s="26"/>
      <c r="J121" s="26"/>
      <c r="K121" s="26"/>
      <c r="L121" s="26"/>
      <c r="M121" s="51"/>
      <c r="N121" s="26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>
      <c r="A122" s="24">
        <v>46128.83121408564</v>
      </c>
      <c r="B122" s="26" t="s">
        <v>51</v>
      </c>
      <c r="C122" s="26" t="s">
        <v>407</v>
      </c>
      <c r="D122" s="27">
        <v>1520.0</v>
      </c>
      <c r="E122" s="27">
        <v>355.5553991235487</v>
      </c>
      <c r="F122" s="28">
        <f>IFERROR(__xludf.DUMMYFUNCTION("""COMPUTED_VALUE"""),355.5553991235487)</f>
        <v>355.5553991</v>
      </c>
      <c r="G122" s="29"/>
      <c r="H122" s="29"/>
      <c r="I122" s="26"/>
      <c r="J122" s="26"/>
      <c r="K122" s="26"/>
      <c r="L122" s="26"/>
      <c r="M122" s="51"/>
      <c r="N122" s="26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>
      <c r="A123" s="24">
        <v>46129.60218375</v>
      </c>
      <c r="B123" s="26" t="s">
        <v>119</v>
      </c>
      <c r="C123" s="26" t="s">
        <v>410</v>
      </c>
      <c r="D123" s="27">
        <v>1656.0</v>
      </c>
      <c r="E123" s="27">
        <v>388.59675999999996</v>
      </c>
      <c r="F123" s="28">
        <f>IFERROR(__xludf.DUMMYFUNCTION("""COMPUTED_VALUE"""),194.29837999999998)</f>
        <v>194.29838</v>
      </c>
      <c r="G123" s="29"/>
      <c r="H123" s="29"/>
      <c r="I123" s="26"/>
      <c r="J123" s="26"/>
      <c r="K123" s="26"/>
      <c r="L123" s="26"/>
      <c r="M123" s="51"/>
      <c r="N123" s="26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>
      <c r="A124" s="24">
        <v>46130.437174872684</v>
      </c>
      <c r="B124" s="26" t="s">
        <v>321</v>
      </c>
      <c r="C124" s="26" t="s">
        <v>412</v>
      </c>
      <c r="D124" s="27">
        <v>916.0</v>
      </c>
      <c r="E124" s="27">
        <v>237.14400000000003</v>
      </c>
      <c r="F124" s="28">
        <f>IFERROR(__xludf.DUMMYFUNCTION("""COMPUTED_VALUE"""),237.14400000000003)</f>
        <v>237.144</v>
      </c>
      <c r="G124" s="29"/>
      <c r="H124" s="29"/>
      <c r="I124" s="26"/>
      <c r="J124" s="26"/>
      <c r="K124" s="26"/>
      <c r="L124" s="26"/>
      <c r="M124" s="51"/>
      <c r="N124" s="26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>
      <c r="A125" s="24">
        <v>46130.444627777775</v>
      </c>
      <c r="B125" s="26" t="s">
        <v>308</v>
      </c>
      <c r="C125" s="26" t="s">
        <v>415</v>
      </c>
      <c r="D125" s="27">
        <v>895.0</v>
      </c>
      <c r="E125" s="27">
        <v>219.87</v>
      </c>
      <c r="F125" s="28">
        <f>IFERROR(__xludf.DUMMYFUNCTION("""COMPUTED_VALUE"""),219.87)</f>
        <v>219.87</v>
      </c>
      <c r="G125" s="29"/>
      <c r="H125" s="29"/>
      <c r="I125" s="26"/>
      <c r="J125" s="26"/>
      <c r="K125" s="26"/>
      <c r="L125" s="26"/>
      <c r="M125" s="51"/>
      <c r="N125" s="26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>
      <c r="A126" s="18">
        <v>46130.448365185184</v>
      </c>
      <c r="B126" s="19" t="s">
        <v>95</v>
      </c>
      <c r="C126" s="19" t="s">
        <v>418</v>
      </c>
      <c r="D126" s="20">
        <v>808.0</v>
      </c>
      <c r="E126" s="20">
        <v>220.73878</v>
      </c>
      <c r="F126" s="48">
        <f>IFERROR(__xludf.DUMMYFUNCTION("""COMPUTED_VALUE"""),220.73878)</f>
        <v>220.73878</v>
      </c>
      <c r="G126" s="22"/>
      <c r="H126" s="22"/>
      <c r="I126" s="19"/>
      <c r="J126" s="19"/>
      <c r="K126" s="19" t="s">
        <v>387</v>
      </c>
      <c r="L126" s="19"/>
      <c r="M126" s="49"/>
      <c r="N126" s="19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>
      <c r="A127" s="18">
        <v>46130.45734699074</v>
      </c>
      <c r="B127" s="19" t="s">
        <v>372</v>
      </c>
      <c r="C127" s="19" t="s">
        <v>421</v>
      </c>
      <c r="D127" s="20">
        <v>241.0</v>
      </c>
      <c r="E127" s="20">
        <v>159.61</v>
      </c>
      <c r="F127" s="48">
        <f>IFERROR(__xludf.DUMMYFUNCTION("""COMPUTED_VALUE"""),159.61)</f>
        <v>159.61</v>
      </c>
      <c r="G127" s="22"/>
      <c r="H127" s="22"/>
      <c r="I127" s="19"/>
      <c r="J127" s="19"/>
      <c r="K127" s="19" t="s">
        <v>423</v>
      </c>
      <c r="L127" s="19"/>
      <c r="M127" s="49"/>
      <c r="N127" s="19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24">
        <v>46132.71266196759</v>
      </c>
      <c r="B128" s="26" t="s">
        <v>382</v>
      </c>
      <c r="C128" s="26" t="s">
        <v>425</v>
      </c>
      <c r="D128" s="27">
        <v>182.0</v>
      </c>
      <c r="E128" s="27">
        <v>56.879999999999995</v>
      </c>
      <c r="F128" s="28">
        <f>IFERROR(__xludf.DUMMYFUNCTION("""COMPUTED_VALUE"""),56.879999999999995)</f>
        <v>56.88</v>
      </c>
      <c r="G128" s="29"/>
      <c r="H128" s="29"/>
      <c r="I128" s="26"/>
      <c r="J128" s="26"/>
      <c r="K128" s="26"/>
      <c r="L128" s="26"/>
      <c r="M128" s="51"/>
      <c r="N128" s="26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>
      <c r="A129" s="24">
        <v>46134.53675914352</v>
      </c>
      <c r="B129" s="26" t="s">
        <v>119</v>
      </c>
      <c r="C129" s="26" t="s">
        <v>427</v>
      </c>
      <c r="D129" s="27">
        <v>1024.0</v>
      </c>
      <c r="E129" s="27">
        <v>294.52216</v>
      </c>
      <c r="F129" s="28">
        <f>IFERROR(__xludf.DUMMYFUNCTION("""COMPUTED_VALUE"""),147.26108)</f>
        <v>147.26108</v>
      </c>
      <c r="G129" s="29"/>
      <c r="H129" s="29"/>
      <c r="I129" s="26"/>
      <c r="J129" s="26"/>
      <c r="K129" s="26"/>
      <c r="L129" s="26"/>
      <c r="M129" s="51"/>
      <c r="N129" s="26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>
      <c r="A130" s="24">
        <v>46134.540712013884</v>
      </c>
      <c r="B130" s="26" t="s">
        <v>160</v>
      </c>
      <c r="C130" s="26" t="s">
        <v>430</v>
      </c>
      <c r="D130" s="27">
        <v>550.0</v>
      </c>
      <c r="E130" s="27">
        <v>146.64078</v>
      </c>
      <c r="F130" s="28">
        <f>IFERROR(__xludf.DUMMYFUNCTION("""COMPUTED_VALUE"""),146.64078)</f>
        <v>146.64078</v>
      </c>
      <c r="G130" s="29"/>
      <c r="H130" s="29"/>
      <c r="I130" s="26"/>
      <c r="J130" s="26"/>
      <c r="K130" s="26"/>
      <c r="L130" s="26"/>
      <c r="M130" s="51"/>
      <c r="N130" s="26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>
      <c r="A131" s="18">
        <v>46134.93905450232</v>
      </c>
      <c r="B131" s="19" t="s">
        <v>432</v>
      </c>
      <c r="C131" s="19" t="s">
        <v>433</v>
      </c>
      <c r="D131" s="20">
        <v>40.0</v>
      </c>
      <c r="E131" s="20">
        <v>21.24</v>
      </c>
      <c r="F131" s="48">
        <f>IFERROR(__xludf.DUMMYFUNCTION("""COMPUTED_VALUE"""),21.24)</f>
        <v>21.24</v>
      </c>
      <c r="G131" s="22"/>
      <c r="H131" s="22"/>
      <c r="I131" s="19"/>
      <c r="J131" s="19"/>
      <c r="K131" s="19" t="s">
        <v>435</v>
      </c>
      <c r="L131" s="19"/>
      <c r="M131" s="49"/>
      <c r="N131" s="19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>
      <c r="A132" s="24">
        <v>46134.94462987268</v>
      </c>
      <c r="B132" s="26" t="s">
        <v>62</v>
      </c>
      <c r="C132" s="26" t="s">
        <v>437</v>
      </c>
      <c r="D132" s="27">
        <v>1485.0</v>
      </c>
      <c r="E132" s="27">
        <v>377.17728</v>
      </c>
      <c r="F132" s="28">
        <f>IFERROR(__xludf.DUMMYFUNCTION("""COMPUTED_VALUE"""),377.17728)</f>
        <v>377.17728</v>
      </c>
      <c r="G132" s="29"/>
      <c r="H132" s="29"/>
      <c r="I132" s="26"/>
      <c r="J132" s="26"/>
      <c r="K132" s="26"/>
      <c r="L132" s="26"/>
      <c r="M132" s="51"/>
      <c r="N132" s="26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>
      <c r="A133" s="24">
        <v>46135.65397158565</v>
      </c>
      <c r="B133" s="26" t="s">
        <v>119</v>
      </c>
      <c r="C133" s="26" t="s">
        <v>439</v>
      </c>
      <c r="D133" s="27">
        <v>1200.0</v>
      </c>
      <c r="E133" s="27">
        <v>295.28312</v>
      </c>
      <c r="F133" s="28">
        <f>IFERROR(__xludf.DUMMYFUNCTION("""COMPUTED_VALUE"""),147.64156)</f>
        <v>147.64156</v>
      </c>
      <c r="G133" s="29"/>
      <c r="H133" s="29"/>
      <c r="I133" s="26"/>
      <c r="J133" s="26"/>
      <c r="K133" s="26"/>
      <c r="L133" s="26"/>
      <c r="M133" s="51"/>
      <c r="N133" s="26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>
      <c r="A134" s="24">
        <v>46136.515222013884</v>
      </c>
      <c r="B134" s="26" t="s">
        <v>119</v>
      </c>
      <c r="C134" s="26" t="s">
        <v>442</v>
      </c>
      <c r="D134" s="27">
        <v>2090.0</v>
      </c>
      <c r="E134" s="27">
        <v>700.7999999999998</v>
      </c>
      <c r="F134" s="28">
        <f>IFERROR(__xludf.DUMMYFUNCTION("""COMPUTED_VALUE"""),350.3999999999999)</f>
        <v>350.4</v>
      </c>
      <c r="G134" s="29"/>
      <c r="H134" s="29"/>
      <c r="I134" s="26"/>
      <c r="J134" s="26"/>
      <c r="K134" s="26"/>
      <c r="L134" s="26"/>
      <c r="M134" s="51"/>
      <c r="N134" s="26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>
      <c r="A135" s="18">
        <v>46136.51565008102</v>
      </c>
      <c r="B135" s="19" t="s">
        <v>444</v>
      </c>
      <c r="C135" s="19" t="s">
        <v>106</v>
      </c>
      <c r="D135" s="20">
        <v>110.0</v>
      </c>
      <c r="E135" s="20">
        <v>30.260000000000005</v>
      </c>
      <c r="F135" s="48">
        <f>IFERROR(__xludf.DUMMYFUNCTION("""COMPUTED_VALUE"""),30.260000000000005)</f>
        <v>30.26</v>
      </c>
      <c r="G135" s="22"/>
      <c r="H135" s="22"/>
      <c r="I135" s="19"/>
      <c r="J135" s="19"/>
      <c r="K135" s="19" t="s">
        <v>446</v>
      </c>
      <c r="L135" s="19"/>
      <c r="M135" s="49"/>
      <c r="N135" s="19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>
      <c r="A136" s="24">
        <v>46136.52892653935</v>
      </c>
      <c r="B136" s="26" t="s">
        <v>119</v>
      </c>
      <c r="C136" s="26" t="s">
        <v>447</v>
      </c>
      <c r="D136" s="27">
        <v>170.0</v>
      </c>
      <c r="E136" s="27">
        <v>50.0</v>
      </c>
      <c r="F136" s="28">
        <f>IFERROR(__xludf.DUMMYFUNCTION("""COMPUTED_VALUE"""),25.0)</f>
        <v>25</v>
      </c>
      <c r="G136" s="29"/>
      <c r="H136" s="29"/>
      <c r="I136" s="26"/>
      <c r="J136" s="26"/>
      <c r="K136" s="26"/>
      <c r="L136" s="26"/>
      <c r="M136" s="51"/>
      <c r="N136" s="26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>
      <c r="A137" s="24">
        <v>46136.678152939814</v>
      </c>
      <c r="B137" s="26" t="s">
        <v>314</v>
      </c>
      <c r="C137" s="26" t="s">
        <v>450</v>
      </c>
      <c r="D137" s="27">
        <v>310.0</v>
      </c>
      <c r="E137" s="27">
        <v>73.752</v>
      </c>
      <c r="F137" s="28">
        <f>IFERROR(__xludf.DUMMYFUNCTION("""COMPUTED_VALUE"""),73.752)</f>
        <v>73.752</v>
      </c>
      <c r="G137" s="29"/>
      <c r="H137" s="29"/>
      <c r="I137" s="26"/>
      <c r="J137" s="26"/>
      <c r="K137" s="26"/>
      <c r="L137" s="26"/>
      <c r="M137" s="51"/>
      <c r="N137" s="26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>
      <c r="A138" s="24">
        <v>46136.96909059028</v>
      </c>
      <c r="B138" s="26" t="s">
        <v>81</v>
      </c>
      <c r="C138" s="26" t="s">
        <v>453</v>
      </c>
      <c r="D138" s="27">
        <v>707.0</v>
      </c>
      <c r="E138" s="27">
        <v>177.08400000000003</v>
      </c>
      <c r="F138" s="28">
        <f>IFERROR(__xludf.DUMMYFUNCTION("""COMPUTED_VALUE"""),177.08400000000003)</f>
        <v>177.084</v>
      </c>
      <c r="G138" s="29"/>
      <c r="H138" s="29"/>
      <c r="I138" s="26"/>
      <c r="J138" s="26"/>
      <c r="K138" s="26"/>
      <c r="L138" s="26"/>
      <c r="M138" s="51"/>
      <c r="N138" s="26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>
      <c r="A139" s="24">
        <v>46136.97086615741</v>
      </c>
      <c r="B139" s="26" t="s">
        <v>95</v>
      </c>
      <c r="C139" s="26" t="s">
        <v>457</v>
      </c>
      <c r="D139" s="27">
        <v>1195.0</v>
      </c>
      <c r="E139" s="27">
        <v>294.3040799999999</v>
      </c>
      <c r="F139" s="28">
        <f>IFERROR(__xludf.DUMMYFUNCTION("""COMPUTED_VALUE"""),294.3040799999999)</f>
        <v>294.30408</v>
      </c>
      <c r="G139" s="29"/>
      <c r="H139" s="29"/>
      <c r="I139" s="26"/>
      <c r="J139" s="26"/>
      <c r="K139" s="26"/>
      <c r="L139" s="26"/>
      <c r="M139" s="51"/>
      <c r="N139" s="26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>
      <c r="A140" s="24">
        <v>46136.974764756946</v>
      </c>
      <c r="B140" s="26" t="s">
        <v>308</v>
      </c>
      <c r="C140" s="26" t="s">
        <v>459</v>
      </c>
      <c r="D140" s="27">
        <v>1654.0</v>
      </c>
      <c r="E140" s="27">
        <v>384.89771999999994</v>
      </c>
      <c r="F140" s="28">
        <f>IFERROR(__xludf.DUMMYFUNCTION("""COMPUTED_VALUE"""),384.89771999999994)</f>
        <v>384.89772</v>
      </c>
      <c r="G140" s="29"/>
      <c r="H140" s="29"/>
      <c r="I140" s="26"/>
      <c r="J140" s="26"/>
      <c r="K140" s="26"/>
      <c r="L140" s="26"/>
      <c r="M140" s="51"/>
      <c r="N140" s="26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>
      <c r="A141" s="18">
        <v>46139.9945608912</v>
      </c>
      <c r="B141" s="19" t="s">
        <v>137</v>
      </c>
      <c r="C141" s="19" t="s">
        <v>461</v>
      </c>
      <c r="D141" s="20">
        <v>1430.0</v>
      </c>
      <c r="E141" s="20">
        <v>317.66311999999994</v>
      </c>
      <c r="F141" s="48">
        <f>IFERROR(__xludf.DUMMYFUNCTION("""COMPUTED_VALUE"""),317.66311999999994)</f>
        <v>317.66312</v>
      </c>
      <c r="G141" s="22"/>
      <c r="H141" s="22"/>
      <c r="I141" s="19"/>
      <c r="J141" s="19"/>
      <c r="K141" s="19" t="s">
        <v>387</v>
      </c>
      <c r="L141" s="19"/>
      <c r="M141" s="49"/>
      <c r="N141" s="19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>
      <c r="A142" s="24">
        <v>46139.996358414355</v>
      </c>
      <c r="B142" s="26" t="s">
        <v>314</v>
      </c>
      <c r="C142" s="26" t="s">
        <v>106</v>
      </c>
      <c r="D142" s="27">
        <v>110.0</v>
      </c>
      <c r="E142" s="27">
        <v>30.260000000000005</v>
      </c>
      <c r="F142" s="28">
        <f>IFERROR(__xludf.DUMMYFUNCTION("""COMPUTED_VALUE"""),30.260000000000005)</f>
        <v>30.26</v>
      </c>
      <c r="G142" s="29"/>
      <c r="H142" s="29"/>
      <c r="I142" s="26"/>
      <c r="J142" s="26"/>
      <c r="K142" s="26"/>
      <c r="L142" s="26"/>
      <c r="M142" s="51"/>
      <c r="N142" s="26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>
      <c r="A143" s="24">
        <v>46142.002299872685</v>
      </c>
      <c r="B143" s="26" t="s">
        <v>119</v>
      </c>
      <c r="C143" s="26" t="s">
        <v>465</v>
      </c>
      <c r="D143" s="27">
        <v>2770.0</v>
      </c>
      <c r="E143" s="27">
        <v>1716.99</v>
      </c>
      <c r="F143" s="28">
        <f>IFERROR(__xludf.DUMMYFUNCTION("""COMPUTED_VALUE"""),858.495)</f>
        <v>858.495</v>
      </c>
      <c r="G143" s="29"/>
      <c r="H143" s="29"/>
      <c r="I143" s="26"/>
      <c r="J143" s="26"/>
      <c r="K143" s="26"/>
      <c r="L143" s="26"/>
      <c r="M143" s="51"/>
      <c r="N143" s="26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>
      <c r="A144" s="18">
        <v>46142.49573243056</v>
      </c>
      <c r="B144" s="19" t="s">
        <v>378</v>
      </c>
      <c r="C144" s="19" t="s">
        <v>468</v>
      </c>
      <c r="D144" s="20">
        <v>650.0</v>
      </c>
      <c r="E144" s="20">
        <v>134.754</v>
      </c>
      <c r="F144" s="48">
        <f>IFERROR(__xludf.DUMMYFUNCTION("""COMPUTED_VALUE"""),134.754)</f>
        <v>134.754</v>
      </c>
      <c r="G144" s="22"/>
      <c r="H144" s="22"/>
      <c r="I144" s="19"/>
      <c r="J144" s="19"/>
      <c r="K144" s="19" t="s">
        <v>469</v>
      </c>
      <c r="L144" s="19"/>
      <c r="M144" s="49"/>
      <c r="N144" s="19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>
      <c r="A145" s="24">
        <v>46142.49808829861</v>
      </c>
      <c r="B145" s="26" t="s">
        <v>119</v>
      </c>
      <c r="C145" s="26" t="s">
        <v>471</v>
      </c>
      <c r="D145" s="27">
        <v>4670.0</v>
      </c>
      <c r="E145" s="27">
        <v>2183.884</v>
      </c>
      <c r="F145" s="28">
        <f>IFERROR(__xludf.DUMMYFUNCTION("""COMPUTED_VALUE"""),1091.942)</f>
        <v>1091.942</v>
      </c>
      <c r="G145" s="29"/>
      <c r="H145" s="29"/>
      <c r="I145" s="26"/>
      <c r="J145" s="26"/>
      <c r="K145" s="26"/>
      <c r="L145" s="26"/>
      <c r="M145" s="51"/>
      <c r="N145" s="26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>
      <c r="A146" s="24">
        <v>46142.97240875</v>
      </c>
      <c r="B146" s="26" t="s">
        <v>83</v>
      </c>
      <c r="C146" s="26" t="s">
        <v>270</v>
      </c>
      <c r="D146" s="27">
        <v>50.0</v>
      </c>
      <c r="E146" s="27">
        <v>10.659999999999997</v>
      </c>
      <c r="F146" s="28">
        <f>IFERROR(__xludf.DUMMYFUNCTION("""COMPUTED_VALUE"""),10.659999999999997)</f>
        <v>10.66</v>
      </c>
      <c r="G146" s="29"/>
      <c r="H146" s="29"/>
      <c r="I146" s="26"/>
      <c r="J146" s="26"/>
      <c r="K146" s="26"/>
      <c r="L146" s="26"/>
      <c r="M146" s="51"/>
      <c r="N146" s="26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>
      <c r="A147" s="24">
        <v>46143.53343688657</v>
      </c>
      <c r="B147" s="26" t="s">
        <v>91</v>
      </c>
      <c r="C147" s="26" t="s">
        <v>476</v>
      </c>
      <c r="D147" s="27">
        <v>2527.0</v>
      </c>
      <c r="E147" s="27">
        <v>752.0702368779885</v>
      </c>
      <c r="F147" s="28">
        <f>IFERROR(__xludf.DUMMYFUNCTION("""COMPUTED_VALUE"""),752.0702368779885)</f>
        <v>752.0702369</v>
      </c>
      <c r="G147" s="29"/>
      <c r="H147" s="29"/>
      <c r="I147" s="26"/>
      <c r="J147" s="26"/>
      <c r="K147" s="26"/>
      <c r="L147" s="26"/>
      <c r="M147" s="51"/>
      <c r="N147" s="26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>
      <c r="A148" s="24">
        <v>46143.55990262731</v>
      </c>
      <c r="B148" s="26" t="s">
        <v>73</v>
      </c>
      <c r="C148" s="26" t="s">
        <v>479</v>
      </c>
      <c r="D148" s="27">
        <v>3394.0</v>
      </c>
      <c r="E148" s="27">
        <v>532.9568988772199</v>
      </c>
      <c r="F148" s="28">
        <f>IFERROR(__xludf.DUMMYFUNCTION("""COMPUTED_VALUE"""),532.9568988772199)</f>
        <v>532.9568989</v>
      </c>
      <c r="G148" s="29"/>
      <c r="H148" s="29"/>
      <c r="I148" s="26"/>
      <c r="J148" s="26"/>
      <c r="K148" s="26"/>
      <c r="L148" s="26"/>
      <c r="M148" s="51"/>
      <c r="N148" s="26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>
      <c r="A149" s="24">
        <v>46144.44149798611</v>
      </c>
      <c r="B149" s="26" t="s">
        <v>91</v>
      </c>
      <c r="C149" s="26" t="s">
        <v>484</v>
      </c>
      <c r="D149" s="27">
        <v>900.0</v>
      </c>
      <c r="E149" s="27">
        <v>182.524</v>
      </c>
      <c r="F149" s="28">
        <f>IFERROR(__xludf.DUMMYFUNCTION("""COMPUTED_VALUE"""),182.524)</f>
        <v>182.524</v>
      </c>
      <c r="G149" s="29"/>
      <c r="H149" s="29"/>
      <c r="I149" s="26"/>
      <c r="J149" s="26"/>
      <c r="K149" s="26"/>
      <c r="L149" s="26"/>
      <c r="M149" s="51"/>
      <c r="N149" s="26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>
      <c r="A150" s="24">
        <v>46146.63921675926</v>
      </c>
      <c r="B150" s="26" t="s">
        <v>308</v>
      </c>
      <c r="C150" s="26" t="s">
        <v>488</v>
      </c>
      <c r="D150" s="27">
        <v>760.0</v>
      </c>
      <c r="E150" s="27">
        <v>174.422</v>
      </c>
      <c r="F150" s="28">
        <f>IFERROR(__xludf.DUMMYFUNCTION("""COMPUTED_VALUE"""),174.422)</f>
        <v>174.422</v>
      </c>
      <c r="G150" s="29"/>
      <c r="H150" s="29"/>
      <c r="I150" s="26"/>
      <c r="J150" s="26"/>
      <c r="K150" s="26"/>
      <c r="L150" s="26"/>
      <c r="M150" s="51"/>
      <c r="N150" s="26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>
      <c r="A151" s="24">
        <v>46146.64253208334</v>
      </c>
      <c r="B151" s="26" t="s">
        <v>95</v>
      </c>
      <c r="C151" s="26" t="s">
        <v>492</v>
      </c>
      <c r="D151" s="27">
        <v>1090.0</v>
      </c>
      <c r="E151" s="27">
        <v>241.50615999999997</v>
      </c>
      <c r="F151" s="28">
        <f>IFERROR(__xludf.DUMMYFUNCTION("""COMPUTED_VALUE"""),241.50615999999997)</f>
        <v>241.50616</v>
      </c>
      <c r="G151" s="29"/>
      <c r="H151" s="29"/>
      <c r="I151" s="26"/>
      <c r="J151" s="26"/>
      <c r="K151" s="26"/>
      <c r="L151" s="26"/>
      <c r="M151" s="51"/>
      <c r="N151" s="26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>
      <c r="A152" s="24">
        <v>46147.36818777778</v>
      </c>
      <c r="B152" s="26" t="s">
        <v>496</v>
      </c>
      <c r="C152" s="26" t="s">
        <v>497</v>
      </c>
      <c r="D152" s="27">
        <v>57.0</v>
      </c>
      <c r="E152" s="27">
        <v>20.58</v>
      </c>
      <c r="F152" s="28">
        <f>IFERROR(__xludf.DUMMYFUNCTION("""COMPUTED_VALUE"""),10.29)</f>
        <v>10.29</v>
      </c>
      <c r="G152" s="29"/>
      <c r="H152" s="29"/>
      <c r="I152" s="26"/>
      <c r="J152" s="26"/>
      <c r="K152" s="26"/>
      <c r="L152" s="26"/>
      <c r="M152" s="51"/>
      <c r="N152" s="26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>
      <c r="A153" s="24">
        <v>46154.64714717593</v>
      </c>
      <c r="B153" s="26" t="s">
        <v>95</v>
      </c>
      <c r="C153" s="26" t="s">
        <v>499</v>
      </c>
      <c r="D153" s="27">
        <v>825.0</v>
      </c>
      <c r="E153" s="27">
        <v>210.20208</v>
      </c>
      <c r="F153" s="28">
        <f>IFERROR(__xludf.DUMMYFUNCTION("""COMPUTED_VALUE"""),210.20208)</f>
        <v>210.20208</v>
      </c>
      <c r="G153" s="29"/>
      <c r="H153" s="29"/>
      <c r="I153" s="26"/>
      <c r="J153" s="26"/>
      <c r="K153" s="26"/>
      <c r="L153" s="26"/>
      <c r="M153" s="51"/>
      <c r="N153" s="26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>
      <c r="A154" s="24">
        <v>46154.67779767361</v>
      </c>
      <c r="B154" s="26" t="s">
        <v>308</v>
      </c>
      <c r="C154" s="26" t="s">
        <v>503</v>
      </c>
      <c r="D154" s="27">
        <v>781.5</v>
      </c>
      <c r="E154" s="27">
        <v>301.49215999999996</v>
      </c>
      <c r="F154" s="28">
        <f>IFERROR(__xludf.DUMMYFUNCTION("""COMPUTED_VALUE"""),301.49215999999996)</f>
        <v>301.49216</v>
      </c>
      <c r="G154" s="29"/>
      <c r="H154" s="29"/>
      <c r="I154" s="26"/>
      <c r="J154" s="26"/>
      <c r="K154" s="26"/>
      <c r="L154" s="26"/>
      <c r="M154" s="51"/>
      <c r="N154" s="26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>
      <c r="A155" s="24">
        <v>46157.52252828704</v>
      </c>
      <c r="B155" s="26" t="s">
        <v>119</v>
      </c>
      <c r="C155" s="26" t="s">
        <v>505</v>
      </c>
      <c r="D155" s="27">
        <v>2554.0</v>
      </c>
      <c r="E155" s="27">
        <v>684.4787496849387</v>
      </c>
      <c r="F155" s="28">
        <f>IFERROR(__xludf.DUMMYFUNCTION("""COMPUTED_VALUE"""),342.2393748424694)</f>
        <v>342.2393748</v>
      </c>
      <c r="G155" s="29"/>
      <c r="H155" s="29"/>
      <c r="I155" s="26"/>
      <c r="J155" s="26"/>
      <c r="K155" s="26"/>
      <c r="L155" s="26"/>
      <c r="M155" s="51"/>
      <c r="N155" s="26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>
      <c r="A156" s="24">
        <v>46157.52398521991</v>
      </c>
      <c r="B156" s="26" t="s">
        <v>119</v>
      </c>
      <c r="C156" s="26" t="s">
        <v>508</v>
      </c>
      <c r="D156" s="27">
        <v>950.0</v>
      </c>
      <c r="E156" s="27">
        <v>249.35599999999994</v>
      </c>
      <c r="F156" s="28">
        <f>IFERROR(__xludf.DUMMYFUNCTION("""COMPUTED_VALUE"""),124.67799999999997)</f>
        <v>124.678</v>
      </c>
      <c r="G156" s="29"/>
      <c r="H156" s="29"/>
      <c r="I156" s="26"/>
      <c r="J156" s="26"/>
      <c r="K156" s="26"/>
      <c r="L156" s="26"/>
      <c r="M156" s="51"/>
      <c r="N156" s="26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>
      <c r="A157" s="24">
        <v>46157.53089638889</v>
      </c>
      <c r="B157" s="26" t="s">
        <v>60</v>
      </c>
      <c r="C157" s="26" t="s">
        <v>510</v>
      </c>
      <c r="D157" s="27">
        <v>605.0</v>
      </c>
      <c r="E157" s="27">
        <v>151.95600000000002</v>
      </c>
      <c r="F157" s="28">
        <f>IFERROR(__xludf.DUMMYFUNCTION("""COMPUTED_VALUE"""),151.95600000000002)</f>
        <v>151.956</v>
      </c>
      <c r="G157" s="29"/>
      <c r="H157" s="29"/>
      <c r="I157" s="26"/>
      <c r="J157" s="26"/>
      <c r="K157" s="26"/>
      <c r="L157" s="26"/>
      <c r="M157" s="51"/>
      <c r="N157" s="26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>
      <c r="A158" s="24">
        <v>46159.94276089121</v>
      </c>
      <c r="B158" s="26" t="s">
        <v>46</v>
      </c>
      <c r="C158" s="26" t="s">
        <v>513</v>
      </c>
      <c r="D158" s="27">
        <v>723.0</v>
      </c>
      <c r="E158" s="27">
        <v>220.98094</v>
      </c>
      <c r="F158" s="28">
        <f>IFERROR(__xludf.DUMMYFUNCTION("""COMPUTED_VALUE"""),220.98094)</f>
        <v>220.98094</v>
      </c>
      <c r="G158" s="29"/>
      <c r="H158" s="29"/>
      <c r="I158" s="26"/>
      <c r="J158" s="26" t="s">
        <v>514</v>
      </c>
      <c r="K158" s="26" t="s">
        <v>515</v>
      </c>
      <c r="L158" s="26"/>
      <c r="M158" s="51"/>
      <c r="N158" s="26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>
      <c r="A159" s="24">
        <v>46160.39394278935</v>
      </c>
      <c r="B159" s="26" t="s">
        <v>375</v>
      </c>
      <c r="C159" s="26" t="s">
        <v>519</v>
      </c>
      <c r="D159" s="27">
        <v>137.0</v>
      </c>
      <c r="E159" s="27">
        <v>36.45399999999999</v>
      </c>
      <c r="F159" s="28">
        <f>IFERROR(__xludf.DUMMYFUNCTION("""COMPUTED_VALUE"""),36.45399999999999)</f>
        <v>36.454</v>
      </c>
      <c r="G159" s="29"/>
      <c r="H159" s="29"/>
      <c r="I159" s="26"/>
      <c r="J159" s="26" t="s">
        <v>520</v>
      </c>
      <c r="K159" s="26" t="s">
        <v>521</v>
      </c>
      <c r="L159" s="26"/>
      <c r="M159" s="51"/>
      <c r="N159" s="26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>
      <c r="A160" s="24">
        <v>46160.66341793981</v>
      </c>
      <c r="B160" s="26" t="s">
        <v>119</v>
      </c>
      <c r="C160" s="26" t="s">
        <v>524</v>
      </c>
      <c r="D160" s="27">
        <v>750.0</v>
      </c>
      <c r="E160" s="27">
        <v>181.85447193049882</v>
      </c>
      <c r="F160" s="28">
        <f>IFERROR(__xludf.DUMMYFUNCTION("""COMPUTED_VALUE"""),90.92723596524941)</f>
        <v>90.92723597</v>
      </c>
      <c r="G160" s="29"/>
      <c r="H160" s="29"/>
      <c r="I160" s="26"/>
      <c r="J160" s="26"/>
      <c r="K160" s="26"/>
      <c r="L160" s="26"/>
      <c r="M160" s="51"/>
      <c r="N160" s="26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>
      <c r="A161" s="24">
        <v>46161.53586685185</v>
      </c>
      <c r="B161" s="26" t="s">
        <v>83</v>
      </c>
      <c r="C161" s="26" t="s">
        <v>527</v>
      </c>
      <c r="D161" s="27">
        <v>240.0</v>
      </c>
      <c r="E161" s="27">
        <v>54.22077999999999</v>
      </c>
      <c r="F161" s="28">
        <f>IFERROR(__xludf.DUMMYFUNCTION("""COMPUTED_VALUE"""),54.22077999999999)</f>
        <v>54.22078</v>
      </c>
      <c r="G161" s="29"/>
      <c r="H161" s="29"/>
      <c r="I161" s="26"/>
      <c r="J161" s="26"/>
      <c r="K161" s="26"/>
      <c r="L161" s="26"/>
      <c r="M161" s="51"/>
      <c r="N161" s="26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>
      <c r="A162" s="24">
        <v>46161.570193391206</v>
      </c>
      <c r="B162" s="26" t="s">
        <v>46</v>
      </c>
      <c r="C162" s="26" t="s">
        <v>529</v>
      </c>
      <c r="D162" s="27">
        <v>160.0</v>
      </c>
      <c r="E162" s="27">
        <v>53.616</v>
      </c>
      <c r="F162" s="28">
        <f>IFERROR(__xludf.DUMMYFUNCTION("""COMPUTED_VALUE"""),53.616)</f>
        <v>53.616</v>
      </c>
      <c r="G162" s="29"/>
      <c r="H162" s="29"/>
      <c r="I162" s="26"/>
      <c r="J162" s="26"/>
      <c r="K162" s="26"/>
      <c r="L162" s="26"/>
      <c r="M162" s="51"/>
      <c r="N162" s="26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>
      <c r="A163" s="24">
        <v>46161.9520490162</v>
      </c>
      <c r="B163" s="26" t="s">
        <v>81</v>
      </c>
      <c r="C163" s="26" t="s">
        <v>532</v>
      </c>
      <c r="D163" s="27">
        <v>400.0</v>
      </c>
      <c r="E163" s="27">
        <v>80.602</v>
      </c>
      <c r="F163" s="28">
        <f>IFERROR(__xludf.DUMMYFUNCTION("""COMPUTED_VALUE"""),80.602)</f>
        <v>80.602</v>
      </c>
      <c r="G163" s="29"/>
      <c r="H163" s="29"/>
      <c r="I163" s="26"/>
      <c r="J163" s="26"/>
      <c r="K163" s="26"/>
      <c r="L163" s="26"/>
      <c r="M163" s="51"/>
      <c r="N163" s="26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>
      <c r="A164" s="24">
        <v>46162.58799190972</v>
      </c>
      <c r="B164" s="26" t="s">
        <v>119</v>
      </c>
      <c r="C164" s="26" t="s">
        <v>535</v>
      </c>
      <c r="D164" s="27">
        <v>8428.0</v>
      </c>
      <c r="E164" s="27">
        <v>2017.5052400000002</v>
      </c>
      <c r="F164" s="28">
        <f>IFERROR(__xludf.DUMMYFUNCTION("""COMPUTED_VALUE"""),1008.7526200000001)</f>
        <v>1008.75262</v>
      </c>
      <c r="G164" s="29"/>
      <c r="H164" s="29"/>
      <c r="I164" s="26"/>
      <c r="J164" s="26"/>
      <c r="K164" s="26"/>
      <c r="L164" s="26"/>
      <c r="M164" s="51"/>
      <c r="N164" s="26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>
      <c r="A165" s="24">
        <v>46163.500889710645</v>
      </c>
      <c r="B165" s="26" t="s">
        <v>146</v>
      </c>
      <c r="C165" s="26" t="s">
        <v>538</v>
      </c>
      <c r="D165" s="27">
        <v>3001.0</v>
      </c>
      <c r="E165" s="27">
        <v>791.6216399999998</v>
      </c>
      <c r="F165" s="28">
        <f>IFERROR(__xludf.DUMMYFUNCTION("""COMPUTED_VALUE"""),791.6216399999998)</f>
        <v>791.62164</v>
      </c>
      <c r="G165" s="29"/>
      <c r="H165" s="29"/>
      <c r="I165" s="26"/>
      <c r="J165" s="26"/>
      <c r="K165" s="26"/>
      <c r="L165" s="26"/>
      <c r="M165" s="51"/>
      <c r="N165" s="26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>
      <c r="A166" s="24">
        <v>46163.50381354167</v>
      </c>
      <c r="B166" s="26" t="s">
        <v>119</v>
      </c>
      <c r="C166" s="26" t="s">
        <v>542</v>
      </c>
      <c r="D166" s="27">
        <v>2034.0</v>
      </c>
      <c r="E166" s="27">
        <v>570.624</v>
      </c>
      <c r="F166" s="28">
        <f>IFERROR(__xludf.DUMMYFUNCTION("""COMPUTED_VALUE"""),285.312)</f>
        <v>285.312</v>
      </c>
      <c r="G166" s="29"/>
      <c r="H166" s="29"/>
      <c r="I166" s="26"/>
      <c r="J166" s="26"/>
      <c r="K166" s="26"/>
      <c r="L166" s="26"/>
      <c r="M166" s="51"/>
      <c r="N166" s="26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>
      <c r="A167" s="24">
        <v>46163.510325462965</v>
      </c>
      <c r="B167" s="26" t="s">
        <v>91</v>
      </c>
      <c r="C167" s="26" t="s">
        <v>545</v>
      </c>
      <c r="D167" s="27">
        <v>2850.0</v>
      </c>
      <c r="E167" s="27">
        <v>934.44858</v>
      </c>
      <c r="F167" s="28">
        <f>IFERROR(__xludf.DUMMYFUNCTION("""COMPUTED_VALUE"""),934.44858)</f>
        <v>934.44858</v>
      </c>
      <c r="G167" s="29"/>
      <c r="H167" s="29"/>
      <c r="I167" s="26"/>
      <c r="J167" s="26"/>
      <c r="K167" s="26"/>
      <c r="L167" s="26"/>
      <c r="M167" s="51"/>
      <c r="N167" s="26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>
      <c r="A168" s="24">
        <v>46163.68672037037</v>
      </c>
      <c r="B168" s="26" t="s">
        <v>81</v>
      </c>
      <c r="C168" s="26" t="s">
        <v>548</v>
      </c>
      <c r="D168" s="27">
        <v>740.0</v>
      </c>
      <c r="E168" s="27">
        <v>224.44478</v>
      </c>
      <c r="F168" s="28">
        <f>IFERROR(__xludf.DUMMYFUNCTION("""COMPUTED_VALUE"""),224.44478)</f>
        <v>224.44478</v>
      </c>
      <c r="G168" s="29"/>
      <c r="H168" s="29"/>
      <c r="I168" s="26"/>
      <c r="J168" s="26"/>
      <c r="K168" s="26"/>
      <c r="L168" s="26"/>
      <c r="M168" s="51"/>
      <c r="N168" s="26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>
      <c r="A169" s="24">
        <v>46164.65367100695</v>
      </c>
      <c r="B169" s="26" t="s">
        <v>444</v>
      </c>
      <c r="C169" s="26" t="s">
        <v>552</v>
      </c>
      <c r="D169" s="27">
        <v>55.0</v>
      </c>
      <c r="E169" s="27">
        <v>19.834000000000003</v>
      </c>
      <c r="F169" s="28">
        <f>IFERROR(__xludf.DUMMYFUNCTION("""COMPUTED_VALUE"""),19.834000000000003)</f>
        <v>19.834</v>
      </c>
      <c r="G169" s="29"/>
      <c r="H169" s="29"/>
      <c r="I169" s="26"/>
      <c r="J169" s="26"/>
      <c r="K169" s="26"/>
      <c r="L169" s="26"/>
      <c r="M169" s="51"/>
      <c r="N169" s="26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>
      <c r="A170" s="24">
        <v>46164.65688746527</v>
      </c>
      <c r="B170" s="26" t="s">
        <v>556</v>
      </c>
      <c r="C170" s="26" t="s">
        <v>557</v>
      </c>
      <c r="D170" s="27">
        <v>595.0</v>
      </c>
      <c r="E170" s="27">
        <v>147.44000000000003</v>
      </c>
      <c r="F170" s="28">
        <f>IFERROR(__xludf.DUMMYFUNCTION("""COMPUTED_VALUE"""),147.44000000000003)</f>
        <v>147.44</v>
      </c>
      <c r="G170" s="29"/>
      <c r="H170" s="29"/>
      <c r="I170" s="26"/>
      <c r="J170" s="26"/>
      <c r="K170" s="26"/>
      <c r="L170" s="26"/>
      <c r="M170" s="51"/>
      <c r="N170" s="26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>
      <c r="A171" s="24">
        <v>46164.67705270833</v>
      </c>
      <c r="B171" s="26" t="s">
        <v>308</v>
      </c>
      <c r="C171" s="26" t="s">
        <v>560</v>
      </c>
      <c r="D171" s="27">
        <v>2150.0</v>
      </c>
      <c r="E171" s="27">
        <v>522.5495599999999</v>
      </c>
      <c r="F171" s="28">
        <f>IFERROR(__xludf.DUMMYFUNCTION("""COMPUTED_VALUE"""),522.5495599999999)</f>
        <v>522.54956</v>
      </c>
      <c r="G171" s="29"/>
      <c r="H171" s="29"/>
      <c r="I171" s="26"/>
      <c r="J171" s="26"/>
      <c r="K171" s="26"/>
      <c r="L171" s="26"/>
      <c r="M171" s="51"/>
      <c r="N171" s="26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>
      <c r="A172" s="24">
        <v>46164.68017103009</v>
      </c>
      <c r="B172" s="26" t="s">
        <v>95</v>
      </c>
      <c r="C172" s="26" t="s">
        <v>564</v>
      </c>
      <c r="D172" s="27">
        <v>1809.0</v>
      </c>
      <c r="E172" s="27">
        <v>457.9840000000001</v>
      </c>
      <c r="F172" s="28">
        <f>IFERROR(__xludf.DUMMYFUNCTION("""COMPUTED_VALUE"""),457.9840000000001)</f>
        <v>457.984</v>
      </c>
      <c r="G172" s="29"/>
      <c r="H172" s="29"/>
      <c r="I172" s="26"/>
      <c r="J172" s="26"/>
      <c r="K172" s="26"/>
      <c r="L172" s="26"/>
      <c r="M172" s="51"/>
      <c r="N172" s="26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>
      <c r="A173" s="24">
        <v>46166.95721944445</v>
      </c>
      <c r="B173" s="26" t="s">
        <v>119</v>
      </c>
      <c r="C173" s="26" t="s">
        <v>567</v>
      </c>
      <c r="D173" s="27">
        <v>1400.0</v>
      </c>
      <c r="E173" s="27">
        <v>773.968</v>
      </c>
      <c r="F173" s="28">
        <f>IFERROR(__xludf.DUMMYFUNCTION("""COMPUTED_VALUE"""),386.984)</f>
        <v>386.984</v>
      </c>
      <c r="G173" s="29"/>
      <c r="H173" s="29"/>
      <c r="I173" s="26"/>
      <c r="J173" s="26"/>
      <c r="K173" s="26"/>
      <c r="L173" s="26"/>
      <c r="M173" s="51"/>
      <c r="N173" s="26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>
      <c r="A174" s="24">
        <v>46170.44907133102</v>
      </c>
      <c r="B174" s="26" t="s">
        <v>113</v>
      </c>
      <c r="C174" s="26" t="s">
        <v>574</v>
      </c>
      <c r="D174" s="27">
        <v>1130.5</v>
      </c>
      <c r="E174" s="27">
        <v>277.826</v>
      </c>
      <c r="F174" s="28">
        <f>IFERROR(__xludf.DUMMYFUNCTION("""COMPUTED_VALUE"""),138.913)</f>
        <v>138.913</v>
      </c>
      <c r="G174" s="29"/>
      <c r="H174" s="29"/>
      <c r="I174" s="26"/>
      <c r="J174" s="26"/>
      <c r="K174" s="26"/>
      <c r="L174" s="26"/>
      <c r="M174" s="51"/>
      <c r="N174" s="26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>
      <c r="A175" s="24">
        <v>46171.5776268287</v>
      </c>
      <c r="B175" s="26" t="s">
        <v>95</v>
      </c>
      <c r="C175" s="26" t="s">
        <v>581</v>
      </c>
      <c r="D175" s="27">
        <v>585.0</v>
      </c>
      <c r="E175" s="27">
        <v>167.27400000000003</v>
      </c>
      <c r="F175" s="28">
        <f>IFERROR(__xludf.DUMMYFUNCTION("""COMPUTED_VALUE"""),167.27400000000003)</f>
        <v>167.274</v>
      </c>
      <c r="G175" s="29"/>
      <c r="H175" s="29"/>
      <c r="I175" s="26"/>
      <c r="J175" s="26"/>
      <c r="K175" s="26"/>
      <c r="L175" s="26"/>
      <c r="M175" s="51"/>
      <c r="N175" s="26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>
      <c r="A176" s="24">
        <v>46171.578646064816</v>
      </c>
      <c r="B176" s="26" t="s">
        <v>95</v>
      </c>
      <c r="C176" s="26" t="s">
        <v>106</v>
      </c>
      <c r="D176" s="27">
        <v>110.0</v>
      </c>
      <c r="E176" s="27">
        <v>30.260000000000005</v>
      </c>
      <c r="F176" s="28">
        <f>IFERROR(__xludf.DUMMYFUNCTION("""COMPUTED_VALUE"""),30.260000000000005)</f>
        <v>30.26</v>
      </c>
      <c r="G176" s="29"/>
      <c r="H176" s="29"/>
      <c r="I176" s="26"/>
      <c r="J176" s="26"/>
      <c r="K176" s="26"/>
      <c r="L176" s="26"/>
      <c r="M176" s="51"/>
      <c r="N176" s="26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>
      <c r="A177" s="24">
        <v>46171.580637060186</v>
      </c>
      <c r="B177" s="26" t="s">
        <v>308</v>
      </c>
      <c r="C177" s="26" t="s">
        <v>592</v>
      </c>
      <c r="D177" s="27">
        <v>1184.0</v>
      </c>
      <c r="E177" s="27">
        <v>262.20912</v>
      </c>
      <c r="F177" s="28">
        <f>IFERROR(__xludf.DUMMYFUNCTION("""COMPUTED_VALUE"""),262.20912)</f>
        <v>262.20912</v>
      </c>
      <c r="G177" s="29"/>
      <c r="H177" s="29"/>
      <c r="I177" s="26"/>
      <c r="J177" s="26"/>
      <c r="K177" s="26"/>
      <c r="L177" s="26"/>
      <c r="M177" s="51"/>
      <c r="N177" s="26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>
      <c r="A178" s="24">
        <v>46176.709743113424</v>
      </c>
      <c r="B178" s="26" t="s">
        <v>321</v>
      </c>
      <c r="C178" s="26" t="s">
        <v>595</v>
      </c>
      <c r="D178" s="27">
        <v>1137.0</v>
      </c>
      <c r="E178" s="27">
        <v>279.6360000000001</v>
      </c>
      <c r="F178" s="28">
        <f>IFERROR(__xludf.DUMMYFUNCTION("""COMPUTED_VALUE"""),279.6360000000001)</f>
        <v>279.636</v>
      </c>
      <c r="G178" s="29"/>
      <c r="H178" s="26" t="s">
        <v>597</v>
      </c>
      <c r="I178" s="26"/>
      <c r="J178" s="26" t="s">
        <v>520</v>
      </c>
      <c r="K178" s="26" t="s">
        <v>598</v>
      </c>
      <c r="L178" s="26"/>
      <c r="M178" s="51"/>
      <c r="N178" s="26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>
      <c r="A179" s="24">
        <v>46176.72143986111</v>
      </c>
      <c r="B179" s="26" t="s">
        <v>73</v>
      </c>
      <c r="C179" s="26" t="s">
        <v>604</v>
      </c>
      <c r="D179" s="27">
        <v>1654.0</v>
      </c>
      <c r="E179" s="27">
        <v>532.008</v>
      </c>
      <c r="F179" s="28">
        <f>IFERROR(__xludf.DUMMYFUNCTION("""COMPUTED_VALUE"""),532.008)</f>
        <v>532.008</v>
      </c>
      <c r="G179" s="29"/>
      <c r="H179" s="29"/>
      <c r="I179" s="26"/>
      <c r="J179" s="26"/>
      <c r="K179" s="26"/>
      <c r="L179" s="26"/>
      <c r="M179" s="51"/>
      <c r="N179" s="26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>
      <c r="A180" s="24">
        <v>46176.918002743056</v>
      </c>
      <c r="B180" s="26" t="s">
        <v>195</v>
      </c>
      <c r="C180" s="26" t="s">
        <v>610</v>
      </c>
      <c r="D180" s="27">
        <v>1170.0</v>
      </c>
      <c r="E180" s="27">
        <v>281.60600000000005</v>
      </c>
      <c r="F180" s="28">
        <f>IFERROR(__xludf.DUMMYFUNCTION("""COMPUTED_VALUE"""),281.60600000000005)</f>
        <v>281.606</v>
      </c>
      <c r="G180" s="29"/>
      <c r="H180" s="29"/>
      <c r="I180" s="26"/>
      <c r="J180" s="26"/>
      <c r="K180" s="26"/>
      <c r="L180" s="26"/>
      <c r="M180" s="51"/>
      <c r="N180" s="26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>
      <c r="A181" s="24">
        <v>46183.550622106486</v>
      </c>
      <c r="B181" s="26" t="s">
        <v>119</v>
      </c>
      <c r="C181" s="26" t="s">
        <v>614</v>
      </c>
      <c r="D181" s="27">
        <v>3838.0</v>
      </c>
      <c r="E181" s="27">
        <v>1313.7060000000001</v>
      </c>
      <c r="F181" s="28">
        <f>IFERROR(__xludf.DUMMYFUNCTION("""COMPUTED_VALUE"""),656.8530000000001)</f>
        <v>656.853</v>
      </c>
      <c r="G181" s="29"/>
      <c r="H181" s="29"/>
      <c r="I181" s="26"/>
      <c r="J181" s="26"/>
      <c r="K181" s="26"/>
      <c r="L181" s="26"/>
      <c r="M181" s="51"/>
      <c r="N181" s="26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>
      <c r="A182" s="24">
        <v>46183.985852349535</v>
      </c>
      <c r="B182" s="26" t="s">
        <v>95</v>
      </c>
      <c r="C182" s="26" t="s">
        <v>617</v>
      </c>
      <c r="D182" s="27">
        <v>340.0</v>
      </c>
      <c r="E182" s="27">
        <v>116.32</v>
      </c>
      <c r="F182" s="28">
        <f>IFERROR(__xludf.DUMMYFUNCTION("""COMPUTED_VALUE"""),116.32)</f>
        <v>116.32</v>
      </c>
      <c r="G182" s="29"/>
      <c r="H182" s="29"/>
      <c r="I182" s="26"/>
      <c r="J182" s="26"/>
      <c r="K182" s="26"/>
      <c r="L182" s="26"/>
      <c r="M182" s="51"/>
      <c r="N182" s="26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>
      <c r="A183" s="24">
        <v>46183.99001662037</v>
      </c>
      <c r="B183" s="26" t="s">
        <v>308</v>
      </c>
      <c r="C183" s="26" t="s">
        <v>620</v>
      </c>
      <c r="D183" s="27">
        <v>910.0</v>
      </c>
      <c r="E183" s="27">
        <v>247.43799999999996</v>
      </c>
      <c r="F183" s="28">
        <f>IFERROR(__xludf.DUMMYFUNCTION("""COMPUTED_VALUE"""),247.43799999999996)</f>
        <v>247.438</v>
      </c>
      <c r="G183" s="29"/>
      <c r="H183" s="29"/>
      <c r="I183" s="26"/>
      <c r="J183" s="26"/>
      <c r="K183" s="26"/>
      <c r="L183" s="26"/>
      <c r="M183" s="51"/>
      <c r="N183" s="26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>
      <c r="A184" s="24">
        <v>46184.4556031713</v>
      </c>
      <c r="B184" s="26" t="s">
        <v>113</v>
      </c>
      <c r="C184" s="26" t="s">
        <v>624</v>
      </c>
      <c r="D184" s="27">
        <v>610.0</v>
      </c>
      <c r="E184" s="27">
        <v>209.34078000000002</v>
      </c>
      <c r="F184" s="28">
        <f>IFERROR(__xludf.DUMMYFUNCTION("""COMPUTED_VALUE"""),104.67039000000001)</f>
        <v>104.67039</v>
      </c>
      <c r="G184" s="29"/>
      <c r="H184" s="29"/>
      <c r="I184" s="26"/>
      <c r="J184" s="26"/>
      <c r="K184" s="26"/>
      <c r="L184" s="26"/>
      <c r="M184" s="51"/>
      <c r="N184" s="26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>
      <c r="A185" s="24">
        <v>46184.71363414352</v>
      </c>
      <c r="B185" s="26" t="s">
        <v>83</v>
      </c>
      <c r="C185" s="26" t="s">
        <v>628</v>
      </c>
      <c r="D185" s="27">
        <v>194.0</v>
      </c>
      <c r="E185" s="27">
        <v>44.25200000000001</v>
      </c>
      <c r="F185" s="28">
        <f>IFERROR(__xludf.DUMMYFUNCTION("""COMPUTED_VALUE"""),44.25200000000001)</f>
        <v>44.252</v>
      </c>
      <c r="G185" s="29"/>
      <c r="H185" s="29"/>
      <c r="I185" s="26"/>
      <c r="J185" s="26"/>
      <c r="K185" s="26"/>
      <c r="L185" s="26"/>
      <c r="M185" s="51"/>
      <c r="N185" s="26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>
      <c r="A186" s="24">
        <v>46185.52113927083</v>
      </c>
      <c r="B186" s="26" t="s">
        <v>556</v>
      </c>
      <c r="C186" s="26" t="s">
        <v>632</v>
      </c>
      <c r="D186" s="27">
        <v>330.0</v>
      </c>
      <c r="E186" s="27">
        <v>90.78000000000002</v>
      </c>
      <c r="F186" s="28">
        <f>IFERROR(__xludf.DUMMYFUNCTION("""COMPUTED_VALUE"""),90.78000000000002)</f>
        <v>90.78</v>
      </c>
      <c r="G186" s="29"/>
      <c r="H186" s="29"/>
      <c r="I186" s="26"/>
      <c r="J186" s="26"/>
      <c r="K186" s="26"/>
      <c r="L186" s="26"/>
      <c r="M186" s="51"/>
      <c r="N186" s="26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>
      <c r="A187" s="24">
        <v>46191.45227359954</v>
      </c>
      <c r="B187" s="26" t="s">
        <v>381</v>
      </c>
      <c r="C187" s="26" t="s">
        <v>637</v>
      </c>
      <c r="D187" s="27">
        <v>330.0</v>
      </c>
      <c r="E187" s="27">
        <v>131.18</v>
      </c>
      <c r="F187" s="28">
        <f>IFERROR(__xludf.DUMMYFUNCTION("""COMPUTED_VALUE"""),131.18)</f>
        <v>131.18</v>
      </c>
      <c r="G187" s="29"/>
      <c r="H187" s="29"/>
      <c r="I187" s="26"/>
      <c r="J187" s="26" t="s">
        <v>520</v>
      </c>
      <c r="K187" s="26" t="s">
        <v>639</v>
      </c>
      <c r="L187" s="26"/>
      <c r="M187" s="51"/>
      <c r="N187" s="26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>
      <c r="A188" s="24">
        <v>46191.66320418981</v>
      </c>
      <c r="B188" s="26" t="s">
        <v>119</v>
      </c>
      <c r="C188" s="26" t="s">
        <v>641</v>
      </c>
      <c r="D188" s="27">
        <v>1968.0</v>
      </c>
      <c r="E188" s="27">
        <v>522.2020000000001</v>
      </c>
      <c r="F188" s="28">
        <f>IFERROR(__xludf.DUMMYFUNCTION("""COMPUTED_VALUE"""),261.10100000000006)</f>
        <v>261.101</v>
      </c>
      <c r="G188" s="29"/>
      <c r="H188" s="29"/>
      <c r="I188" s="26"/>
      <c r="J188" s="26"/>
      <c r="K188" s="26"/>
      <c r="L188" s="26"/>
      <c r="M188" s="51"/>
      <c r="N188" s="26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>
      <c r="A189" s="24">
        <v>46191.66387959491</v>
      </c>
      <c r="B189" s="26" t="s">
        <v>119</v>
      </c>
      <c r="C189" s="26" t="s">
        <v>646</v>
      </c>
      <c r="D189" s="27">
        <v>200.0</v>
      </c>
      <c r="E189" s="27">
        <v>42.639999999999986</v>
      </c>
      <c r="F189" s="28">
        <f>IFERROR(__xludf.DUMMYFUNCTION("""COMPUTED_VALUE"""),21.319999999999993)</f>
        <v>21.32</v>
      </c>
      <c r="G189" s="29"/>
      <c r="H189" s="29"/>
      <c r="I189" s="26"/>
      <c r="J189" s="26"/>
      <c r="K189" s="26"/>
      <c r="L189" s="26"/>
      <c r="M189" s="51"/>
      <c r="N189" s="26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>
      <c r="A190" s="24">
        <v>46191.66523934028</v>
      </c>
      <c r="B190" s="26" t="s">
        <v>95</v>
      </c>
      <c r="C190" s="26" t="s">
        <v>648</v>
      </c>
      <c r="D190" s="27">
        <v>460.0</v>
      </c>
      <c r="E190" s="27">
        <v>100.20200000000001</v>
      </c>
      <c r="F190" s="28">
        <f>IFERROR(__xludf.DUMMYFUNCTION("""COMPUTED_VALUE"""),100.20200000000001)</f>
        <v>100.202</v>
      </c>
      <c r="G190" s="29"/>
      <c r="H190" s="29"/>
      <c r="I190" s="26"/>
      <c r="J190" s="26"/>
      <c r="K190" s="26"/>
      <c r="L190" s="26"/>
      <c r="M190" s="51"/>
      <c r="N190" s="26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>
      <c r="A191" s="24">
        <v>46191.66817881944</v>
      </c>
      <c r="B191" s="26" t="s">
        <v>308</v>
      </c>
      <c r="C191" s="26" t="s">
        <v>652</v>
      </c>
      <c r="D191" s="27">
        <v>410.0</v>
      </c>
      <c r="E191" s="27">
        <v>90.102</v>
      </c>
      <c r="F191" s="28">
        <f>IFERROR(__xludf.DUMMYFUNCTION("""COMPUTED_VALUE"""),90.102)</f>
        <v>90.102</v>
      </c>
      <c r="G191" s="29"/>
      <c r="H191" s="29"/>
      <c r="I191" s="26"/>
      <c r="J191" s="26"/>
      <c r="K191" s="26"/>
      <c r="L191" s="26"/>
      <c r="M191" s="51"/>
      <c r="N191" s="26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>
      <c r="A192" s="24">
        <v>46192.47812678241</v>
      </c>
      <c r="B192" s="26" t="s">
        <v>113</v>
      </c>
      <c r="C192" s="26" t="s">
        <v>655</v>
      </c>
      <c r="D192" s="27">
        <v>285.0</v>
      </c>
      <c r="E192" s="27">
        <v>100.52000000000001</v>
      </c>
      <c r="F192" s="28">
        <f>IFERROR(__xludf.DUMMYFUNCTION("""COMPUTED_VALUE"""),50.260000000000005)</f>
        <v>50.26</v>
      </c>
      <c r="G192" s="29"/>
      <c r="H192" s="29"/>
      <c r="I192" s="26"/>
      <c r="J192" s="26"/>
      <c r="K192" s="26"/>
      <c r="L192" s="26"/>
      <c r="M192" s="51"/>
      <c r="N192" s="26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>
      <c r="A193" s="24">
        <v>46196.713611886575</v>
      </c>
      <c r="B193" s="26" t="s">
        <v>195</v>
      </c>
      <c r="C193" s="26" t="s">
        <v>659</v>
      </c>
      <c r="D193" s="27">
        <v>190.0</v>
      </c>
      <c r="E193" s="27">
        <v>45.31200000000001</v>
      </c>
      <c r="F193" s="28">
        <f>IFERROR(__xludf.DUMMYFUNCTION("""COMPUTED_VALUE"""),45.31200000000001)</f>
        <v>45.312</v>
      </c>
      <c r="G193" s="29"/>
      <c r="H193" s="29"/>
      <c r="I193" s="26"/>
      <c r="J193" s="26"/>
      <c r="K193" s="26"/>
      <c r="L193" s="26"/>
      <c r="M193" s="51"/>
      <c r="N193" s="26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>
      <c r="A194" s="24">
        <v>46196.89307288194</v>
      </c>
      <c r="B194" s="26" t="s">
        <v>496</v>
      </c>
      <c r="C194" s="26" t="s">
        <v>662</v>
      </c>
      <c r="D194" s="27">
        <v>332.0</v>
      </c>
      <c r="E194" s="27">
        <v>70.8233136364911</v>
      </c>
      <c r="F194" s="28">
        <f>IFERROR(__xludf.DUMMYFUNCTION("""COMPUTED_VALUE"""),35.41165681824555)</f>
        <v>35.41165682</v>
      </c>
      <c r="G194" s="29"/>
      <c r="H194" s="29"/>
      <c r="I194" s="26"/>
      <c r="J194" s="26"/>
      <c r="K194" s="26"/>
      <c r="L194" s="26"/>
      <c r="M194" s="51"/>
      <c r="N194" s="26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>
      <c r="A195" s="24">
        <v>46198.541988067125</v>
      </c>
      <c r="B195" s="21" t="s">
        <v>46</v>
      </c>
      <c r="C195" s="26" t="s">
        <v>666</v>
      </c>
      <c r="D195" s="27">
        <v>220.0</v>
      </c>
      <c r="E195" s="27">
        <v>60.52000000000001</v>
      </c>
      <c r="F195" s="28">
        <f>IFERROR(__xludf.DUMMYFUNCTION("""COMPUTED_VALUE"""),60.52000000000001)</f>
        <v>60.52</v>
      </c>
      <c r="G195" s="29"/>
      <c r="H195" s="26">
        <v>332300.0</v>
      </c>
      <c r="I195" s="26"/>
      <c r="J195" s="26" t="s">
        <v>520</v>
      </c>
      <c r="K195" s="26" t="s">
        <v>669</v>
      </c>
      <c r="L195" s="26"/>
      <c r="M195" s="51"/>
      <c r="N195" s="26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>
      <c r="A196" s="24">
        <v>46198.54225912037</v>
      </c>
      <c r="B196" s="26" t="s">
        <v>348</v>
      </c>
      <c r="C196" s="26" t="s">
        <v>670</v>
      </c>
      <c r="D196" s="27">
        <v>190.0</v>
      </c>
      <c r="E196" s="27">
        <v>45.31200000000001</v>
      </c>
      <c r="F196" s="28">
        <f>IFERROR(__xludf.DUMMYFUNCTION("""COMPUTED_VALUE"""),45.31200000000001)</f>
        <v>45.312</v>
      </c>
      <c r="G196" s="29"/>
      <c r="H196" s="29"/>
      <c r="I196" s="26"/>
      <c r="J196" s="26" t="s">
        <v>520</v>
      </c>
      <c r="K196" s="26" t="s">
        <v>673</v>
      </c>
      <c r="L196" s="26"/>
      <c r="M196" s="51"/>
      <c r="N196" s="26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>
      <c r="A197" s="24">
        <v>46199.73025807871</v>
      </c>
      <c r="B197" s="26" t="s">
        <v>51</v>
      </c>
      <c r="C197" s="26" t="s">
        <v>676</v>
      </c>
      <c r="D197" s="27">
        <v>3838.0</v>
      </c>
      <c r="E197" s="27">
        <v>1647.7560799999997</v>
      </c>
      <c r="F197" s="28">
        <f>IFERROR(__xludf.DUMMYFUNCTION("""COMPUTED_VALUE"""),1647.7560799999997)</f>
        <v>1647.75608</v>
      </c>
      <c r="G197" s="29"/>
      <c r="H197" s="29"/>
      <c r="I197" s="26"/>
      <c r="J197" s="26"/>
      <c r="K197" s="26"/>
      <c r="L197" s="26"/>
      <c r="M197" s="51"/>
      <c r="N197" s="26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>
      <c r="A198" s="24">
        <v>46203.45964513889</v>
      </c>
      <c r="B198" s="26" t="s">
        <v>108</v>
      </c>
      <c r="C198" s="26" t="s">
        <v>680</v>
      </c>
      <c r="D198" s="27">
        <v>390.0</v>
      </c>
      <c r="E198" s="27">
        <v>87.05277999999998</v>
      </c>
      <c r="F198" s="28">
        <f>IFERROR(__xludf.DUMMYFUNCTION("""COMPUTED_VALUE"""),87.05277999999998)</f>
        <v>87.05278</v>
      </c>
      <c r="G198" s="29"/>
      <c r="H198" s="29"/>
      <c r="I198" s="26"/>
      <c r="J198" s="26"/>
      <c r="K198" s="26"/>
      <c r="L198" s="26"/>
      <c r="M198" s="51"/>
      <c r="N198" s="26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>
      <c r="A199" s="24">
        <v>46203.476695000005</v>
      </c>
      <c r="B199" s="26" t="s">
        <v>352</v>
      </c>
      <c r="C199" s="26" t="s">
        <v>684</v>
      </c>
      <c r="D199" s="27">
        <v>810.0</v>
      </c>
      <c r="E199" s="27">
        <v>192.816</v>
      </c>
      <c r="F199" s="28">
        <f>IFERROR(__xludf.DUMMYFUNCTION("""COMPUTED_VALUE"""),192.816)</f>
        <v>192.816</v>
      </c>
      <c r="G199" s="29"/>
      <c r="H199" s="26">
        <v>1223100.0</v>
      </c>
      <c r="I199" s="26"/>
      <c r="J199" s="26" t="s">
        <v>520</v>
      </c>
      <c r="K199" s="26" t="s">
        <v>669</v>
      </c>
      <c r="L199" s="26"/>
      <c r="M199" s="51"/>
      <c r="N199" s="26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>
      <c r="A200" s="24">
        <v>46203.506490659725</v>
      </c>
      <c r="B200" s="26" t="s">
        <v>119</v>
      </c>
      <c r="C200" s="26" t="s">
        <v>686</v>
      </c>
      <c r="D200" s="27">
        <v>10012.0</v>
      </c>
      <c r="E200" s="27">
        <v>2232.4820000000004</v>
      </c>
      <c r="F200" s="28">
        <f>IFERROR(__xludf.DUMMYFUNCTION("""COMPUTED_VALUE"""),1116.2410000000002)</f>
        <v>1116.241</v>
      </c>
      <c r="G200" s="29"/>
      <c r="H200" s="26"/>
      <c r="I200" s="26"/>
      <c r="J200" s="26"/>
      <c r="K200" s="26"/>
      <c r="L200" s="26"/>
      <c r="M200" s="51"/>
      <c r="N200" s="26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>
      <c r="A201" s="24">
        <v>46203.509716932866</v>
      </c>
      <c r="B201" s="26" t="s">
        <v>119</v>
      </c>
      <c r="C201" s="26" t="s">
        <v>690</v>
      </c>
      <c r="D201" s="27">
        <v>990.0</v>
      </c>
      <c r="E201" s="27">
        <v>300.58</v>
      </c>
      <c r="F201" s="28">
        <f>IFERROR(__xludf.DUMMYFUNCTION("""COMPUTED_VALUE"""),150.29)</f>
        <v>150.29</v>
      </c>
      <c r="G201" s="29"/>
      <c r="H201" s="26"/>
      <c r="I201" s="26"/>
      <c r="J201" s="26"/>
      <c r="K201" s="26"/>
      <c r="L201" s="26"/>
      <c r="M201" s="51"/>
      <c r="N201" s="26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>
      <c r="A202" s="24">
        <v>46204.938465740735</v>
      </c>
      <c r="B202" s="26" t="s">
        <v>556</v>
      </c>
      <c r="C202" s="26" t="s">
        <v>694</v>
      </c>
      <c r="D202" s="27">
        <v>330.0</v>
      </c>
      <c r="E202" s="27">
        <v>90.78000000000002</v>
      </c>
      <c r="F202" s="28">
        <f>IFERROR(__xludf.DUMMYFUNCTION("""COMPUTED_VALUE"""),90.78000000000002)</f>
        <v>90.78</v>
      </c>
      <c r="G202" s="29"/>
      <c r="H202" s="26"/>
      <c r="I202" s="26"/>
      <c r="J202" s="26"/>
      <c r="K202" s="26"/>
      <c r="L202" s="26"/>
      <c r="M202" s="51"/>
      <c r="N202" s="26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>
      <c r="A203" s="24">
        <v>46204.941453761574</v>
      </c>
      <c r="B203" s="26" t="s">
        <v>321</v>
      </c>
      <c r="C203" s="26" t="s">
        <v>699</v>
      </c>
      <c r="D203" s="27">
        <v>1020.0</v>
      </c>
      <c r="E203" s="27">
        <v>254.30400000000003</v>
      </c>
      <c r="F203" s="28">
        <f>IFERROR(__xludf.DUMMYFUNCTION("""COMPUTED_VALUE"""),254.30400000000003)</f>
        <v>254.304</v>
      </c>
      <c r="G203" s="29"/>
      <c r="H203" s="26"/>
      <c r="I203" s="26"/>
      <c r="J203" s="26" t="s">
        <v>520</v>
      </c>
      <c r="K203" s="26" t="s">
        <v>701</v>
      </c>
      <c r="L203" s="26"/>
      <c r="M203" s="51"/>
      <c r="N203" s="26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>
      <c r="A204" s="24">
        <v>46205.73202814815</v>
      </c>
      <c r="B204" s="26" t="s">
        <v>85</v>
      </c>
      <c r="C204" s="26" t="s">
        <v>704</v>
      </c>
      <c r="D204" s="27">
        <v>1684.0</v>
      </c>
      <c r="E204" s="27">
        <v>432.50269663165994</v>
      </c>
      <c r="F204" s="28">
        <f>IFERROR(__xludf.DUMMYFUNCTION("""COMPUTED_VALUE"""),432.50269663165994)</f>
        <v>432.5026966</v>
      </c>
      <c r="G204" s="29"/>
      <c r="H204" s="26"/>
      <c r="I204" s="26"/>
      <c r="J204" s="26"/>
      <c r="K204" s="26"/>
      <c r="L204" s="26"/>
      <c r="M204" s="51"/>
      <c r="N204" s="26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>
      <c r="A205" s="24">
        <v>46205.94770149306</v>
      </c>
      <c r="B205" s="26" t="s">
        <v>102</v>
      </c>
      <c r="C205" s="26" t="s">
        <v>709</v>
      </c>
      <c r="D205" s="27">
        <v>215.8</v>
      </c>
      <c r="E205" s="27">
        <v>73.126</v>
      </c>
      <c r="F205" s="28">
        <f>IFERROR(__xludf.DUMMYFUNCTION("""COMPUTED_VALUE"""),73.126)</f>
        <v>73.126</v>
      </c>
      <c r="G205" s="29"/>
      <c r="H205" s="26"/>
      <c r="I205" s="26"/>
      <c r="J205" s="26"/>
      <c r="K205" s="26"/>
      <c r="L205" s="26"/>
      <c r="M205" s="51"/>
      <c r="N205" s="26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>
      <c r="A206" s="24">
        <v>46209.39135883102</v>
      </c>
      <c r="B206" s="4" t="s">
        <v>25</v>
      </c>
      <c r="C206" s="26" t="s">
        <v>694</v>
      </c>
      <c r="D206" s="27">
        <v>330.0</v>
      </c>
      <c r="E206" s="27">
        <v>90.78000000000002</v>
      </c>
      <c r="F206" s="28">
        <f>IFERROR(__xludf.DUMMYFUNCTION("""COMPUTED_VALUE"""),90.78000000000002)</f>
        <v>90.78</v>
      </c>
      <c r="G206" s="29"/>
      <c r="H206" s="26"/>
      <c r="I206" s="26"/>
      <c r="J206" s="26"/>
      <c r="K206" s="26"/>
      <c r="L206" s="26"/>
      <c r="M206" s="51"/>
      <c r="N206" s="26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>
      <c r="A207" s="24">
        <v>46210.64257081019</v>
      </c>
      <c r="B207" s="4" t="s">
        <v>119</v>
      </c>
      <c r="C207" s="26" t="s">
        <v>717</v>
      </c>
      <c r="D207" s="27">
        <v>2421.0</v>
      </c>
      <c r="E207" s="27">
        <v>546.07016</v>
      </c>
      <c r="F207" s="28">
        <f>IFERROR(__xludf.DUMMYFUNCTION("""COMPUTED_VALUE"""),273.03508)</f>
        <v>273.03508</v>
      </c>
      <c r="G207" s="29"/>
      <c r="H207" s="26"/>
      <c r="I207" s="26"/>
      <c r="J207" s="26"/>
      <c r="K207" s="26"/>
      <c r="L207" s="26"/>
      <c r="M207" s="51"/>
      <c r="N207" s="26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>
      <c r="A208" s="24">
        <v>46210.66190644676</v>
      </c>
      <c r="B208" s="4" t="s">
        <v>119</v>
      </c>
      <c r="C208" s="26" t="s">
        <v>722</v>
      </c>
      <c r="D208" s="27">
        <v>8709.0</v>
      </c>
      <c r="E208" s="27">
        <v>2392.722</v>
      </c>
      <c r="F208" s="28">
        <f>IFERROR(__xludf.DUMMYFUNCTION("""COMPUTED_VALUE"""),1196.361)</f>
        <v>1196.361</v>
      </c>
      <c r="G208" s="29"/>
      <c r="H208" s="26"/>
      <c r="I208" s="26"/>
      <c r="J208" s="26"/>
      <c r="K208" s="26"/>
      <c r="L208" s="26"/>
      <c r="M208" s="51"/>
      <c r="N208" s="26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>
      <c r="A209" s="24">
        <v>46210.69943743055</v>
      </c>
      <c r="B209" s="4" t="s">
        <v>43</v>
      </c>
      <c r="C209" s="26" t="s">
        <v>725</v>
      </c>
      <c r="D209" s="27">
        <v>2016.0</v>
      </c>
      <c r="E209" s="27">
        <v>456.858</v>
      </c>
      <c r="F209" s="28">
        <f>IFERROR(__xludf.DUMMYFUNCTION("""COMPUTED_VALUE"""),456.858)</f>
        <v>456.858</v>
      </c>
      <c r="G209" s="29"/>
      <c r="H209" s="26"/>
      <c r="I209" s="26"/>
      <c r="J209" s="26"/>
      <c r="K209" s="26"/>
      <c r="L209" s="26"/>
      <c r="M209" s="51"/>
      <c r="N209" s="26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>
      <c r="A210" s="24">
        <v>46210.70009377315</v>
      </c>
      <c r="B210" s="4" t="s">
        <v>43</v>
      </c>
      <c r="C210" s="26" t="s">
        <v>729</v>
      </c>
      <c r="D210" s="27">
        <v>30.0</v>
      </c>
      <c r="E210" s="27">
        <v>12.649999999999999</v>
      </c>
      <c r="F210" s="28">
        <f>IFERROR(__xludf.DUMMYFUNCTION("""COMPUTED_VALUE"""),12.649999999999999)</f>
        <v>12.65</v>
      </c>
      <c r="G210" s="29"/>
      <c r="H210" s="26"/>
      <c r="I210" s="26"/>
      <c r="J210" s="26"/>
      <c r="K210" s="26"/>
      <c r="L210" s="26"/>
      <c r="M210" s="51"/>
      <c r="N210" s="26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>
      <c r="A211" s="24">
        <v>46210.71191604166</v>
      </c>
      <c r="B211" s="4" t="s">
        <v>43</v>
      </c>
      <c r="C211" s="26" t="s">
        <v>732</v>
      </c>
      <c r="D211" s="27">
        <v>170.0</v>
      </c>
      <c r="E211" s="27">
        <v>64.38</v>
      </c>
      <c r="F211" s="28">
        <f>IFERROR(__xludf.DUMMYFUNCTION("""COMPUTED_VALUE"""),64.38)</f>
        <v>64.38</v>
      </c>
      <c r="G211" s="29"/>
      <c r="H211" s="26"/>
      <c r="I211" s="26"/>
      <c r="J211" s="26"/>
      <c r="K211" s="26"/>
      <c r="L211" s="26"/>
      <c r="M211" s="51"/>
      <c r="N211" s="26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>
      <c r="A212" s="24">
        <v>46210.78553421296</v>
      </c>
      <c r="B212" s="4" t="s">
        <v>95</v>
      </c>
      <c r="C212" s="26" t="s">
        <v>738</v>
      </c>
      <c r="D212" s="27">
        <v>12445.0</v>
      </c>
      <c r="E212" s="27">
        <v>2854.2880000000005</v>
      </c>
      <c r="F212" s="28">
        <f>IFERROR(__xludf.DUMMYFUNCTION("""COMPUTED_VALUE"""),2854.2880000000005)</f>
        <v>2854.288</v>
      </c>
      <c r="G212" s="29"/>
      <c r="H212" s="26"/>
      <c r="I212" s="26"/>
      <c r="J212" s="26"/>
      <c r="K212" s="26"/>
      <c r="L212" s="26"/>
      <c r="M212" s="51"/>
      <c r="N212" s="26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>
      <c r="A213" s="24">
        <v>46210.792417488425</v>
      </c>
      <c r="B213" s="4" t="s">
        <v>308</v>
      </c>
      <c r="C213" s="26" t="s">
        <v>742</v>
      </c>
      <c r="D213" s="27">
        <v>1225.0</v>
      </c>
      <c r="E213" s="27">
        <v>362.32408</v>
      </c>
      <c r="F213" s="28">
        <f>IFERROR(__xludf.DUMMYFUNCTION("""COMPUTED_VALUE"""),362.32408)</f>
        <v>362.32408</v>
      </c>
      <c r="G213" s="29"/>
      <c r="H213" s="26"/>
      <c r="I213" s="26"/>
      <c r="J213" s="26"/>
      <c r="K213" s="26"/>
      <c r="L213" s="26"/>
      <c r="M213" s="51"/>
      <c r="N213" s="26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>
      <c r="A214" s="24">
        <v>46210.79332670139</v>
      </c>
      <c r="B214" s="4" t="s">
        <v>308</v>
      </c>
      <c r="C214" s="26" t="s">
        <v>745</v>
      </c>
      <c r="D214" s="27">
        <v>222.0</v>
      </c>
      <c r="E214" s="27">
        <v>54.072</v>
      </c>
      <c r="F214" s="28">
        <f>IFERROR(__xludf.DUMMYFUNCTION("""COMPUTED_VALUE"""),54.072)</f>
        <v>54.072</v>
      </c>
      <c r="G214" s="29"/>
      <c r="H214" s="26"/>
      <c r="I214" s="26"/>
      <c r="J214" s="26"/>
      <c r="K214" s="26"/>
      <c r="L214" s="26"/>
      <c r="M214" s="51"/>
      <c r="N214" s="26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>
      <c r="A215" s="24">
        <v>46211.3673184375</v>
      </c>
      <c r="B215" s="4" t="s">
        <v>750</v>
      </c>
      <c r="C215" s="26" t="s">
        <v>751</v>
      </c>
      <c r="D215" s="27">
        <v>195.0</v>
      </c>
      <c r="E215" s="27">
        <v>67.378</v>
      </c>
      <c r="F215" s="28">
        <f>IFERROR(__xludf.DUMMYFUNCTION("""COMPUTED_VALUE"""),67.378)</f>
        <v>67.378</v>
      </c>
      <c r="G215" s="29"/>
      <c r="H215" s="26"/>
      <c r="I215" s="26"/>
      <c r="J215" s="26" t="s">
        <v>520</v>
      </c>
      <c r="K215" s="26" t="s">
        <v>754</v>
      </c>
      <c r="L215" s="26"/>
      <c r="M215" s="51"/>
      <c r="N215" s="26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>
      <c r="A216" s="24">
        <v>46211.77435040509</v>
      </c>
      <c r="B216" s="4" t="s">
        <v>73</v>
      </c>
      <c r="C216" s="26" t="s">
        <v>758</v>
      </c>
      <c r="D216" s="27">
        <v>3423.0</v>
      </c>
      <c r="E216" s="27">
        <v>1355.1993483158299</v>
      </c>
      <c r="F216" s="28">
        <f>IFERROR(__xludf.DUMMYFUNCTION("""COMPUTED_VALUE"""),1355.1993483158299)</f>
        <v>1355.199348</v>
      </c>
      <c r="G216" s="29"/>
      <c r="H216" s="26"/>
      <c r="I216" s="26"/>
      <c r="J216" s="26"/>
      <c r="K216" s="26"/>
      <c r="L216" s="26"/>
      <c r="M216" s="51"/>
      <c r="N216" s="26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>
      <c r="A217" s="24">
        <v>46214.704208344905</v>
      </c>
      <c r="B217" s="4" t="s">
        <v>195</v>
      </c>
      <c r="C217" s="26" t="s">
        <v>763</v>
      </c>
      <c r="D217" s="27">
        <v>1200.0</v>
      </c>
      <c r="E217" s="27">
        <v>279.86</v>
      </c>
      <c r="F217" s="28">
        <f>IFERROR(__xludf.DUMMYFUNCTION("""COMPUTED_VALUE"""),279.86)</f>
        <v>279.86</v>
      </c>
      <c r="G217" s="29"/>
      <c r="H217" s="26"/>
      <c r="I217" s="26"/>
      <c r="J217" s="26"/>
      <c r="K217" s="26"/>
      <c r="L217" s="26"/>
      <c r="M217" s="51"/>
      <c r="N217" s="26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>
      <c r="A218" s="24">
        <v>46216.47186788195</v>
      </c>
      <c r="B218" s="4" t="s">
        <v>770</v>
      </c>
      <c r="C218" s="26" t="s">
        <v>774</v>
      </c>
      <c r="D218" s="27">
        <v>400.0</v>
      </c>
      <c r="E218" s="27">
        <v>80.602</v>
      </c>
      <c r="F218" s="28">
        <f>IFERROR(__xludf.DUMMYFUNCTION("""COMPUTED_VALUE"""),80.602)</f>
        <v>80.602</v>
      </c>
      <c r="G218" s="29"/>
      <c r="H218" s="26"/>
      <c r="I218" s="26"/>
      <c r="J218" s="26"/>
      <c r="K218" s="26"/>
      <c r="L218" s="26"/>
      <c r="M218" s="51"/>
      <c r="N218" s="26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>
      <c r="A219" s="24">
        <v>46224.486922372686</v>
      </c>
      <c r="B219" s="4" t="s">
        <v>95</v>
      </c>
      <c r="C219" s="26" t="s">
        <v>791</v>
      </c>
      <c r="D219" s="27">
        <v>1254.0</v>
      </c>
      <c r="E219" s="27">
        <v>466.71501000000006</v>
      </c>
      <c r="F219" s="28">
        <f>IFERROR(__xludf.DUMMYFUNCTION("""COMPUTED_VALUE"""),466.71501000000006)</f>
        <v>466.71501</v>
      </c>
      <c r="G219" s="29"/>
      <c r="H219" s="26"/>
      <c r="I219" s="26"/>
      <c r="J219" s="26"/>
      <c r="K219" s="26"/>
      <c r="L219" s="26"/>
      <c r="M219" s="51"/>
      <c r="N219" s="26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>
      <c r="A220" s="24">
        <v>46224.48717997685</v>
      </c>
      <c r="B220" s="4" t="s">
        <v>95</v>
      </c>
      <c r="C220" s="26" t="s">
        <v>797</v>
      </c>
      <c r="D220" s="27">
        <v>441.0</v>
      </c>
      <c r="E220" s="27">
        <v>40.0275</v>
      </c>
      <c r="F220" s="28">
        <f>IFERROR(__xludf.DUMMYFUNCTION("""COMPUTED_VALUE"""),40.0275)</f>
        <v>40.0275</v>
      </c>
      <c r="G220" s="29"/>
      <c r="H220" s="26"/>
      <c r="I220" s="26"/>
      <c r="J220" s="26"/>
      <c r="K220" s="26"/>
      <c r="L220" s="26"/>
      <c r="M220" s="51"/>
      <c r="N220" s="26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>
      <c r="A221" s="24">
        <v>46224.49322230324</v>
      </c>
      <c r="B221" s="4" t="s">
        <v>308</v>
      </c>
      <c r="C221" s="26" t="s">
        <v>800</v>
      </c>
      <c r="D221" s="27">
        <v>755.0</v>
      </c>
      <c r="E221" s="27">
        <v>224.67399000000003</v>
      </c>
      <c r="F221" s="28">
        <f>IFERROR(__xludf.DUMMYFUNCTION("""COMPUTED_VALUE"""),224.67399000000003)</f>
        <v>224.67399</v>
      </c>
      <c r="G221" s="29"/>
      <c r="H221" s="26"/>
      <c r="I221" s="26"/>
      <c r="J221" s="26"/>
      <c r="K221" s="26"/>
      <c r="L221" s="26"/>
      <c r="M221" s="51"/>
      <c r="N221" s="26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>
      <c r="A222" s="24">
        <v>46224.51148100694</v>
      </c>
      <c r="B222" s="4" t="s">
        <v>119</v>
      </c>
      <c r="C222" s="26" t="s">
        <v>805</v>
      </c>
      <c r="D222" s="27">
        <v>7585.0</v>
      </c>
      <c r="E222" s="27">
        <v>2196.537960000001</v>
      </c>
      <c r="F222" s="28">
        <f>IFERROR(__xludf.DUMMYFUNCTION("""COMPUTED_VALUE"""),1098.2689800000005)</f>
        <v>1098.26898</v>
      </c>
      <c r="G222" s="29"/>
      <c r="H222" s="26"/>
      <c r="I222" s="26"/>
      <c r="J222" s="26"/>
      <c r="K222" s="26"/>
      <c r="L222" s="26"/>
      <c r="M222" s="51"/>
      <c r="N222" s="26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>
      <c r="A223" s="24">
        <v>46224.51991461805</v>
      </c>
      <c r="B223" s="4" t="s">
        <v>119</v>
      </c>
      <c r="C223" s="26" t="s">
        <v>810</v>
      </c>
      <c r="D223" s="27">
        <v>184.0</v>
      </c>
      <c r="E223" s="27">
        <v>17.07932126696832</v>
      </c>
      <c r="F223" s="28">
        <f>IFERROR(__xludf.DUMMYFUNCTION("""COMPUTED_VALUE"""),8.53966063348416)</f>
        <v>8.539660633</v>
      </c>
      <c r="G223" s="29"/>
      <c r="H223" s="26"/>
      <c r="I223" s="26"/>
      <c r="J223" s="26"/>
      <c r="K223" s="26"/>
      <c r="L223" s="26"/>
      <c r="M223" s="51"/>
      <c r="N223" s="26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>
      <c r="A224" s="24">
        <v>46224.545464930554</v>
      </c>
      <c r="B224" s="4" t="s">
        <v>367</v>
      </c>
      <c r="C224" s="26" t="s">
        <v>815</v>
      </c>
      <c r="D224" s="27">
        <v>260.0</v>
      </c>
      <c r="E224" s="27">
        <v>160.0</v>
      </c>
      <c r="F224" s="28">
        <f>IFERROR(__xludf.DUMMYFUNCTION("""COMPUTED_VALUE"""),160.0)</f>
        <v>160</v>
      </c>
      <c r="G224" s="29"/>
      <c r="H224" s="26"/>
      <c r="I224" s="26"/>
      <c r="J224" s="26" t="s">
        <v>520</v>
      </c>
      <c r="K224" s="26" t="s">
        <v>818</v>
      </c>
      <c r="L224" s="26"/>
      <c r="M224" s="51"/>
      <c r="N224" s="26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>
      <c r="A225" s="24">
        <v>46224.58329664352</v>
      </c>
      <c r="B225" s="4" t="s">
        <v>195</v>
      </c>
      <c r="C225" s="26" t="s">
        <v>822</v>
      </c>
      <c r="D225" s="27">
        <v>700.0</v>
      </c>
      <c r="E225" s="27">
        <v>103.55740000000003</v>
      </c>
      <c r="F225" s="28">
        <f>IFERROR(__xludf.DUMMYFUNCTION("""COMPUTED_VALUE"""),103.55740000000003)</f>
        <v>103.5574</v>
      </c>
      <c r="G225" s="29"/>
      <c r="H225" s="26"/>
      <c r="I225" s="26"/>
      <c r="J225" s="26"/>
      <c r="K225" s="26"/>
      <c r="L225" s="26"/>
      <c r="M225" s="51"/>
      <c r="N225" s="26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>
      <c r="A226" s="24">
        <v>46224.64814820602</v>
      </c>
      <c r="B226" s="4" t="s">
        <v>51</v>
      </c>
      <c r="C226" s="26" t="s">
        <v>827</v>
      </c>
      <c r="D226" s="27">
        <v>6058.0</v>
      </c>
      <c r="E226" s="27">
        <v>1500.2948400000005</v>
      </c>
      <c r="F226" s="28">
        <f>IFERROR(__xludf.DUMMYFUNCTION("""COMPUTED_VALUE"""),1500.2948400000005)</f>
        <v>1500.29484</v>
      </c>
      <c r="G226" s="29"/>
      <c r="H226" s="26"/>
      <c r="I226" s="26"/>
      <c r="J226" s="26"/>
      <c r="K226" s="26"/>
      <c r="L226" s="26"/>
      <c r="M226" s="51"/>
      <c r="N226" s="26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>
      <c r="A227" s="24">
        <v>46225.56361197917</v>
      </c>
      <c r="B227" s="4" t="s">
        <v>352</v>
      </c>
      <c r="C227" s="26" t="s">
        <v>831</v>
      </c>
      <c r="D227" s="27">
        <v>145.0</v>
      </c>
      <c r="E227" s="27">
        <v>46.808</v>
      </c>
      <c r="F227" s="28">
        <f>IFERROR(__xludf.DUMMYFUNCTION("""COMPUTED_VALUE"""),46.808)</f>
        <v>46.808</v>
      </c>
      <c r="G227" s="29"/>
      <c r="H227" s="26"/>
      <c r="I227" s="26"/>
      <c r="J227" s="26" t="s">
        <v>514</v>
      </c>
      <c r="K227" s="26" t="s">
        <v>833</v>
      </c>
      <c r="L227" s="26"/>
      <c r="M227" s="51"/>
      <c r="N227" s="26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>
      <c r="A228" s="24">
        <v>46225.663124004626</v>
      </c>
      <c r="B228" s="4" t="s">
        <v>95</v>
      </c>
      <c r="C228" s="26" t="s">
        <v>836</v>
      </c>
      <c r="D228" s="27">
        <v>3233.0</v>
      </c>
      <c r="E228" s="27">
        <v>904.3179758371042</v>
      </c>
      <c r="F228" s="28">
        <f>IFERROR(__xludf.DUMMYFUNCTION("""COMPUTED_VALUE"""),904.3179758371042)</f>
        <v>904.3179758</v>
      </c>
      <c r="G228" s="29"/>
      <c r="H228" s="26"/>
      <c r="I228" s="26"/>
      <c r="J228" s="26"/>
      <c r="K228" s="26"/>
      <c r="L228" s="26"/>
      <c r="M228" s="51"/>
      <c r="N228" s="26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>
      <c r="A229" s="24">
        <v>46226.66978553241</v>
      </c>
      <c r="B229" s="4" t="s">
        <v>195</v>
      </c>
      <c r="C229" s="26" t="s">
        <v>838</v>
      </c>
      <c r="D229" s="27">
        <v>2050.0</v>
      </c>
      <c r="E229" s="27">
        <v>322.85350000000005</v>
      </c>
      <c r="F229" s="28">
        <f>IFERROR(__xludf.DUMMYFUNCTION("""COMPUTED_VALUE"""),322.85350000000005)</f>
        <v>322.8535</v>
      </c>
      <c r="G229" s="29"/>
      <c r="H229" s="26"/>
      <c r="I229" s="26"/>
      <c r="J229" s="26"/>
      <c r="K229" s="26"/>
      <c r="L229" s="26"/>
      <c r="M229" s="51"/>
      <c r="N229" s="26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>
      <c r="A230" s="24">
        <v>46227.565137337966</v>
      </c>
      <c r="B230" s="4" t="s">
        <v>371</v>
      </c>
      <c r="C230" s="26" t="s">
        <v>841</v>
      </c>
      <c r="D230" s="27">
        <v>1173.0</v>
      </c>
      <c r="E230" s="27">
        <v>247.73610000000005</v>
      </c>
      <c r="F230" s="28">
        <f>IFERROR(__xludf.DUMMYFUNCTION("""COMPUTED_VALUE"""),247.73610000000005)</f>
        <v>247.7361</v>
      </c>
      <c r="G230" s="29"/>
      <c r="H230" s="26"/>
      <c r="I230" s="26"/>
      <c r="J230" s="26" t="s">
        <v>520</v>
      </c>
      <c r="K230" s="26" t="s">
        <v>843</v>
      </c>
      <c r="L230" s="26"/>
      <c r="M230" s="51"/>
      <c r="N230" s="26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>
      <c r="A231" s="24">
        <v>46227.69139172454</v>
      </c>
      <c r="B231" s="4" t="s">
        <v>195</v>
      </c>
      <c r="C231" s="26" t="s">
        <v>846</v>
      </c>
      <c r="D231" s="27">
        <v>3240.0</v>
      </c>
      <c r="E231" s="27">
        <v>668.0288800000001</v>
      </c>
      <c r="F231" s="28">
        <f>IFERROR(__xludf.DUMMYFUNCTION("""COMPUTED_VALUE"""),668.0288800000001)</f>
        <v>668.02888</v>
      </c>
      <c r="G231" s="29"/>
      <c r="H231" s="26"/>
      <c r="I231" s="26"/>
      <c r="J231" s="26"/>
      <c r="K231" s="26"/>
      <c r="L231" s="26"/>
      <c r="M231" s="51"/>
      <c r="N231" s="26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>
      <c r="A232" s="24">
        <v>46228.39590101852</v>
      </c>
      <c r="B232" s="4" t="s">
        <v>119</v>
      </c>
      <c r="C232" s="26" t="s">
        <v>848</v>
      </c>
      <c r="D232" s="27">
        <v>5986.0</v>
      </c>
      <c r="E232" s="27">
        <v>1133.93262</v>
      </c>
      <c r="F232" s="28">
        <f>IFERROR(__xludf.DUMMYFUNCTION("""COMPUTED_VALUE"""),566.96631)</f>
        <v>566.96631</v>
      </c>
      <c r="G232" s="29"/>
      <c r="H232" s="26"/>
      <c r="I232" s="26"/>
      <c r="J232" s="26"/>
      <c r="K232" s="26"/>
      <c r="L232" s="26"/>
      <c r="M232" s="51"/>
      <c r="N232" s="26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>
      <c r="A233" s="24">
        <v>46228.39667952547</v>
      </c>
      <c r="B233" s="4" t="s">
        <v>119</v>
      </c>
      <c r="C233" s="26" t="s">
        <v>850</v>
      </c>
      <c r="D233" s="27">
        <v>960.0</v>
      </c>
      <c r="E233" s="27">
        <v>321.696</v>
      </c>
      <c r="F233" s="28">
        <f>IFERROR(__xludf.DUMMYFUNCTION("""COMPUTED_VALUE"""),160.848)</f>
        <v>160.848</v>
      </c>
      <c r="G233" s="29"/>
      <c r="H233" s="26"/>
      <c r="I233" s="26"/>
      <c r="J233" s="26"/>
      <c r="K233" s="26"/>
      <c r="L233" s="26"/>
      <c r="M233" s="51"/>
      <c r="N233" s="26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>
      <c r="A234" s="24">
        <v>46228.40393230324</v>
      </c>
      <c r="B234" s="4" t="s">
        <v>95</v>
      </c>
      <c r="C234" s="26" t="s">
        <v>852</v>
      </c>
      <c r="D234" s="27">
        <v>5115.0</v>
      </c>
      <c r="E234" s="27">
        <v>1198.3038999999999</v>
      </c>
      <c r="F234" s="28">
        <f>IFERROR(__xludf.DUMMYFUNCTION("""COMPUTED_VALUE"""),1198.3038999999999)</f>
        <v>1198.3039</v>
      </c>
      <c r="G234" s="29"/>
      <c r="H234" s="26"/>
      <c r="I234" s="26"/>
      <c r="J234" s="26"/>
      <c r="K234" s="26"/>
      <c r="L234" s="26"/>
      <c r="M234" s="51"/>
      <c r="N234" s="26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>
      <c r="A235" s="24">
        <v>46228.41644241898</v>
      </c>
      <c r="B235" s="4" t="s">
        <v>111</v>
      </c>
      <c r="C235" s="26" t="s">
        <v>855</v>
      </c>
      <c r="D235" s="27">
        <v>4055.0</v>
      </c>
      <c r="E235" s="27">
        <v>869.68975</v>
      </c>
      <c r="F235" s="28">
        <f>IFERROR(__xludf.DUMMYFUNCTION("""COMPUTED_VALUE"""),434.844875)</f>
        <v>434.844875</v>
      </c>
      <c r="G235" s="29"/>
      <c r="H235" s="26"/>
      <c r="I235" s="26"/>
      <c r="J235" s="26"/>
      <c r="K235" s="26"/>
      <c r="L235" s="26"/>
      <c r="M235" s="51"/>
      <c r="N235" s="26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>
      <c r="A236" s="24">
        <v>46228.41806815972</v>
      </c>
      <c r="B236" s="4" t="s">
        <v>857</v>
      </c>
      <c r="C236" s="26" t="s">
        <v>858</v>
      </c>
      <c r="D236" s="27">
        <v>85.0</v>
      </c>
      <c r="E236" s="27">
        <v>33.41566</v>
      </c>
      <c r="F236" s="28">
        <f>IFERROR(__xludf.DUMMYFUNCTION("""COMPUTED_VALUE"""),33.41566)</f>
        <v>33.41566</v>
      </c>
      <c r="G236" s="29"/>
      <c r="H236" s="26"/>
      <c r="I236" s="26"/>
      <c r="J236" s="26"/>
      <c r="K236" s="26"/>
      <c r="L236" s="26"/>
      <c r="M236" s="51"/>
      <c r="N236" s="26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>
      <c r="A237" s="24">
        <v>46228.61995699074</v>
      </c>
      <c r="B237" s="4" t="s">
        <v>51</v>
      </c>
      <c r="C237" s="26" t="s">
        <v>861</v>
      </c>
      <c r="D237" s="27">
        <v>1620.0</v>
      </c>
      <c r="E237" s="27">
        <v>370.2349199999999</v>
      </c>
      <c r="F237" s="28">
        <f>IFERROR(__xludf.DUMMYFUNCTION("""COMPUTED_VALUE"""),370.2349199999999)</f>
        <v>370.23492</v>
      </c>
      <c r="G237" s="29"/>
      <c r="H237" s="26"/>
      <c r="I237" s="26"/>
      <c r="J237" s="26"/>
      <c r="K237" s="26"/>
      <c r="L237" s="26"/>
      <c r="M237" s="51"/>
      <c r="N237" s="26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>
      <c r="A238" s="24">
        <v>46234.33896864583</v>
      </c>
      <c r="B238" s="4" t="s">
        <v>255</v>
      </c>
      <c r="C238" s="26" t="s">
        <v>863</v>
      </c>
      <c r="D238" s="27">
        <v>350.0</v>
      </c>
      <c r="E238" s="27">
        <v>51.778700000000015</v>
      </c>
      <c r="F238" s="28">
        <f>IFERROR(__xludf.DUMMYFUNCTION("""COMPUTED_VALUE"""),51.778700000000015)</f>
        <v>51.7787</v>
      </c>
      <c r="G238" s="29"/>
      <c r="H238" s="26"/>
      <c r="I238" s="26"/>
      <c r="J238" s="26"/>
      <c r="K238" s="26"/>
      <c r="L238" s="26"/>
      <c r="M238" s="51"/>
      <c r="N238" s="26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>
      <c r="A239" s="24">
        <v>46234.34074679398</v>
      </c>
      <c r="B239" s="4" t="s">
        <v>195</v>
      </c>
      <c r="C239" s="26" t="s">
        <v>865</v>
      </c>
      <c r="D239" s="27">
        <v>2960.0</v>
      </c>
      <c r="E239" s="27">
        <v>498.13886000000014</v>
      </c>
      <c r="F239" s="28">
        <f>IFERROR(__xludf.DUMMYFUNCTION("""COMPUTED_VALUE"""),498.13886000000014)</f>
        <v>498.13886</v>
      </c>
      <c r="G239" s="29"/>
      <c r="H239" s="26"/>
      <c r="I239" s="26"/>
      <c r="J239" s="26"/>
      <c r="K239" s="26"/>
      <c r="L239" s="26"/>
      <c r="M239" s="51"/>
      <c r="N239" s="26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>
      <c r="A240" s="24">
        <v>46234.87849180556</v>
      </c>
      <c r="B240" s="4" t="s">
        <v>195</v>
      </c>
      <c r="C240" s="26" t="s">
        <v>867</v>
      </c>
      <c r="D240" s="27">
        <v>1470.0</v>
      </c>
      <c r="E240" s="27">
        <v>349.8212700000001</v>
      </c>
      <c r="F240" s="28">
        <f>IFERROR(__xludf.DUMMYFUNCTION("""COMPUTED_VALUE"""),349.8212700000001)</f>
        <v>349.82127</v>
      </c>
      <c r="G240" s="29"/>
      <c r="H240" s="26"/>
      <c r="I240" s="26"/>
      <c r="J240" s="26"/>
      <c r="K240" s="26"/>
      <c r="L240" s="26"/>
      <c r="M240" s="51"/>
      <c r="N240" s="26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>
      <c r="A241" s="24">
        <v>46237.5199325</v>
      </c>
      <c r="B241" s="4" t="s">
        <v>368</v>
      </c>
      <c r="C241" s="26" t="s">
        <v>868</v>
      </c>
      <c r="D241" s="27">
        <v>1648.0</v>
      </c>
      <c r="E241" s="27">
        <v>320.27626887722</v>
      </c>
      <c r="F241" s="28">
        <f>IFERROR(__xludf.DUMMYFUNCTION("""COMPUTED_VALUE"""),320.27626887722)</f>
        <v>320.2762689</v>
      </c>
      <c r="G241" s="29"/>
      <c r="H241" s="26"/>
      <c r="I241" s="26"/>
      <c r="J241" s="26" t="s">
        <v>520</v>
      </c>
      <c r="K241" s="26" t="s">
        <v>870</v>
      </c>
      <c r="L241" s="26"/>
      <c r="M241" s="51"/>
      <c r="N241" s="26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>
      <c r="A242" s="24">
        <v>46237.52281260416</v>
      </c>
      <c r="B242" s="4" t="s">
        <v>195</v>
      </c>
      <c r="C242" s="26" t="s">
        <v>872</v>
      </c>
      <c r="D242" s="27">
        <v>1100.0</v>
      </c>
      <c r="E242" s="27">
        <v>179.51638000000003</v>
      </c>
      <c r="F242" s="28">
        <f>IFERROR(__xludf.DUMMYFUNCTION("""COMPUTED_VALUE"""),179.51638000000003)</f>
        <v>179.51638</v>
      </c>
      <c r="G242" s="29"/>
      <c r="H242" s="26"/>
      <c r="I242" s="26"/>
      <c r="J242" s="26"/>
      <c r="K242" s="26"/>
      <c r="L242" s="26"/>
      <c r="M242" s="51"/>
      <c r="N242" s="26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>
      <c r="A243" s="24">
        <v>46237.83157892361</v>
      </c>
      <c r="B243" s="4" t="s">
        <v>857</v>
      </c>
      <c r="C243" s="26" t="s">
        <v>875</v>
      </c>
      <c r="D243" s="27">
        <v>2770.0</v>
      </c>
      <c r="E243" s="27">
        <v>901.9388</v>
      </c>
      <c r="F243" s="28">
        <f>IFERROR(__xludf.DUMMYFUNCTION("""COMPUTED_VALUE"""),901.9388)</f>
        <v>901.9388</v>
      </c>
      <c r="G243" s="29"/>
      <c r="H243" s="26"/>
      <c r="I243" s="26"/>
      <c r="J243" s="26"/>
      <c r="K243" s="26"/>
      <c r="L243" s="26"/>
      <c r="M243" s="51"/>
      <c r="N243" s="26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>
      <c r="A244" s="24">
        <v>46238.41461115741</v>
      </c>
      <c r="B244" s="4" t="s">
        <v>72</v>
      </c>
      <c r="C244" s="26" t="s">
        <v>881</v>
      </c>
      <c r="D244" s="27">
        <v>240.0</v>
      </c>
      <c r="E244" s="27">
        <v>49.24468999999999</v>
      </c>
      <c r="F244" s="28">
        <f>IFERROR(__xludf.DUMMYFUNCTION("""COMPUTED_VALUE"""),49.24468999999999)</f>
        <v>49.24469</v>
      </c>
      <c r="G244" s="29"/>
      <c r="H244" s="26"/>
      <c r="I244" s="26"/>
      <c r="J244" s="26" t="s">
        <v>520</v>
      </c>
      <c r="K244" s="26" t="s">
        <v>882</v>
      </c>
      <c r="L244" s="26"/>
      <c r="M244" s="51"/>
      <c r="N244" s="26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>
      <c r="A245" s="24">
        <v>46238.511052800925</v>
      </c>
      <c r="B245" s="4" t="s">
        <v>73</v>
      </c>
      <c r="C245" s="26" t="s">
        <v>883</v>
      </c>
      <c r="D245" s="27">
        <v>4951.0</v>
      </c>
      <c r="E245" s="27">
        <v>1163.5246700000005</v>
      </c>
      <c r="F245" s="28">
        <f>IFERROR(__xludf.DUMMYFUNCTION("""COMPUTED_VALUE"""),1163.5246700000005)</f>
        <v>1163.52467</v>
      </c>
      <c r="G245" s="29"/>
      <c r="H245" s="26"/>
      <c r="I245" s="26"/>
      <c r="J245" s="26"/>
      <c r="K245" s="26"/>
      <c r="L245" s="26"/>
      <c r="M245" s="51"/>
      <c r="N245" s="26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>
      <c r="A246" s="24">
        <v>46238.51557577546</v>
      </c>
      <c r="B246" s="4" t="s">
        <v>884</v>
      </c>
      <c r="C246" s="26" t="s">
        <v>885</v>
      </c>
      <c r="D246" s="27">
        <v>595.0</v>
      </c>
      <c r="E246" s="27">
        <v>154.03159</v>
      </c>
      <c r="F246" s="28">
        <f>IFERROR(__xludf.DUMMYFUNCTION("""COMPUTED_VALUE"""),154.03159)</f>
        <v>154.03159</v>
      </c>
      <c r="G246" s="29"/>
      <c r="H246" s="26"/>
      <c r="I246" s="26"/>
      <c r="J246" s="26"/>
      <c r="K246" s="26"/>
      <c r="L246" s="26"/>
      <c r="M246" s="51"/>
      <c r="N246" s="26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>
      <c r="A247" s="24">
        <v>46238.51717708333</v>
      </c>
      <c r="B247" s="4" t="s">
        <v>884</v>
      </c>
      <c r="C247" s="26" t="s">
        <v>226</v>
      </c>
      <c r="D247" s="27">
        <v>200.0</v>
      </c>
      <c r="E247" s="27">
        <v>33.31898000000001</v>
      </c>
      <c r="F247" s="28">
        <f>IFERROR(__xludf.DUMMYFUNCTION("""COMPUTED_VALUE"""),33.31898000000001)</f>
        <v>33.31898</v>
      </c>
      <c r="G247" s="29"/>
      <c r="H247" s="26"/>
      <c r="I247" s="26"/>
      <c r="J247" s="26"/>
      <c r="K247" s="26"/>
      <c r="L247" s="26"/>
      <c r="M247" s="51"/>
      <c r="N247" s="26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>
      <c r="A248" s="24">
        <v>46238.540006979165</v>
      </c>
      <c r="B248" s="4" t="s">
        <v>884</v>
      </c>
      <c r="C248" s="26" t="s">
        <v>886</v>
      </c>
      <c r="D248" s="27">
        <v>30.0</v>
      </c>
      <c r="E248" s="27">
        <v>9.93</v>
      </c>
      <c r="F248" s="28">
        <f>IFERROR(__xludf.DUMMYFUNCTION("""COMPUTED_VALUE"""),9.93)</f>
        <v>9.93</v>
      </c>
      <c r="G248" s="29"/>
      <c r="H248" s="26"/>
      <c r="I248" s="26"/>
      <c r="J248" s="26"/>
      <c r="K248" s="26"/>
      <c r="L248" s="26"/>
      <c r="M248" s="51"/>
      <c r="N248" s="26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>
      <c r="A249" s="24">
        <v>46239.8355009838</v>
      </c>
      <c r="B249" s="4" t="s">
        <v>342</v>
      </c>
      <c r="C249" s="26" t="s">
        <v>887</v>
      </c>
      <c r="D249" s="27">
        <v>482.0</v>
      </c>
      <c r="E249" s="27">
        <v>127.75360000000002</v>
      </c>
      <c r="F249" s="28">
        <f>IFERROR(__xludf.DUMMYFUNCTION("""COMPUTED_VALUE"""),127.75360000000002)</f>
        <v>127.7536</v>
      </c>
      <c r="G249" s="29"/>
      <c r="H249" s="26"/>
      <c r="I249" s="26"/>
      <c r="J249" s="26"/>
      <c r="K249" s="26"/>
      <c r="L249" s="26"/>
      <c r="M249" s="51"/>
      <c r="N249" s="26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>
      <c r="A250" s="24">
        <v>46245.50051084491</v>
      </c>
      <c r="B250" s="4" t="s">
        <v>556</v>
      </c>
      <c r="C250" s="26" t="s">
        <v>888</v>
      </c>
      <c r="D250" s="27">
        <v>540.0</v>
      </c>
      <c r="E250" s="27">
        <v>121.62760000000003</v>
      </c>
      <c r="F250" s="28">
        <f>IFERROR(__xludf.DUMMYFUNCTION("""COMPUTED_VALUE"""),121.62760000000003)</f>
        <v>121.6276</v>
      </c>
      <c r="G250" s="29"/>
      <c r="H250" s="26"/>
      <c r="I250" s="26"/>
      <c r="J250" s="26"/>
      <c r="K250" s="26"/>
      <c r="L250" s="26"/>
      <c r="M250" s="51"/>
      <c r="N250" s="26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>
      <c r="A251" s="24">
        <v>46245.50440665509</v>
      </c>
      <c r="B251" s="4" t="s">
        <v>362</v>
      </c>
      <c r="C251" s="26" t="s">
        <v>889</v>
      </c>
      <c r="D251" s="27">
        <v>1001.0</v>
      </c>
      <c r="E251" s="27">
        <v>246.55225000000004</v>
      </c>
      <c r="F251" s="28">
        <f>IFERROR(__xludf.DUMMYFUNCTION("""COMPUTED_VALUE"""),246.55225000000004)</f>
        <v>246.55225</v>
      </c>
      <c r="G251" s="29"/>
      <c r="H251" s="26"/>
      <c r="I251" s="26"/>
      <c r="J251" s="26" t="s">
        <v>520</v>
      </c>
      <c r="K251" s="26" t="s">
        <v>890</v>
      </c>
      <c r="L251" s="26"/>
      <c r="M251" s="51"/>
      <c r="N251" s="26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>
      <c r="A252" s="24">
        <v>46245.54310108796</v>
      </c>
      <c r="B252" s="4" t="s">
        <v>95</v>
      </c>
      <c r="C252" s="26" t="s">
        <v>891</v>
      </c>
      <c r="D252" s="27">
        <v>1341.0</v>
      </c>
      <c r="E252" s="27">
        <v>489.49113775443993</v>
      </c>
      <c r="F252" s="28">
        <f>IFERROR(__xludf.DUMMYFUNCTION("""COMPUTED_VALUE"""),489.49113775443993)</f>
        <v>489.4911378</v>
      </c>
      <c r="G252" s="29"/>
      <c r="H252" s="26"/>
      <c r="I252" s="26"/>
      <c r="J252" s="26"/>
      <c r="K252" s="26"/>
      <c r="L252" s="26"/>
      <c r="M252" s="51"/>
      <c r="N252" s="26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>
      <c r="A253" s="24">
        <v>46245.54457604166</v>
      </c>
      <c r="B253" s="4" t="s">
        <v>95</v>
      </c>
      <c r="C253" s="26" t="s">
        <v>893</v>
      </c>
      <c r="D253" s="27">
        <v>60.0</v>
      </c>
      <c r="E253" s="27">
        <v>35.0</v>
      </c>
      <c r="F253" s="28">
        <f>IFERROR(__xludf.DUMMYFUNCTION("""COMPUTED_VALUE"""),35.0)</f>
        <v>35</v>
      </c>
      <c r="G253" s="29"/>
      <c r="H253" s="26"/>
      <c r="I253" s="26"/>
      <c r="J253" s="26"/>
      <c r="K253" s="26"/>
      <c r="L253" s="26"/>
      <c r="M253" s="51"/>
      <c r="N253" s="26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>
      <c r="A254" s="24">
        <v>46246.70077945602</v>
      </c>
      <c r="B254" s="4" t="s">
        <v>95</v>
      </c>
      <c r="C254" s="26" t="s">
        <v>894</v>
      </c>
      <c r="D254" s="27">
        <v>3090.0</v>
      </c>
      <c r="E254" s="27">
        <v>580.1376000000001</v>
      </c>
      <c r="F254" s="28">
        <f>IFERROR(__xludf.DUMMYFUNCTION("""COMPUTED_VALUE"""),580.1376000000001)</f>
        <v>580.1376</v>
      </c>
      <c r="G254" s="29"/>
      <c r="H254" s="26"/>
      <c r="I254" s="26"/>
      <c r="J254" s="26"/>
      <c r="K254" s="26"/>
      <c r="L254" s="26"/>
      <c r="M254" s="51"/>
      <c r="N254" s="26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>
      <c r="A255" s="24">
        <v>46246.82358787037</v>
      </c>
      <c r="B255" s="4" t="s">
        <v>896</v>
      </c>
      <c r="C255" s="26" t="s">
        <v>897</v>
      </c>
      <c r="D255" s="27">
        <v>9130.0</v>
      </c>
      <c r="E255" s="27">
        <v>1839.8512000000003</v>
      </c>
      <c r="F255" s="28">
        <f>IFERROR(__xludf.DUMMYFUNCTION("""COMPUTED_VALUE"""),1839.8512000000003)</f>
        <v>1839.8512</v>
      </c>
      <c r="G255" s="29"/>
      <c r="H255" s="26"/>
      <c r="I255" s="26"/>
      <c r="J255" s="26"/>
      <c r="K255" s="26"/>
      <c r="L255" s="26"/>
      <c r="M255" s="51"/>
      <c r="N255" s="26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>
      <c r="A256" s="24">
        <v>46247.32929542824</v>
      </c>
      <c r="B256" s="4" t="s">
        <v>119</v>
      </c>
      <c r="C256" s="26" t="s">
        <v>898</v>
      </c>
      <c r="D256" s="27">
        <v>4296.0</v>
      </c>
      <c r="E256" s="27">
        <v>796.1310000000002</v>
      </c>
      <c r="F256" s="28">
        <f>IFERROR(__xludf.DUMMYFUNCTION("""COMPUTED_VALUE"""),398.0655000000001)</f>
        <v>398.0655</v>
      </c>
      <c r="G256" s="29"/>
      <c r="H256" s="26"/>
      <c r="I256" s="26"/>
      <c r="J256" s="26"/>
      <c r="K256" s="26"/>
      <c r="L256" s="26"/>
      <c r="M256" s="51"/>
      <c r="N256" s="26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>
      <c r="A257" s="24">
        <v>46247.33372537037</v>
      </c>
      <c r="B257" s="4" t="s">
        <v>119</v>
      </c>
      <c r="C257" s="26" t="s">
        <v>899</v>
      </c>
      <c r="D257" s="27">
        <v>2500.0</v>
      </c>
      <c r="E257" s="27">
        <v>922.05891</v>
      </c>
      <c r="F257" s="28">
        <f>IFERROR(__xludf.DUMMYFUNCTION("""COMPUTED_VALUE"""),461.029455)</f>
        <v>461.029455</v>
      </c>
      <c r="G257" s="29"/>
      <c r="H257" s="26"/>
      <c r="I257" s="26"/>
      <c r="J257" s="26"/>
      <c r="K257" s="26"/>
      <c r="L257" s="26"/>
      <c r="M257" s="51"/>
      <c r="N257" s="26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>
      <c r="A258" s="24">
        <v>46249.566469722224</v>
      </c>
      <c r="B258" s="4" t="s">
        <v>72</v>
      </c>
      <c r="C258" s="26" t="s">
        <v>901</v>
      </c>
      <c r="D258" s="27">
        <v>7122.0</v>
      </c>
      <c r="E258" s="27">
        <v>1500.28003</v>
      </c>
      <c r="F258" s="28">
        <f>IFERROR(__xludf.DUMMYFUNCTION("""COMPUTED_VALUE"""),1500.28003)</f>
        <v>1500.28003</v>
      </c>
      <c r="G258" s="29"/>
      <c r="H258" s="26"/>
      <c r="I258" s="26"/>
      <c r="J258" s="26"/>
      <c r="K258" s="26"/>
      <c r="L258" s="26"/>
      <c r="M258" s="51"/>
      <c r="N258" s="26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>
      <c r="A259" s="24">
        <v>46255.776036863426</v>
      </c>
      <c r="B259" s="4" t="s">
        <v>95</v>
      </c>
      <c r="C259" s="26" t="s">
        <v>902</v>
      </c>
      <c r="D259" s="27">
        <v>7466.5</v>
      </c>
      <c r="E259" s="27">
        <v>1195.7857900000004</v>
      </c>
      <c r="F259" s="28">
        <f>IFERROR(__xludf.DUMMYFUNCTION("""COMPUTED_VALUE"""),1195.7857900000004)</f>
        <v>1195.78579</v>
      </c>
      <c r="G259" s="29"/>
      <c r="H259" s="26"/>
      <c r="I259" s="26"/>
      <c r="J259" s="26"/>
      <c r="K259" s="26"/>
      <c r="L259" s="26"/>
      <c r="M259" s="51"/>
      <c r="N259" s="26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>
      <c r="A260" s="24">
        <v>46256.94349601852</v>
      </c>
      <c r="B260" s="4" t="s">
        <v>857</v>
      </c>
      <c r="C260" s="26" t="s">
        <v>904</v>
      </c>
      <c r="D260" s="27">
        <v>1535.0</v>
      </c>
      <c r="E260" s="27">
        <v>579.66792</v>
      </c>
      <c r="F260" s="28">
        <f>IFERROR(__xludf.DUMMYFUNCTION("""COMPUTED_VALUE"""),579.66792)</f>
        <v>579.66792</v>
      </c>
      <c r="G260" s="29"/>
      <c r="H260" s="26"/>
      <c r="I260" s="26"/>
      <c r="J260" s="26"/>
      <c r="K260" s="26"/>
      <c r="L260" s="26"/>
      <c r="M260" s="51"/>
      <c r="N260" s="26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>
      <c r="A261" s="24">
        <v>46256.944102361114</v>
      </c>
      <c r="B261" s="4" t="s">
        <v>857</v>
      </c>
      <c r="C261" s="26" t="s">
        <v>906</v>
      </c>
      <c r="D261" s="27">
        <v>170.0</v>
      </c>
      <c r="E261" s="27">
        <v>64.38</v>
      </c>
      <c r="F261" s="28">
        <f>IFERROR(__xludf.DUMMYFUNCTION("""COMPUTED_VALUE"""),64.38)</f>
        <v>64.38</v>
      </c>
      <c r="G261" s="29"/>
      <c r="H261" s="26"/>
      <c r="I261" s="26"/>
      <c r="J261" s="26"/>
      <c r="K261" s="26"/>
      <c r="L261" s="26"/>
      <c r="M261" s="51"/>
      <c r="N261" s="26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>
      <c r="A262" s="24">
        <v>46261.8357146875</v>
      </c>
      <c r="B262" s="4" t="s">
        <v>95</v>
      </c>
      <c r="C262" s="26" t="s">
        <v>907</v>
      </c>
      <c r="D262" s="27">
        <v>854.0</v>
      </c>
      <c r="E262" s="27">
        <v>322.1562</v>
      </c>
      <c r="F262" s="28">
        <f>IFERROR(__xludf.DUMMYFUNCTION("""COMPUTED_VALUE"""),322.1562)</f>
        <v>322.1562</v>
      </c>
      <c r="G262" s="29"/>
      <c r="H262" s="26"/>
      <c r="I262" s="26"/>
      <c r="J262" s="26"/>
      <c r="K262" s="26"/>
      <c r="L262" s="26"/>
      <c r="M262" s="51"/>
      <c r="N262" s="26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>
      <c r="A263" s="24">
        <v>46263.396449884254</v>
      </c>
      <c r="B263" s="4" t="s">
        <v>143</v>
      </c>
      <c r="C263" s="26" t="s">
        <v>909</v>
      </c>
      <c r="D263" s="27">
        <v>1060.0</v>
      </c>
      <c r="E263" s="27">
        <v>235.69698</v>
      </c>
      <c r="F263" s="28">
        <f>IFERROR(__xludf.DUMMYFUNCTION("""COMPUTED_VALUE"""),235.69698)</f>
        <v>235.69698</v>
      </c>
      <c r="G263" s="29"/>
      <c r="H263" s="26"/>
      <c r="I263" s="26"/>
      <c r="J263" s="26"/>
      <c r="K263" s="26"/>
      <c r="L263" s="26"/>
      <c r="M263" s="51"/>
      <c r="N263" s="26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>
      <c r="A264" s="24">
        <v>46263.40301222222</v>
      </c>
      <c r="B264" s="4" t="s">
        <v>143</v>
      </c>
      <c r="C264" s="26" t="s">
        <v>911</v>
      </c>
      <c r="D264" s="27">
        <v>40.0</v>
      </c>
      <c r="E264" s="27">
        <v>22.04</v>
      </c>
      <c r="F264" s="28">
        <f>IFERROR(__xludf.DUMMYFUNCTION("""COMPUTED_VALUE"""),22.04)</f>
        <v>22.04</v>
      </c>
      <c r="G264" s="29"/>
      <c r="H264" s="26"/>
      <c r="I264" s="26"/>
      <c r="J264" s="26"/>
      <c r="K264" s="26"/>
      <c r="L264" s="26"/>
      <c r="M264" s="51"/>
      <c r="N264" s="26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>
      <c r="A265" s="24">
        <v>46263.44154148149</v>
      </c>
      <c r="B265" s="4" t="s">
        <v>119</v>
      </c>
      <c r="C265" s="26" t="s">
        <v>913</v>
      </c>
      <c r="D265" s="27">
        <v>10014.0</v>
      </c>
      <c r="E265" s="27">
        <v>2363.7291892274807</v>
      </c>
      <c r="F265" s="28">
        <f>IFERROR(__xludf.DUMMYFUNCTION("""COMPUTED_VALUE"""),1181.8645946137403)</f>
        <v>1181.864595</v>
      </c>
      <c r="G265" s="29"/>
      <c r="H265" s="26"/>
      <c r="I265" s="26"/>
      <c r="J265" s="26"/>
      <c r="K265" s="26"/>
      <c r="L265" s="26"/>
      <c r="M265" s="51"/>
      <c r="N265" s="26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>
      <c r="A266" s="24">
        <v>46263.45023096065</v>
      </c>
      <c r="B266" s="4" t="s">
        <v>72</v>
      </c>
      <c r="C266" s="26" t="s">
        <v>914</v>
      </c>
      <c r="D266" s="27">
        <v>4804.0</v>
      </c>
      <c r="E266" s="27">
        <v>1188.83432</v>
      </c>
      <c r="F266" s="28">
        <f>IFERROR(__xludf.DUMMYFUNCTION("""COMPUTED_VALUE"""),1188.83432)</f>
        <v>1188.83432</v>
      </c>
      <c r="G266" s="29"/>
      <c r="H266" s="26"/>
      <c r="I266" s="26"/>
      <c r="J266" s="26"/>
      <c r="K266" s="26"/>
      <c r="L266" s="26"/>
      <c r="M266" s="51"/>
      <c r="N266" s="26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>
      <c r="A267" s="24">
        <v>46263.83928075232</v>
      </c>
      <c r="B267" s="4" t="s">
        <v>95</v>
      </c>
      <c r="C267" s="26" t="s">
        <v>916</v>
      </c>
      <c r="D267" s="27">
        <v>4010.0</v>
      </c>
      <c r="E267" s="27">
        <v>848.1470199999999</v>
      </c>
      <c r="F267" s="28">
        <f>IFERROR(__xludf.DUMMYFUNCTION("""COMPUTED_VALUE"""),848.1470199999999)</f>
        <v>848.14702</v>
      </c>
      <c r="G267" s="29"/>
      <c r="H267" s="26"/>
      <c r="I267" s="26"/>
      <c r="J267" s="26"/>
      <c r="K267" s="26"/>
      <c r="L267" s="26"/>
      <c r="M267" s="51"/>
      <c r="N267" s="26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>
      <c r="A268" s="24">
        <v>46263.84433274306</v>
      </c>
      <c r="B268" s="4" t="s">
        <v>73</v>
      </c>
      <c r="C268" s="26" t="s">
        <v>917</v>
      </c>
      <c r="D268" s="27">
        <v>3870.0</v>
      </c>
      <c r="E268" s="27">
        <v>794.23226</v>
      </c>
      <c r="F268" s="28">
        <f>IFERROR(__xludf.DUMMYFUNCTION("""COMPUTED_VALUE"""),794.23226)</f>
        <v>794.23226</v>
      </c>
      <c r="G268" s="29"/>
      <c r="H268" s="26"/>
      <c r="I268" s="26"/>
      <c r="J268" s="26"/>
      <c r="K268" s="26"/>
      <c r="L268" s="26"/>
      <c r="M268" s="51"/>
      <c r="N268" s="26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>
      <c r="A269" s="24">
        <v>46274.59657954861</v>
      </c>
      <c r="B269" s="4" t="s">
        <v>119</v>
      </c>
      <c r="C269" s="26" t="s">
        <v>921</v>
      </c>
      <c r="D269" s="27">
        <v>1560.0</v>
      </c>
      <c r="E269" s="27">
        <v>284.0831400000001</v>
      </c>
      <c r="F269" s="28">
        <f>IFERROR(__xludf.DUMMYFUNCTION("""COMPUTED_VALUE"""),142.04157000000006)</f>
        <v>142.04157</v>
      </c>
      <c r="G269" s="29"/>
      <c r="H269" s="26"/>
      <c r="I269" s="26"/>
      <c r="J269" s="26"/>
      <c r="K269" s="26"/>
      <c r="L269" s="26"/>
      <c r="M269" s="51"/>
      <c r="N269" s="26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>
      <c r="A270" s="24">
        <v>46274.59708229167</v>
      </c>
      <c r="B270" s="4" t="s">
        <v>896</v>
      </c>
      <c r="C270" s="26" t="s">
        <v>924</v>
      </c>
      <c r="D270" s="27">
        <v>360.0</v>
      </c>
      <c r="E270" s="27">
        <v>80.11800000000005</v>
      </c>
      <c r="F270" s="28">
        <f>IFERROR(__xludf.DUMMYFUNCTION("""COMPUTED_VALUE"""),80.11800000000005)</f>
        <v>80.118</v>
      </c>
      <c r="G270" s="29"/>
      <c r="H270" s="26"/>
      <c r="I270" s="26"/>
      <c r="J270" s="26"/>
      <c r="K270" s="26"/>
      <c r="L270" s="26"/>
      <c r="M270" s="51"/>
      <c r="N270" s="26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>
      <c r="A271" s="24">
        <v>46275.502366388886</v>
      </c>
      <c r="B271" s="4" t="s">
        <v>64</v>
      </c>
      <c r="C271" s="26" t="s">
        <v>927</v>
      </c>
      <c r="D271" s="27">
        <v>5714.0</v>
      </c>
      <c r="E271" s="27">
        <v>1634.25565726302</v>
      </c>
      <c r="F271" s="28">
        <f>IFERROR(__xludf.DUMMYFUNCTION("""COMPUTED_VALUE"""),1634.25565726302)</f>
        <v>1634.255657</v>
      </c>
      <c r="G271" s="29"/>
      <c r="H271" s="26"/>
      <c r="I271" s="26"/>
      <c r="J271" s="26"/>
      <c r="K271" s="26"/>
      <c r="L271" s="26"/>
      <c r="M271" s="51"/>
      <c r="N271" s="26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>
      <c r="A272" s="24">
        <v>46275.51611456019</v>
      </c>
      <c r="B272" s="4" t="s">
        <v>119</v>
      </c>
      <c r="C272" s="26" t="s">
        <v>928</v>
      </c>
      <c r="D272" s="27">
        <v>3344.0</v>
      </c>
      <c r="E272" s="27">
        <v>1075.3504616742082</v>
      </c>
      <c r="F272" s="28">
        <f>IFERROR(__xludf.DUMMYFUNCTION("""COMPUTED_VALUE"""),537.6752308371041)</f>
        <v>537.6752308</v>
      </c>
      <c r="G272" s="29"/>
      <c r="H272" s="26"/>
      <c r="I272" s="26"/>
      <c r="J272" s="26"/>
      <c r="K272" s="26"/>
      <c r="L272" s="26"/>
      <c r="M272" s="51"/>
      <c r="N272" s="26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>
      <c r="A273" s="24">
        <v>46275.52091565973</v>
      </c>
      <c r="B273" s="4" t="s">
        <v>95</v>
      </c>
      <c r="C273" s="26" t="s">
        <v>931</v>
      </c>
      <c r="D273" s="27">
        <v>2421.0</v>
      </c>
      <c r="E273" s="27">
        <v>740.81369</v>
      </c>
      <c r="F273" s="28">
        <f>IFERROR(__xludf.DUMMYFUNCTION("""COMPUTED_VALUE"""),740.81369)</f>
        <v>740.81369</v>
      </c>
      <c r="G273" s="29"/>
      <c r="H273" s="26"/>
      <c r="I273" s="26"/>
      <c r="J273" s="26"/>
      <c r="K273" s="26"/>
      <c r="L273" s="26"/>
      <c r="M273" s="51"/>
      <c r="N273" s="26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>
      <c r="A274" s="24">
        <v>46275.53074564815</v>
      </c>
      <c r="B274" s="4" t="s">
        <v>25</v>
      </c>
      <c r="C274" s="26" t="s">
        <v>934</v>
      </c>
      <c r="D274" s="27">
        <v>1470.0</v>
      </c>
      <c r="E274" s="27">
        <v>247.2756300000001</v>
      </c>
      <c r="F274" s="28">
        <f>IFERROR(__xludf.DUMMYFUNCTION("""COMPUTED_VALUE"""),247.2756300000001)</f>
        <v>247.27563</v>
      </c>
      <c r="G274" s="29"/>
      <c r="H274" s="26"/>
      <c r="I274" s="26"/>
      <c r="J274" s="26"/>
      <c r="K274" s="26"/>
      <c r="L274" s="26"/>
      <c r="M274" s="51"/>
      <c r="N274" s="26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>
      <c r="A275" s="24">
        <v>46277.50937497686</v>
      </c>
      <c r="B275" s="4" t="s">
        <v>95</v>
      </c>
      <c r="C275" s="26" t="s">
        <v>935</v>
      </c>
      <c r="D275" s="27">
        <v>1781.0</v>
      </c>
      <c r="E275" s="27">
        <v>416.34716583710417</v>
      </c>
      <c r="F275" s="28">
        <f>IFERROR(__xludf.DUMMYFUNCTION("""COMPUTED_VALUE"""),416.34716583710417)</f>
        <v>416.3471658</v>
      </c>
      <c r="G275" s="29"/>
      <c r="H275" s="26"/>
      <c r="I275" s="26"/>
      <c r="J275" s="26"/>
      <c r="K275" s="26"/>
      <c r="L275" s="26"/>
      <c r="M275" s="51"/>
      <c r="N275" s="26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>
      <c r="A276" s="24">
        <v>46279.52882685185</v>
      </c>
      <c r="B276" s="4" t="s">
        <v>377</v>
      </c>
      <c r="C276" s="26" t="s">
        <v>936</v>
      </c>
      <c r="D276" s="27">
        <v>475.0</v>
      </c>
      <c r="E276" s="27">
        <v>110.65629000000001</v>
      </c>
      <c r="F276" s="28">
        <f>IFERROR(__xludf.DUMMYFUNCTION("""COMPUTED_VALUE"""),110.65629000000001)</f>
        <v>110.65629</v>
      </c>
      <c r="G276" s="29"/>
      <c r="H276" s="26"/>
      <c r="I276" s="26"/>
      <c r="J276" s="26" t="s">
        <v>520</v>
      </c>
      <c r="K276" s="26" t="s">
        <v>937</v>
      </c>
      <c r="L276" s="26"/>
      <c r="M276" s="51"/>
      <c r="N276" s="26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>
      <c r="A277" s="24">
        <v>46279.63716791666</v>
      </c>
      <c r="B277" s="4" t="s">
        <v>57</v>
      </c>
      <c r="C277" s="26" t="s">
        <v>938</v>
      </c>
      <c r="D277" s="27">
        <v>540.0</v>
      </c>
      <c r="E277" s="27">
        <v>93.67128000000004</v>
      </c>
      <c r="F277" s="28">
        <f>IFERROR(__xludf.DUMMYFUNCTION("""COMPUTED_VALUE"""),93.67128000000004)</f>
        <v>93.67128</v>
      </c>
      <c r="G277" s="29"/>
      <c r="H277" s="26"/>
      <c r="I277" s="26"/>
      <c r="J277" s="26"/>
      <c r="K277" s="26"/>
      <c r="L277" s="26"/>
      <c r="M277" s="51"/>
      <c r="N277" s="26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>
      <c r="A278" s="24">
        <v>46280.87146792824</v>
      </c>
      <c r="B278" s="4" t="s">
        <v>357</v>
      </c>
      <c r="C278" s="26" t="s">
        <v>939</v>
      </c>
      <c r="D278" s="27">
        <v>11058.0</v>
      </c>
      <c r="E278" s="27">
        <v>1925.21827</v>
      </c>
      <c r="F278" s="28">
        <f>IFERROR(__xludf.DUMMYFUNCTION("""COMPUTED_VALUE"""),1925.21827)</f>
        <v>1925.21827</v>
      </c>
      <c r="G278" s="29"/>
      <c r="H278" s="26"/>
      <c r="I278" s="26"/>
      <c r="J278" s="26" t="s">
        <v>520</v>
      </c>
      <c r="K278" s="26" t="s">
        <v>940</v>
      </c>
      <c r="L278" s="26"/>
      <c r="M278" s="51"/>
      <c r="N278" s="26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>
      <c r="A279" s="24">
        <v>46280.907119247684</v>
      </c>
      <c r="B279" s="4" t="s">
        <v>73</v>
      </c>
      <c r="C279" s="26" t="s">
        <v>941</v>
      </c>
      <c r="D279" s="27">
        <v>3745.0</v>
      </c>
      <c r="E279" s="27">
        <v>950.5341699999994</v>
      </c>
      <c r="F279" s="28">
        <f>IFERROR(__xludf.DUMMYFUNCTION("""COMPUTED_VALUE"""),950.5341699999994)</f>
        <v>950.53417</v>
      </c>
      <c r="G279" s="29"/>
      <c r="H279" s="26"/>
      <c r="I279" s="26"/>
      <c r="J279" s="26"/>
      <c r="K279" s="26"/>
      <c r="L279" s="26"/>
      <c r="M279" s="51"/>
      <c r="N279" s="26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>
      <c r="A280" s="24">
        <v>46283.57396155092</v>
      </c>
      <c r="B280" s="4" t="s">
        <v>358</v>
      </c>
      <c r="C280" s="26" t="s">
        <v>943</v>
      </c>
      <c r="D280" s="27">
        <v>1128.0</v>
      </c>
      <c r="E280" s="27">
        <v>296.67297999999994</v>
      </c>
      <c r="F280" s="28">
        <f>IFERROR(__xludf.DUMMYFUNCTION("""COMPUTED_VALUE"""),296.67297999999994)</f>
        <v>296.67298</v>
      </c>
      <c r="G280" s="29"/>
      <c r="H280" s="26"/>
      <c r="I280" s="26"/>
      <c r="J280" s="26"/>
      <c r="K280" s="26"/>
      <c r="L280" s="26"/>
      <c r="M280" s="51"/>
      <c r="N280" s="26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>
      <c r="A281" s="24">
        <v>46283.588189594906</v>
      </c>
      <c r="B281" s="4" t="s">
        <v>108</v>
      </c>
      <c r="C281" s="26" t="s">
        <v>944</v>
      </c>
      <c r="D281" s="27">
        <v>1659.0</v>
      </c>
      <c r="E281" s="27">
        <v>261.9247809094734</v>
      </c>
      <c r="F281" s="28">
        <f>IFERROR(__xludf.DUMMYFUNCTION("""COMPUTED_VALUE"""),261.9247809094734)</f>
        <v>261.9247809</v>
      </c>
      <c r="G281" s="29"/>
      <c r="H281" s="26"/>
      <c r="I281" s="26"/>
      <c r="J281" s="26"/>
      <c r="K281" s="26"/>
      <c r="L281" s="26"/>
      <c r="M281" s="51"/>
      <c r="N281" s="26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>
      <c r="A282" s="24">
        <v>46283.81863849537</v>
      </c>
      <c r="B282" s="4" t="s">
        <v>101</v>
      </c>
      <c r="C282" s="26" t="s">
        <v>945</v>
      </c>
      <c r="D282" s="27">
        <v>2012.0</v>
      </c>
      <c r="E282" s="27">
        <v>495.9460199999999</v>
      </c>
      <c r="F282" s="28">
        <f>IFERROR(__xludf.DUMMYFUNCTION("""COMPUTED_VALUE"""),495.9460199999999)</f>
        <v>495.94602</v>
      </c>
      <c r="G282" s="29"/>
      <c r="H282" s="26"/>
      <c r="I282" s="26"/>
      <c r="J282" s="26"/>
      <c r="K282" s="26"/>
      <c r="L282" s="26"/>
      <c r="M282" s="51"/>
      <c r="N282" s="26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>
      <c r="A283" s="24">
        <v>46287.893129386575</v>
      </c>
      <c r="B283" s="4" t="s">
        <v>95</v>
      </c>
      <c r="C283" s="26" t="s">
        <v>946</v>
      </c>
      <c r="D283" s="27">
        <v>1412.0</v>
      </c>
      <c r="E283" s="27">
        <v>302.82176775444003</v>
      </c>
      <c r="F283" s="28">
        <f>IFERROR(__xludf.DUMMYFUNCTION("""COMPUTED_VALUE"""),302.82176775444003)</f>
        <v>302.8217678</v>
      </c>
      <c r="G283" s="29"/>
      <c r="H283" s="26"/>
      <c r="I283" s="26"/>
      <c r="J283" s="26"/>
      <c r="K283" s="26"/>
      <c r="L283" s="26"/>
      <c r="M283" s="51"/>
      <c r="N283" s="26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>
      <c r="A284" s="24">
        <v>46288.75185971065</v>
      </c>
      <c r="B284" s="4" t="s">
        <v>947</v>
      </c>
      <c r="C284" s="26" t="s">
        <v>948</v>
      </c>
      <c r="D284" s="27">
        <v>593.0</v>
      </c>
      <c r="E284" s="27">
        <v>122.62938000000003</v>
      </c>
      <c r="F284" s="28">
        <f>IFERROR(__xludf.DUMMYFUNCTION("""COMPUTED_VALUE"""),122.62938000000003)</f>
        <v>122.62938</v>
      </c>
      <c r="G284" s="29"/>
      <c r="H284" s="26"/>
      <c r="I284" s="26"/>
      <c r="J284" s="26" t="s">
        <v>520</v>
      </c>
      <c r="K284" s="26" t="s">
        <v>949</v>
      </c>
      <c r="L284" s="26"/>
      <c r="M284" s="51"/>
      <c r="N284" s="26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>
      <c r="A285" s="24">
        <v>46294.62789824074</v>
      </c>
      <c r="B285" s="4" t="s">
        <v>350</v>
      </c>
      <c r="C285" s="26" t="s">
        <v>950</v>
      </c>
      <c r="D285" s="27">
        <v>6580.0</v>
      </c>
      <c r="E285" s="27">
        <v>1420.8993</v>
      </c>
      <c r="F285" s="28">
        <f>IFERROR(__xludf.DUMMYFUNCTION("""COMPUTED_VALUE"""),1420.8993)</f>
        <v>1420.8993</v>
      </c>
      <c r="G285" s="29"/>
      <c r="H285" s="26"/>
      <c r="I285" s="26"/>
      <c r="J285" s="26" t="s">
        <v>520</v>
      </c>
      <c r="K285" s="26" t="s">
        <v>951</v>
      </c>
      <c r="L285" s="26"/>
      <c r="M285" s="51"/>
      <c r="N285" s="26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>
      <c r="A286" s="24">
        <v>46294.73021109954</v>
      </c>
      <c r="B286" s="4" t="s">
        <v>57</v>
      </c>
      <c r="C286" s="26" t="s">
        <v>952</v>
      </c>
      <c r="D286" s="27">
        <v>210.0</v>
      </c>
      <c r="E286" s="27">
        <v>36.219690000000014</v>
      </c>
      <c r="F286" s="28">
        <f>IFERROR(__xludf.DUMMYFUNCTION("""COMPUTED_VALUE"""),36.219690000000014)</f>
        <v>36.21969</v>
      </c>
      <c r="G286" s="29"/>
      <c r="H286" s="26"/>
      <c r="I286" s="26"/>
      <c r="J286" s="26"/>
      <c r="K286" s="26"/>
      <c r="L286" s="26"/>
      <c r="M286" s="51"/>
      <c r="N286" s="26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>
      <c r="A287" s="24">
        <v>46294.737485324076</v>
      </c>
      <c r="B287" s="4" t="s">
        <v>72</v>
      </c>
      <c r="C287" s="26" t="s">
        <v>953</v>
      </c>
      <c r="D287" s="27">
        <v>815.0</v>
      </c>
      <c r="E287" s="27">
        <v>152.44220000000007</v>
      </c>
      <c r="F287" s="28">
        <f>IFERROR(__xludf.DUMMYFUNCTION("""COMPUTED_VALUE"""),152.44220000000007)</f>
        <v>152.4422</v>
      </c>
      <c r="G287" s="29"/>
      <c r="H287" s="26"/>
      <c r="I287" s="26"/>
      <c r="J287" s="26"/>
      <c r="K287" s="26"/>
      <c r="L287" s="26"/>
      <c r="M287" s="51"/>
      <c r="N287" s="26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>
      <c r="A288" s="24">
        <v>46295.55894241898</v>
      </c>
      <c r="B288" s="4" t="s">
        <v>33</v>
      </c>
      <c r="C288" s="26" t="s">
        <v>954</v>
      </c>
      <c r="D288" s="27">
        <v>1910.0</v>
      </c>
      <c r="E288" s="27">
        <v>1030.59652</v>
      </c>
      <c r="F288" s="28">
        <f>IFERROR(__xludf.DUMMYFUNCTION("""COMPUTED_VALUE"""),515.29826)</f>
        <v>515.29826</v>
      </c>
      <c r="G288" s="29"/>
      <c r="H288" s="26"/>
      <c r="I288" s="26"/>
      <c r="J288" s="26"/>
      <c r="K288" s="26"/>
      <c r="L288" s="26"/>
      <c r="M288" s="51"/>
      <c r="N288" s="26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>
      <c r="A289" s="24">
        <v>46296.43335733796</v>
      </c>
      <c r="B289" s="4" t="s">
        <v>346</v>
      </c>
      <c r="C289" s="26" t="s">
        <v>955</v>
      </c>
      <c r="D289" s="27">
        <v>90.0</v>
      </c>
      <c r="E289" s="27">
        <v>19.343640000000008</v>
      </c>
      <c r="F289" s="28">
        <f>IFERROR(__xludf.DUMMYFUNCTION("""COMPUTED_VALUE"""),19.343640000000008)</f>
        <v>19.34364</v>
      </c>
      <c r="G289" s="29"/>
      <c r="H289" s="26"/>
      <c r="I289" s="26"/>
      <c r="J289" s="26" t="s">
        <v>520</v>
      </c>
      <c r="K289" s="26" t="s">
        <v>956</v>
      </c>
      <c r="L289" s="26"/>
      <c r="M289" s="51"/>
      <c r="N289" s="26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>
      <c r="A290" s="24">
        <v>46296.556629224535</v>
      </c>
      <c r="B290" s="4" t="s">
        <v>33</v>
      </c>
      <c r="C290" s="26" t="s">
        <v>957</v>
      </c>
      <c r="D290" s="27">
        <v>1794.0</v>
      </c>
      <c r="E290" s="27">
        <v>377.97600000000006</v>
      </c>
      <c r="F290" s="28">
        <f>IFERROR(__xludf.DUMMYFUNCTION("""COMPUTED_VALUE"""),188.98800000000003)</f>
        <v>188.988</v>
      </c>
      <c r="G290" s="29"/>
      <c r="H290" s="26"/>
      <c r="I290" s="26"/>
      <c r="J290" s="26"/>
      <c r="K290" s="26"/>
      <c r="L290" s="26"/>
      <c r="M290" s="51"/>
      <c r="N290" s="26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>
      <c r="A291" s="24">
        <v>46298.65582460648</v>
      </c>
      <c r="B291" s="4" t="s">
        <v>51</v>
      </c>
      <c r="C291" s="26" t="s">
        <v>959</v>
      </c>
      <c r="D291" s="27">
        <v>897.0</v>
      </c>
      <c r="E291" s="27">
        <v>188.98800000000003</v>
      </c>
      <c r="F291" s="28">
        <f>IFERROR(__xludf.DUMMYFUNCTION("""COMPUTED_VALUE"""),188.98800000000003)</f>
        <v>188.988</v>
      </c>
      <c r="G291" s="29"/>
      <c r="H291" s="26"/>
      <c r="I291" s="26"/>
      <c r="J291" s="26"/>
      <c r="K291" s="26"/>
      <c r="L291" s="26"/>
      <c r="M291" s="51"/>
      <c r="N291" s="26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>
      <c r="A292" s="24">
        <v>46298.65633200231</v>
      </c>
      <c r="B292" s="4" t="s">
        <v>390</v>
      </c>
      <c r="C292" s="26" t="s">
        <v>960</v>
      </c>
      <c r="D292" s="27">
        <v>90.0</v>
      </c>
      <c r="E292" s="27">
        <v>22.692000000000007</v>
      </c>
      <c r="F292" s="28">
        <f>IFERROR(__xludf.DUMMYFUNCTION("""COMPUTED_VALUE"""),22.692000000000007)</f>
        <v>22.692</v>
      </c>
      <c r="G292" s="29"/>
      <c r="H292" s="26"/>
      <c r="I292" s="26"/>
      <c r="J292" s="26"/>
      <c r="K292" s="26"/>
      <c r="L292" s="26"/>
      <c r="M292" s="51"/>
      <c r="N292" s="26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8.38"/>
    <col customWidth="1" min="3" max="3" width="15.88"/>
  </cols>
  <sheetData>
    <row r="1">
      <c r="A1" s="4"/>
      <c r="B1" s="14"/>
      <c r="C1" s="9"/>
      <c r="D1" s="59"/>
      <c r="E1" s="4" t="s">
        <v>451</v>
      </c>
      <c r="F1" s="17"/>
      <c r="G1" s="2" t="s">
        <v>454</v>
      </c>
    </row>
    <row r="2">
      <c r="A2" s="4" t="s">
        <v>31</v>
      </c>
      <c r="B2" s="14">
        <v>18.0</v>
      </c>
      <c r="C2" s="9">
        <v>268.0</v>
      </c>
      <c r="D2" s="17">
        <f t="shared" ref="D2:D23" si="1">C2*B2</f>
        <v>4824</v>
      </c>
      <c r="E2" s="4">
        <v>0.791</v>
      </c>
      <c r="F2" s="17">
        <f t="shared" ref="F2:F23" si="2">38*E2</f>
        <v>30.058</v>
      </c>
      <c r="G2" s="61">
        <f t="shared" ref="G2:G23" si="3">F2+C2</f>
        <v>298.058</v>
      </c>
    </row>
    <row r="3">
      <c r="A3" s="4" t="s">
        <v>70</v>
      </c>
      <c r="B3" s="14">
        <v>18.0</v>
      </c>
      <c r="C3" s="9">
        <v>250.0</v>
      </c>
      <c r="D3" s="17">
        <f t="shared" si="1"/>
        <v>4500</v>
      </c>
      <c r="E3" s="4">
        <v>0.791</v>
      </c>
      <c r="F3" s="17">
        <f t="shared" si="2"/>
        <v>30.058</v>
      </c>
      <c r="G3" s="61">
        <f t="shared" si="3"/>
        <v>280.058</v>
      </c>
    </row>
    <row r="4">
      <c r="A4" s="4" t="s">
        <v>92</v>
      </c>
      <c r="B4" s="14">
        <v>24.0</v>
      </c>
      <c r="C4" s="9">
        <v>135.0</v>
      </c>
      <c r="D4" s="17">
        <f t="shared" si="1"/>
        <v>3240</v>
      </c>
      <c r="E4" s="4">
        <v>0.566</v>
      </c>
      <c r="F4" s="17">
        <f t="shared" si="2"/>
        <v>21.508</v>
      </c>
      <c r="G4" s="61">
        <f t="shared" si="3"/>
        <v>156.508</v>
      </c>
    </row>
    <row r="5">
      <c r="A5" s="4" t="s">
        <v>110</v>
      </c>
      <c r="B5" s="14">
        <v>24.0</v>
      </c>
      <c r="C5" s="9">
        <v>135.0</v>
      </c>
      <c r="D5" s="17">
        <f t="shared" si="1"/>
        <v>3240</v>
      </c>
      <c r="E5" s="4">
        <v>0.566</v>
      </c>
      <c r="F5" s="17">
        <f t="shared" si="2"/>
        <v>21.508</v>
      </c>
      <c r="G5" s="61">
        <f t="shared" si="3"/>
        <v>156.508</v>
      </c>
    </row>
    <row r="6">
      <c r="A6" s="4" t="s">
        <v>475</v>
      </c>
      <c r="B6" s="14">
        <v>24.0</v>
      </c>
      <c r="C6" s="9">
        <v>71.0</v>
      </c>
      <c r="D6" s="17">
        <f t="shared" si="1"/>
        <v>1704</v>
      </c>
      <c r="E6" s="4">
        <v>0.23</v>
      </c>
      <c r="F6" s="17">
        <f t="shared" si="2"/>
        <v>8.74</v>
      </c>
      <c r="G6" s="61">
        <f t="shared" si="3"/>
        <v>79.74</v>
      </c>
    </row>
    <row r="7">
      <c r="A7" s="4" t="s">
        <v>127</v>
      </c>
      <c r="B7" s="14">
        <v>24.0</v>
      </c>
      <c r="C7" s="9">
        <v>71.0</v>
      </c>
      <c r="D7" s="17">
        <f t="shared" si="1"/>
        <v>1704</v>
      </c>
      <c r="E7" s="4">
        <v>0.23</v>
      </c>
      <c r="F7" s="17">
        <f t="shared" si="2"/>
        <v>8.74</v>
      </c>
      <c r="G7" s="61">
        <f t="shared" si="3"/>
        <v>79.74</v>
      </c>
    </row>
    <row r="8">
      <c r="A8" s="4" t="s">
        <v>481</v>
      </c>
      <c r="B8" s="14">
        <v>18.0</v>
      </c>
      <c r="C8" s="9">
        <v>119.0</v>
      </c>
      <c r="D8" s="17">
        <f t="shared" si="1"/>
        <v>2142</v>
      </c>
      <c r="E8" s="4">
        <v>0.676</v>
      </c>
      <c r="F8" s="17">
        <f t="shared" si="2"/>
        <v>25.688</v>
      </c>
      <c r="G8" s="61">
        <f t="shared" si="3"/>
        <v>144.688</v>
      </c>
    </row>
    <row r="9">
      <c r="A9" s="4" t="s">
        <v>483</v>
      </c>
      <c r="B9" s="14">
        <v>18.0</v>
      </c>
      <c r="C9" s="9">
        <v>119.0</v>
      </c>
      <c r="D9" s="17">
        <f t="shared" si="1"/>
        <v>2142</v>
      </c>
      <c r="E9" s="4">
        <v>0.676</v>
      </c>
      <c r="F9" s="17">
        <f t="shared" si="2"/>
        <v>25.688</v>
      </c>
      <c r="G9" s="61">
        <f t="shared" si="3"/>
        <v>144.688</v>
      </c>
    </row>
    <row r="10">
      <c r="A10" s="4" t="s">
        <v>132</v>
      </c>
      <c r="B10" s="14">
        <v>12.0</v>
      </c>
      <c r="C10" s="9">
        <v>119.0</v>
      </c>
      <c r="D10" s="17">
        <f t="shared" si="1"/>
        <v>1428</v>
      </c>
      <c r="E10" s="4">
        <v>0.676</v>
      </c>
      <c r="F10" s="17">
        <f t="shared" si="2"/>
        <v>25.688</v>
      </c>
      <c r="G10" s="61">
        <f t="shared" si="3"/>
        <v>144.688</v>
      </c>
    </row>
    <row r="11">
      <c r="A11" s="4" t="s">
        <v>487</v>
      </c>
      <c r="B11" s="14">
        <v>30.0</v>
      </c>
      <c r="C11" s="9">
        <v>50.0</v>
      </c>
      <c r="D11" s="17">
        <f t="shared" si="1"/>
        <v>1500</v>
      </c>
      <c r="E11" s="4">
        <v>0.084</v>
      </c>
      <c r="F11" s="17">
        <f t="shared" si="2"/>
        <v>3.192</v>
      </c>
      <c r="G11" s="61">
        <f t="shared" si="3"/>
        <v>53.192</v>
      </c>
    </row>
    <row r="12">
      <c r="A12" s="4" t="s">
        <v>490</v>
      </c>
      <c r="B12" s="14">
        <v>30.0</v>
      </c>
      <c r="C12" s="9">
        <v>32.5</v>
      </c>
      <c r="D12" s="17">
        <f t="shared" si="1"/>
        <v>975</v>
      </c>
      <c r="E12" s="4">
        <v>0.18</v>
      </c>
      <c r="F12" s="17">
        <f t="shared" si="2"/>
        <v>6.84</v>
      </c>
      <c r="G12" s="61">
        <f t="shared" si="3"/>
        <v>39.34</v>
      </c>
    </row>
    <row r="13">
      <c r="A13" s="4" t="s">
        <v>494</v>
      </c>
      <c r="B13" s="14">
        <v>30.0</v>
      </c>
      <c r="C13" s="9">
        <v>32.5</v>
      </c>
      <c r="D13" s="17">
        <f t="shared" si="1"/>
        <v>975</v>
      </c>
      <c r="E13" s="4">
        <v>0.18</v>
      </c>
      <c r="F13" s="17">
        <f t="shared" si="2"/>
        <v>6.84</v>
      </c>
      <c r="G13" s="61">
        <f t="shared" si="3"/>
        <v>39.34</v>
      </c>
    </row>
    <row r="14">
      <c r="A14" s="4" t="s">
        <v>163</v>
      </c>
      <c r="B14" s="14">
        <v>6.0</v>
      </c>
      <c r="C14" s="9">
        <v>45.0</v>
      </c>
      <c r="D14" s="17">
        <f t="shared" si="1"/>
        <v>270</v>
      </c>
      <c r="E14" s="4">
        <v>0.11</v>
      </c>
      <c r="F14" s="17">
        <f t="shared" si="2"/>
        <v>4.18</v>
      </c>
      <c r="G14" s="61">
        <f t="shared" si="3"/>
        <v>49.18</v>
      </c>
    </row>
    <row r="15">
      <c r="A15" s="4" t="s">
        <v>501</v>
      </c>
      <c r="B15" s="14">
        <v>12.0</v>
      </c>
      <c r="C15" s="9">
        <v>53.5</v>
      </c>
      <c r="D15" s="17">
        <f t="shared" si="1"/>
        <v>642</v>
      </c>
      <c r="E15" s="4">
        <v>0.117</v>
      </c>
      <c r="F15" s="17">
        <f t="shared" si="2"/>
        <v>4.446</v>
      </c>
      <c r="G15" s="61">
        <f t="shared" si="3"/>
        <v>57.946</v>
      </c>
    </row>
    <row r="16">
      <c r="A16" s="4" t="s">
        <v>171</v>
      </c>
      <c r="B16" s="14">
        <v>30.0</v>
      </c>
      <c r="C16" s="9">
        <v>27.0</v>
      </c>
      <c r="D16" s="17">
        <f t="shared" si="1"/>
        <v>810</v>
      </c>
      <c r="E16" s="4">
        <v>0.026</v>
      </c>
      <c r="F16" s="17">
        <f t="shared" si="2"/>
        <v>0.988</v>
      </c>
      <c r="G16" s="61">
        <f t="shared" si="3"/>
        <v>27.988</v>
      </c>
    </row>
    <row r="17">
      <c r="A17" s="4" t="s">
        <v>174</v>
      </c>
      <c r="B17" s="14">
        <v>30.0</v>
      </c>
      <c r="C17" s="9">
        <v>33.0</v>
      </c>
      <c r="D17" s="17">
        <f t="shared" si="1"/>
        <v>990</v>
      </c>
      <c r="E17" s="4">
        <v>0.019</v>
      </c>
      <c r="F17" s="17">
        <f t="shared" si="2"/>
        <v>0.722</v>
      </c>
      <c r="G17" s="61">
        <f t="shared" si="3"/>
        <v>33.722</v>
      </c>
    </row>
    <row r="18">
      <c r="A18" s="4" t="s">
        <v>177</v>
      </c>
      <c r="B18" s="14">
        <v>24.0</v>
      </c>
      <c r="C18" s="9">
        <v>33.0</v>
      </c>
      <c r="D18" s="17">
        <f t="shared" si="1"/>
        <v>792</v>
      </c>
      <c r="E18" s="4">
        <v>0.057</v>
      </c>
      <c r="F18" s="17">
        <f t="shared" si="2"/>
        <v>2.166</v>
      </c>
      <c r="G18" s="61">
        <f t="shared" si="3"/>
        <v>35.166</v>
      </c>
    </row>
    <row r="19">
      <c r="A19" s="4" t="s">
        <v>180</v>
      </c>
      <c r="B19" s="14">
        <v>12.0</v>
      </c>
      <c r="C19" s="9">
        <v>36.0</v>
      </c>
      <c r="D19" s="17">
        <f t="shared" si="1"/>
        <v>432</v>
      </c>
      <c r="E19" s="4">
        <v>0.119</v>
      </c>
      <c r="F19" s="17">
        <f t="shared" si="2"/>
        <v>4.522</v>
      </c>
      <c r="G19" s="61">
        <f t="shared" si="3"/>
        <v>40.522</v>
      </c>
    </row>
    <row r="20">
      <c r="A20" s="4" t="s">
        <v>186</v>
      </c>
      <c r="B20" s="14">
        <v>30.0</v>
      </c>
      <c r="C20" s="9">
        <v>25.5</v>
      </c>
      <c r="D20" s="17">
        <f t="shared" si="1"/>
        <v>765</v>
      </c>
      <c r="E20" s="4">
        <v>0.184</v>
      </c>
      <c r="F20" s="17">
        <f t="shared" si="2"/>
        <v>6.992</v>
      </c>
      <c r="G20" s="61">
        <f t="shared" si="3"/>
        <v>32.492</v>
      </c>
    </row>
    <row r="21">
      <c r="A21" s="4" t="s">
        <v>517</v>
      </c>
      <c r="B21" s="14">
        <v>6.0</v>
      </c>
      <c r="C21" s="9">
        <v>9.0</v>
      </c>
      <c r="D21" s="17">
        <f t="shared" si="1"/>
        <v>54</v>
      </c>
      <c r="E21" s="4">
        <v>0.06</v>
      </c>
      <c r="F21" s="17">
        <f t="shared" si="2"/>
        <v>2.28</v>
      </c>
      <c r="G21" s="61">
        <f t="shared" si="3"/>
        <v>11.28</v>
      </c>
    </row>
    <row r="22">
      <c r="A22" s="4" t="s">
        <v>197</v>
      </c>
      <c r="B22" s="14">
        <v>12.0</v>
      </c>
      <c r="C22" s="9">
        <v>17.5</v>
      </c>
      <c r="D22" s="17">
        <f t="shared" si="1"/>
        <v>210</v>
      </c>
      <c r="E22" s="4">
        <v>0.114</v>
      </c>
      <c r="F22" s="17">
        <f t="shared" si="2"/>
        <v>4.332</v>
      </c>
      <c r="G22" s="61">
        <f t="shared" si="3"/>
        <v>21.832</v>
      </c>
    </row>
    <row r="23">
      <c r="A23" s="4" t="s">
        <v>201</v>
      </c>
      <c r="B23" s="14">
        <v>18.0</v>
      </c>
      <c r="C23" s="9">
        <v>74.0</v>
      </c>
      <c r="D23" s="17">
        <f t="shared" si="1"/>
        <v>1332</v>
      </c>
      <c r="E23" s="4">
        <v>0.399</v>
      </c>
      <c r="F23" s="17">
        <f t="shared" si="2"/>
        <v>15.162</v>
      </c>
      <c r="G23" s="61">
        <f t="shared" si="3"/>
        <v>89.162</v>
      </c>
      <c r="I23" s="21">
        <f>E23*18</f>
        <v>7.182</v>
      </c>
      <c r="J23" s="4">
        <v>24.0</v>
      </c>
      <c r="K23" s="4" t="s">
        <v>533</v>
      </c>
    </row>
    <row r="24">
      <c r="B24" s="59"/>
      <c r="C24" s="17"/>
      <c r="D24" s="59"/>
      <c r="F24" s="17"/>
      <c r="G24" s="59"/>
    </row>
    <row r="25">
      <c r="B25" s="59"/>
      <c r="C25" s="17"/>
      <c r="D25" s="17">
        <f>SUM(D2:D23)</f>
        <v>34671</v>
      </c>
      <c r="F25" s="17">
        <f>SUM(F2:F23)</f>
        <v>260.338</v>
      </c>
      <c r="G25" s="59"/>
    </row>
    <row r="26">
      <c r="B26" s="59"/>
      <c r="C26" s="17"/>
      <c r="D26" s="59"/>
      <c r="F26" s="17"/>
      <c r="G26" s="59"/>
    </row>
    <row r="27">
      <c r="A27" s="44" t="s">
        <v>541</v>
      </c>
      <c r="B27" s="14">
        <v>80.0</v>
      </c>
      <c r="C27" s="9">
        <v>11.0</v>
      </c>
      <c r="D27" s="17">
        <f t="shared" ref="D27:D29" si="4">C27*B27</f>
        <v>880</v>
      </c>
      <c r="E27" s="4">
        <v>0.027</v>
      </c>
      <c r="F27" s="17">
        <f t="shared" ref="F27:F29" si="5">38*E27</f>
        <v>1.026</v>
      </c>
      <c r="G27" s="61">
        <f t="shared" ref="G27:G29" si="6">F27+C27</f>
        <v>12.026</v>
      </c>
      <c r="I27" s="21">
        <f>E27*80</f>
        <v>2.16</v>
      </c>
    </row>
    <row r="28">
      <c r="A28" s="44" t="s">
        <v>550</v>
      </c>
      <c r="B28" s="14">
        <v>20.0</v>
      </c>
      <c r="C28" s="9">
        <v>15.0</v>
      </c>
      <c r="D28" s="17">
        <f t="shared" si="4"/>
        <v>300</v>
      </c>
      <c r="E28" s="4">
        <v>0.027</v>
      </c>
      <c r="F28" s="17">
        <f t="shared" si="5"/>
        <v>1.026</v>
      </c>
      <c r="G28" s="61">
        <f t="shared" si="6"/>
        <v>16.026</v>
      </c>
      <c r="I28" s="21">
        <f t="shared" ref="I28:I29" si="7">E28*B28</f>
        <v>0.54</v>
      </c>
    </row>
    <row r="29">
      <c r="A29" s="44" t="s">
        <v>555</v>
      </c>
      <c r="B29" s="14">
        <v>5.0</v>
      </c>
      <c r="C29" s="9">
        <v>203.0</v>
      </c>
      <c r="D29" s="17">
        <f t="shared" si="4"/>
        <v>1015</v>
      </c>
      <c r="E29" s="4">
        <v>0.56</v>
      </c>
      <c r="F29" s="17">
        <f t="shared" si="5"/>
        <v>21.28</v>
      </c>
      <c r="G29" s="61">
        <f t="shared" si="6"/>
        <v>224.28</v>
      </c>
      <c r="I29" s="21">
        <f t="shared" si="7"/>
        <v>2.8</v>
      </c>
    </row>
    <row r="30">
      <c r="B30" s="59"/>
      <c r="C30" s="9"/>
      <c r="D30" s="59"/>
      <c r="F30" s="17"/>
      <c r="G30" s="59"/>
    </row>
    <row r="31">
      <c r="B31" s="59"/>
      <c r="C31" s="17"/>
      <c r="D31" s="17">
        <f>SUM(D27:D29)</f>
        <v>2195</v>
      </c>
      <c r="F31" s="17"/>
      <c r="G31" s="59"/>
      <c r="I31" s="21">
        <f>SUM(I23:I29)</f>
        <v>12.682</v>
      </c>
    </row>
    <row r="32">
      <c r="B32" s="59"/>
      <c r="C32" s="17"/>
      <c r="D32" s="59"/>
      <c r="F32" s="17"/>
      <c r="G32" s="59"/>
    </row>
    <row r="33">
      <c r="B33" s="59"/>
      <c r="C33" s="17"/>
      <c r="D33" s="59"/>
      <c r="F33" s="17"/>
      <c r="G33" s="59"/>
    </row>
    <row r="34">
      <c r="A34" s="1" t="s">
        <v>568</v>
      </c>
      <c r="B34" s="1">
        <v>12.0</v>
      </c>
      <c r="C34" s="1" t="s">
        <v>569</v>
      </c>
      <c r="D34" s="1" t="s">
        <v>570</v>
      </c>
      <c r="F34" s="17"/>
      <c r="G34" s="59"/>
    </row>
    <row r="35">
      <c r="A35" s="1" t="s">
        <v>572</v>
      </c>
      <c r="B35" s="1">
        <v>12.0</v>
      </c>
      <c r="C35" s="1" t="s">
        <v>573</v>
      </c>
      <c r="D35" s="1" t="s">
        <v>576</v>
      </c>
      <c r="F35" s="17"/>
      <c r="G35" s="59"/>
    </row>
    <row r="36">
      <c r="A36" s="1" t="s">
        <v>475</v>
      </c>
      <c r="B36" s="1">
        <v>12.0</v>
      </c>
      <c r="C36" s="1" t="s">
        <v>573</v>
      </c>
      <c r="D36" s="1" t="s">
        <v>576</v>
      </c>
      <c r="F36" s="17"/>
      <c r="G36" s="59"/>
    </row>
    <row r="37">
      <c r="A37" s="1" t="s">
        <v>578</v>
      </c>
      <c r="B37" s="1">
        <v>30.0</v>
      </c>
      <c r="C37" s="1" t="s">
        <v>579</v>
      </c>
      <c r="D37" s="1" t="s">
        <v>580</v>
      </c>
      <c r="F37" s="17"/>
      <c r="G37" s="59"/>
    </row>
    <row r="38">
      <c r="A38" s="1" t="s">
        <v>186</v>
      </c>
      <c r="B38" s="1">
        <v>6.0</v>
      </c>
      <c r="C38" s="1" t="s">
        <v>583</v>
      </c>
      <c r="D38" s="1" t="s">
        <v>584</v>
      </c>
      <c r="F38" s="17"/>
      <c r="G38" s="59"/>
    </row>
    <row r="39">
      <c r="A39" s="1" t="s">
        <v>133</v>
      </c>
      <c r="B39" s="1">
        <v>6.0</v>
      </c>
      <c r="C39" s="1" t="s">
        <v>583</v>
      </c>
      <c r="D39" s="1" t="s">
        <v>584</v>
      </c>
      <c r="F39" s="17"/>
      <c r="G39" s="59"/>
    </row>
    <row r="40">
      <c r="A40" s="1" t="s">
        <v>135</v>
      </c>
      <c r="B40" s="1">
        <v>24.0</v>
      </c>
      <c r="C40" s="1" t="s">
        <v>586</v>
      </c>
      <c r="D40" s="1" t="s">
        <v>587</v>
      </c>
      <c r="F40" s="17"/>
      <c r="G40" s="59"/>
    </row>
    <row r="41">
      <c r="A41" s="1" t="s">
        <v>589</v>
      </c>
      <c r="B41" s="1">
        <v>120.0</v>
      </c>
      <c r="C41" s="1" t="s">
        <v>590</v>
      </c>
      <c r="D41" s="1" t="s">
        <v>591</v>
      </c>
      <c r="F41" s="17"/>
      <c r="G41" s="59"/>
    </row>
    <row r="42">
      <c r="A42" s="1" t="s">
        <v>184</v>
      </c>
      <c r="B42" s="59"/>
      <c r="C42" s="17"/>
      <c r="D42" s="59"/>
      <c r="F42" s="17"/>
      <c r="G42" s="59"/>
    </row>
    <row r="43">
      <c r="B43" s="59"/>
      <c r="C43" s="17"/>
      <c r="D43" s="59">
        <f>SUM(D34:D41)</f>
        <v>0</v>
      </c>
      <c r="F43" s="17"/>
      <c r="G43" s="59"/>
    </row>
    <row r="44">
      <c r="B44" s="59"/>
      <c r="C44" s="17"/>
      <c r="D44" s="59"/>
      <c r="F44" s="17"/>
      <c r="G44" s="59"/>
    </row>
    <row r="45">
      <c r="B45" s="59"/>
      <c r="C45" s="17"/>
      <c r="D45" s="59"/>
      <c r="F45" s="17"/>
      <c r="G45" s="59"/>
    </row>
    <row r="46">
      <c r="A46" s="4" t="s">
        <v>600</v>
      </c>
      <c r="B46" s="4" t="s">
        <v>601</v>
      </c>
      <c r="C46" s="4" t="s">
        <v>603</v>
      </c>
      <c r="D46" s="4" t="s">
        <v>605</v>
      </c>
      <c r="E46" s="4" t="s">
        <v>606</v>
      </c>
      <c r="F46" s="4" t="s">
        <v>607</v>
      </c>
      <c r="G46" s="4" t="s">
        <v>30</v>
      </c>
      <c r="H46" s="4" t="s">
        <v>609</v>
      </c>
    </row>
    <row r="47">
      <c r="A47" s="4" t="s">
        <v>209</v>
      </c>
      <c r="B47" s="4" t="s">
        <v>611</v>
      </c>
      <c r="C47" s="4">
        <v>15.0</v>
      </c>
      <c r="D47" s="4">
        <v>3.0</v>
      </c>
      <c r="E47" s="4">
        <v>45.0</v>
      </c>
      <c r="F47" s="4">
        <v>0.025</v>
      </c>
      <c r="G47" s="4">
        <f t="shared" ref="G47:G115" si="8">F47*D47</f>
        <v>0.075</v>
      </c>
      <c r="H47" s="4">
        <f t="shared" ref="H47:H115" si="9">F47*38</f>
        <v>0.95</v>
      </c>
      <c r="I47" s="4">
        <f t="shared" ref="I47:I115" si="10">H47+C47</f>
        <v>15.95</v>
      </c>
    </row>
    <row r="48">
      <c r="A48" s="4" t="s">
        <v>210</v>
      </c>
      <c r="B48" s="4" t="s">
        <v>622</v>
      </c>
      <c r="C48" s="4">
        <v>18.0</v>
      </c>
      <c r="D48" s="4">
        <v>3.0</v>
      </c>
      <c r="E48" s="4">
        <v>54.0</v>
      </c>
      <c r="F48" s="4">
        <v>0.02</v>
      </c>
      <c r="G48" s="4">
        <f t="shared" si="8"/>
        <v>0.06</v>
      </c>
      <c r="H48" s="4">
        <f t="shared" si="9"/>
        <v>0.76</v>
      </c>
      <c r="I48" s="4">
        <f t="shared" si="10"/>
        <v>18.76</v>
      </c>
    </row>
    <row r="49">
      <c r="A49" s="4" t="s">
        <v>212</v>
      </c>
      <c r="B49" s="4" t="s">
        <v>626</v>
      </c>
      <c r="C49" s="4">
        <v>21.0</v>
      </c>
      <c r="D49" s="4">
        <v>3.0</v>
      </c>
      <c r="E49" s="4">
        <v>63.0</v>
      </c>
      <c r="F49" s="4">
        <v>0.031</v>
      </c>
      <c r="G49" s="4">
        <f t="shared" si="8"/>
        <v>0.093</v>
      </c>
      <c r="H49" s="4">
        <f t="shared" si="9"/>
        <v>1.178</v>
      </c>
      <c r="I49" s="4">
        <f t="shared" si="10"/>
        <v>22.178</v>
      </c>
    </row>
    <row r="50">
      <c r="A50" s="4" t="s">
        <v>232</v>
      </c>
      <c r="B50" s="4" t="s">
        <v>630</v>
      </c>
      <c r="C50" s="4">
        <v>10.0</v>
      </c>
      <c r="D50" s="4">
        <v>2.0</v>
      </c>
      <c r="E50" s="4">
        <v>20.0</v>
      </c>
      <c r="F50" s="4">
        <v>0.001</v>
      </c>
      <c r="G50" s="4">
        <f t="shared" si="8"/>
        <v>0.002</v>
      </c>
      <c r="H50" s="4">
        <f t="shared" si="9"/>
        <v>0.038</v>
      </c>
      <c r="I50" s="4">
        <f t="shared" si="10"/>
        <v>10.038</v>
      </c>
    </row>
    <row r="51">
      <c r="A51" s="4" t="s">
        <v>235</v>
      </c>
      <c r="B51" s="4" t="s">
        <v>636</v>
      </c>
      <c r="C51" s="4">
        <v>10.0</v>
      </c>
      <c r="D51" s="4">
        <v>2.0</v>
      </c>
      <c r="E51" s="4">
        <v>20.0</v>
      </c>
      <c r="F51" s="4">
        <v>0.001</v>
      </c>
      <c r="G51" s="4">
        <f t="shared" si="8"/>
        <v>0.002</v>
      </c>
      <c r="H51" s="4">
        <f t="shared" si="9"/>
        <v>0.038</v>
      </c>
      <c r="I51" s="4">
        <f t="shared" si="10"/>
        <v>10.038</v>
      </c>
    </row>
    <row r="52">
      <c r="A52" s="4" t="s">
        <v>237</v>
      </c>
      <c r="B52" s="4" t="s">
        <v>640</v>
      </c>
      <c r="C52" s="4">
        <v>6.0</v>
      </c>
      <c r="D52" s="4">
        <v>2.0</v>
      </c>
      <c r="E52" s="4">
        <v>12.0</v>
      </c>
      <c r="F52" s="4">
        <v>0.001</v>
      </c>
      <c r="G52" s="4">
        <f t="shared" si="8"/>
        <v>0.002</v>
      </c>
      <c r="H52" s="4">
        <f t="shared" si="9"/>
        <v>0.038</v>
      </c>
      <c r="I52" s="4">
        <f t="shared" si="10"/>
        <v>6.038</v>
      </c>
    </row>
    <row r="53">
      <c r="A53" s="4" t="s">
        <v>239</v>
      </c>
      <c r="B53" s="4" t="s">
        <v>644</v>
      </c>
      <c r="C53" s="4">
        <v>10.0</v>
      </c>
      <c r="D53" s="4">
        <v>2.0</v>
      </c>
      <c r="E53" s="4">
        <v>20.0</v>
      </c>
      <c r="F53" s="4">
        <v>0.001</v>
      </c>
      <c r="G53" s="4">
        <f t="shared" si="8"/>
        <v>0.002</v>
      </c>
      <c r="H53" s="4">
        <f t="shared" si="9"/>
        <v>0.038</v>
      </c>
      <c r="I53" s="4">
        <f t="shared" si="10"/>
        <v>10.038</v>
      </c>
    </row>
    <row r="54">
      <c r="A54" s="4" t="s">
        <v>240</v>
      </c>
      <c r="B54" s="4" t="s">
        <v>649</v>
      </c>
      <c r="C54" s="4">
        <v>10.0</v>
      </c>
      <c r="D54" s="4">
        <v>2.0</v>
      </c>
      <c r="E54" s="4">
        <v>20.0</v>
      </c>
      <c r="F54" s="4">
        <v>0.001</v>
      </c>
      <c r="G54" s="4">
        <f t="shared" si="8"/>
        <v>0.002</v>
      </c>
      <c r="H54" s="4">
        <f t="shared" si="9"/>
        <v>0.038</v>
      </c>
      <c r="I54" s="4">
        <f t="shared" si="10"/>
        <v>10.038</v>
      </c>
    </row>
    <row r="55">
      <c r="A55" s="4" t="s">
        <v>242</v>
      </c>
      <c r="B55" s="4" t="s">
        <v>653</v>
      </c>
      <c r="C55" s="4">
        <v>10.0</v>
      </c>
      <c r="D55" s="4">
        <v>2.0</v>
      </c>
      <c r="E55" s="4">
        <v>20.0</v>
      </c>
      <c r="F55" s="4">
        <v>0.001</v>
      </c>
      <c r="G55" s="4">
        <f t="shared" si="8"/>
        <v>0.002</v>
      </c>
      <c r="H55" s="4">
        <f t="shared" si="9"/>
        <v>0.038</v>
      </c>
      <c r="I55" s="4">
        <f t="shared" si="10"/>
        <v>10.038</v>
      </c>
    </row>
    <row r="56">
      <c r="A56" s="4" t="s">
        <v>244</v>
      </c>
      <c r="B56" s="4" t="s">
        <v>657</v>
      </c>
      <c r="C56" s="4">
        <v>10.0</v>
      </c>
      <c r="D56" s="4">
        <v>2.0</v>
      </c>
      <c r="E56" s="4">
        <v>20.0</v>
      </c>
      <c r="F56" s="4">
        <v>0.001</v>
      </c>
      <c r="G56" s="4">
        <f t="shared" si="8"/>
        <v>0.002</v>
      </c>
      <c r="H56" s="4">
        <f t="shared" si="9"/>
        <v>0.038</v>
      </c>
      <c r="I56" s="4">
        <f t="shared" si="10"/>
        <v>10.038</v>
      </c>
    </row>
    <row r="57">
      <c r="A57" s="4" t="s">
        <v>245</v>
      </c>
      <c r="B57" s="4" t="s">
        <v>660</v>
      </c>
      <c r="C57" s="4">
        <v>10.0</v>
      </c>
      <c r="D57" s="4">
        <v>2.0</v>
      </c>
      <c r="E57" s="4">
        <v>20.0</v>
      </c>
      <c r="F57" s="4">
        <v>0.001</v>
      </c>
      <c r="G57" s="4">
        <f t="shared" si="8"/>
        <v>0.002</v>
      </c>
      <c r="H57" s="4">
        <f t="shared" si="9"/>
        <v>0.038</v>
      </c>
      <c r="I57" s="4">
        <f t="shared" si="10"/>
        <v>10.038</v>
      </c>
    </row>
    <row r="58">
      <c r="A58" s="4" t="s">
        <v>247</v>
      </c>
      <c r="B58" s="4" t="s">
        <v>664</v>
      </c>
      <c r="C58" s="4">
        <v>10.0</v>
      </c>
      <c r="D58" s="4">
        <v>2.0</v>
      </c>
      <c r="E58" s="4">
        <v>20.0</v>
      </c>
      <c r="F58" s="4">
        <v>0.001</v>
      </c>
      <c r="G58" s="4">
        <f t="shared" si="8"/>
        <v>0.002</v>
      </c>
      <c r="H58" s="4">
        <f t="shared" si="9"/>
        <v>0.038</v>
      </c>
      <c r="I58" s="4">
        <f t="shared" si="10"/>
        <v>10.038</v>
      </c>
    </row>
    <row r="59">
      <c r="A59" s="4" t="s">
        <v>250</v>
      </c>
      <c r="B59" s="4" t="s">
        <v>667</v>
      </c>
      <c r="C59" s="4">
        <v>10.0</v>
      </c>
      <c r="D59" s="4">
        <v>2.0</v>
      </c>
      <c r="E59" s="4">
        <v>20.0</v>
      </c>
      <c r="F59" s="4">
        <v>0.001</v>
      </c>
      <c r="G59" s="4">
        <f t="shared" si="8"/>
        <v>0.002</v>
      </c>
      <c r="H59" s="4">
        <f t="shared" si="9"/>
        <v>0.038</v>
      </c>
      <c r="I59" s="4">
        <f t="shared" si="10"/>
        <v>10.038</v>
      </c>
    </row>
    <row r="60">
      <c r="A60" s="4" t="s">
        <v>252</v>
      </c>
      <c r="B60" s="4" t="s">
        <v>672</v>
      </c>
      <c r="C60" s="4">
        <v>10.0</v>
      </c>
      <c r="D60" s="4">
        <v>2.0</v>
      </c>
      <c r="E60" s="4">
        <v>20.0</v>
      </c>
      <c r="F60" s="4">
        <v>0.001</v>
      </c>
      <c r="G60" s="4">
        <f t="shared" si="8"/>
        <v>0.002</v>
      </c>
      <c r="H60" s="4">
        <f t="shared" si="9"/>
        <v>0.038</v>
      </c>
      <c r="I60" s="4">
        <f t="shared" si="10"/>
        <v>10.038</v>
      </c>
    </row>
    <row r="61">
      <c r="A61" s="4" t="s">
        <v>254</v>
      </c>
      <c r="B61" s="4" t="s">
        <v>675</v>
      </c>
      <c r="C61" s="4">
        <v>10.0</v>
      </c>
      <c r="D61" s="4">
        <v>2.0</v>
      </c>
      <c r="E61" s="4">
        <v>20.0</v>
      </c>
      <c r="F61" s="4">
        <v>0.001</v>
      </c>
      <c r="G61" s="4">
        <f t="shared" si="8"/>
        <v>0.002</v>
      </c>
      <c r="H61" s="4">
        <f t="shared" si="9"/>
        <v>0.038</v>
      </c>
      <c r="I61" s="4">
        <f t="shared" si="10"/>
        <v>10.038</v>
      </c>
    </row>
    <row r="62">
      <c r="A62" s="4" t="s">
        <v>256</v>
      </c>
      <c r="B62" s="4" t="s">
        <v>678</v>
      </c>
      <c r="C62" s="4">
        <v>10.0</v>
      </c>
      <c r="D62" s="4">
        <v>2.0</v>
      </c>
      <c r="E62" s="4">
        <v>20.0</v>
      </c>
      <c r="F62" s="4">
        <v>0.001</v>
      </c>
      <c r="G62" s="4">
        <f t="shared" si="8"/>
        <v>0.002</v>
      </c>
      <c r="H62" s="4">
        <f t="shared" si="9"/>
        <v>0.038</v>
      </c>
      <c r="I62" s="4">
        <f t="shared" si="10"/>
        <v>10.038</v>
      </c>
    </row>
    <row r="63">
      <c r="A63" s="4" t="s">
        <v>258</v>
      </c>
      <c r="B63" s="4" t="s">
        <v>682</v>
      </c>
      <c r="C63" s="4">
        <v>15.0</v>
      </c>
      <c r="D63" s="4">
        <v>18.0</v>
      </c>
      <c r="E63" s="4">
        <f>D63*C63</f>
        <v>270</v>
      </c>
      <c r="F63" s="4">
        <v>0.05</v>
      </c>
      <c r="G63" s="4">
        <f t="shared" si="8"/>
        <v>0.9</v>
      </c>
      <c r="H63" s="4">
        <f t="shared" si="9"/>
        <v>1.9</v>
      </c>
      <c r="I63" s="4">
        <f t="shared" si="10"/>
        <v>16.9</v>
      </c>
    </row>
    <row r="64">
      <c r="A64" s="4" t="s">
        <v>261</v>
      </c>
      <c r="B64" s="4" t="s">
        <v>688</v>
      </c>
      <c r="C64" s="4">
        <v>6.0</v>
      </c>
      <c r="D64" s="4">
        <v>2.0</v>
      </c>
      <c r="E64" s="4">
        <v>12.0</v>
      </c>
      <c r="F64" s="4">
        <v>0.025</v>
      </c>
      <c r="G64" s="4">
        <f t="shared" si="8"/>
        <v>0.05</v>
      </c>
      <c r="H64" s="4">
        <f t="shared" si="9"/>
        <v>0.95</v>
      </c>
      <c r="I64" s="4">
        <f t="shared" si="10"/>
        <v>6.95</v>
      </c>
    </row>
    <row r="65">
      <c r="A65" s="4" t="s">
        <v>263</v>
      </c>
      <c r="B65" s="4" t="s">
        <v>691</v>
      </c>
      <c r="C65" s="4">
        <v>6.0</v>
      </c>
      <c r="D65" s="4">
        <v>2.0</v>
      </c>
      <c r="E65" s="4">
        <v>12.0</v>
      </c>
      <c r="F65" s="4">
        <v>0.025</v>
      </c>
      <c r="G65" s="4">
        <f t="shared" si="8"/>
        <v>0.05</v>
      </c>
      <c r="H65" s="4">
        <f t="shared" si="9"/>
        <v>0.95</v>
      </c>
      <c r="I65" s="4">
        <f t="shared" si="10"/>
        <v>6.95</v>
      </c>
    </row>
    <row r="66">
      <c r="A66" s="4" t="s">
        <v>265</v>
      </c>
      <c r="B66" s="4" t="s">
        <v>695</v>
      </c>
      <c r="C66" s="4">
        <v>6.0</v>
      </c>
      <c r="D66" s="4">
        <v>2.0</v>
      </c>
      <c r="E66" s="4">
        <v>12.0</v>
      </c>
      <c r="F66" s="4">
        <v>0.025</v>
      </c>
      <c r="G66" s="4">
        <f t="shared" si="8"/>
        <v>0.05</v>
      </c>
      <c r="H66" s="4">
        <f t="shared" si="9"/>
        <v>0.95</v>
      </c>
      <c r="I66" s="4">
        <f t="shared" si="10"/>
        <v>6.95</v>
      </c>
    </row>
    <row r="67">
      <c r="A67" s="4" t="s">
        <v>267</v>
      </c>
      <c r="B67" s="4" t="s">
        <v>697</v>
      </c>
      <c r="C67" s="4">
        <v>6.0</v>
      </c>
      <c r="D67" s="4">
        <v>1.0</v>
      </c>
      <c r="E67" s="4">
        <v>6.0</v>
      </c>
      <c r="F67" s="4">
        <v>0.04</v>
      </c>
      <c r="G67" s="4">
        <f t="shared" si="8"/>
        <v>0.04</v>
      </c>
      <c r="H67" s="4">
        <f t="shared" si="9"/>
        <v>1.52</v>
      </c>
      <c r="I67" s="4">
        <f t="shared" si="10"/>
        <v>7.52</v>
      </c>
    </row>
    <row r="68">
      <c r="A68" s="4" t="s">
        <v>268</v>
      </c>
      <c r="B68" s="4" t="s">
        <v>702</v>
      </c>
      <c r="C68" s="4">
        <v>5.5</v>
      </c>
      <c r="D68" s="4">
        <v>1.0</v>
      </c>
      <c r="E68" s="4">
        <v>5.5</v>
      </c>
      <c r="F68" s="4">
        <v>0.04</v>
      </c>
      <c r="G68" s="4">
        <f t="shared" si="8"/>
        <v>0.04</v>
      </c>
      <c r="H68" s="4">
        <f t="shared" si="9"/>
        <v>1.52</v>
      </c>
      <c r="I68" s="4">
        <f t="shared" si="10"/>
        <v>7.02</v>
      </c>
    </row>
    <row r="69">
      <c r="A69" s="4" t="s">
        <v>271</v>
      </c>
      <c r="B69" s="4" t="s">
        <v>705</v>
      </c>
      <c r="C69" s="4">
        <v>5.5</v>
      </c>
      <c r="D69" s="4">
        <v>1.0</v>
      </c>
      <c r="E69" s="4">
        <v>5.5</v>
      </c>
      <c r="F69" s="4">
        <v>0.04</v>
      </c>
      <c r="G69" s="4">
        <f t="shared" si="8"/>
        <v>0.04</v>
      </c>
      <c r="H69" s="4">
        <f t="shared" si="9"/>
        <v>1.52</v>
      </c>
      <c r="I69" s="4">
        <f t="shared" si="10"/>
        <v>7.02</v>
      </c>
    </row>
    <row r="70">
      <c r="A70" s="4" t="s">
        <v>272</v>
      </c>
      <c r="B70" s="4" t="s">
        <v>708</v>
      </c>
      <c r="C70" s="4">
        <v>6.5</v>
      </c>
      <c r="D70" s="4">
        <v>1.0</v>
      </c>
      <c r="E70" s="4">
        <v>6.5</v>
      </c>
      <c r="F70" s="4">
        <v>0.04</v>
      </c>
      <c r="G70" s="4">
        <f t="shared" si="8"/>
        <v>0.04</v>
      </c>
      <c r="H70" s="4">
        <f t="shared" si="9"/>
        <v>1.52</v>
      </c>
      <c r="I70" s="4">
        <f t="shared" si="10"/>
        <v>8.02</v>
      </c>
    </row>
    <row r="71">
      <c r="A71" s="4" t="s">
        <v>275</v>
      </c>
      <c r="B71" s="4" t="s">
        <v>713</v>
      </c>
      <c r="C71" s="4">
        <v>5.25</v>
      </c>
      <c r="D71" s="4">
        <v>1.0</v>
      </c>
      <c r="E71" s="4">
        <v>5.25</v>
      </c>
      <c r="F71" s="4">
        <v>0.04</v>
      </c>
      <c r="G71" s="4">
        <f t="shared" si="8"/>
        <v>0.04</v>
      </c>
      <c r="H71" s="4">
        <f t="shared" si="9"/>
        <v>1.52</v>
      </c>
      <c r="I71" s="4">
        <f t="shared" si="10"/>
        <v>6.77</v>
      </c>
    </row>
    <row r="72">
      <c r="A72" s="4" t="s">
        <v>277</v>
      </c>
      <c r="B72" s="4" t="s">
        <v>715</v>
      </c>
      <c r="C72" s="4">
        <v>5.25</v>
      </c>
      <c r="D72" s="4">
        <v>2.0</v>
      </c>
      <c r="E72" s="4">
        <v>10.5</v>
      </c>
      <c r="F72" s="4">
        <v>0.04</v>
      </c>
      <c r="G72" s="4">
        <f t="shared" si="8"/>
        <v>0.08</v>
      </c>
      <c r="H72" s="4">
        <f t="shared" si="9"/>
        <v>1.52</v>
      </c>
      <c r="I72" s="4">
        <f t="shared" si="10"/>
        <v>6.77</v>
      </c>
    </row>
    <row r="73">
      <c r="A73" s="4" t="s">
        <v>279</v>
      </c>
      <c r="B73" s="4" t="s">
        <v>718</v>
      </c>
      <c r="C73" s="4">
        <v>5.25</v>
      </c>
      <c r="D73" s="4">
        <v>2.0</v>
      </c>
      <c r="E73" s="4">
        <v>10.5</v>
      </c>
      <c r="F73" s="4">
        <v>0.04</v>
      </c>
      <c r="G73" s="4">
        <f t="shared" si="8"/>
        <v>0.08</v>
      </c>
      <c r="H73" s="4">
        <f t="shared" si="9"/>
        <v>1.52</v>
      </c>
      <c r="I73" s="4">
        <f t="shared" si="10"/>
        <v>6.77</v>
      </c>
    </row>
    <row r="74">
      <c r="A74" s="4" t="s">
        <v>280</v>
      </c>
      <c r="B74" s="4" t="s">
        <v>721</v>
      </c>
      <c r="C74" s="4">
        <v>5.25</v>
      </c>
      <c r="D74" s="4">
        <v>2.0</v>
      </c>
      <c r="E74" s="4">
        <v>10.5</v>
      </c>
      <c r="F74" s="4">
        <v>0.04</v>
      </c>
      <c r="G74" s="4">
        <f t="shared" si="8"/>
        <v>0.08</v>
      </c>
      <c r="H74" s="4">
        <f t="shared" si="9"/>
        <v>1.52</v>
      </c>
      <c r="I74" s="4">
        <f t="shared" si="10"/>
        <v>6.77</v>
      </c>
    </row>
    <row r="75">
      <c r="A75" s="4" t="s">
        <v>282</v>
      </c>
      <c r="B75" s="4" t="s">
        <v>726</v>
      </c>
      <c r="C75" s="4">
        <v>5.5</v>
      </c>
      <c r="D75" s="4">
        <v>1.0</v>
      </c>
      <c r="E75" s="4">
        <v>5.5</v>
      </c>
      <c r="F75" s="4">
        <v>0.04</v>
      </c>
      <c r="G75" s="4">
        <f t="shared" si="8"/>
        <v>0.04</v>
      </c>
      <c r="H75" s="4">
        <f t="shared" si="9"/>
        <v>1.52</v>
      </c>
      <c r="I75" s="4">
        <f t="shared" si="10"/>
        <v>7.02</v>
      </c>
    </row>
    <row r="76">
      <c r="A76" s="4" t="s">
        <v>285</v>
      </c>
      <c r="B76" s="4" t="s">
        <v>730</v>
      </c>
      <c r="C76" s="4">
        <v>5.5</v>
      </c>
      <c r="D76" s="4">
        <v>1.0</v>
      </c>
      <c r="E76" s="4">
        <v>5.5</v>
      </c>
      <c r="F76" s="4">
        <v>0.04</v>
      </c>
      <c r="G76" s="4">
        <f t="shared" si="8"/>
        <v>0.04</v>
      </c>
      <c r="H76" s="4">
        <f t="shared" si="9"/>
        <v>1.52</v>
      </c>
      <c r="I76" s="4">
        <f t="shared" si="10"/>
        <v>7.02</v>
      </c>
    </row>
    <row r="77">
      <c r="A77" s="4" t="s">
        <v>286</v>
      </c>
      <c r="B77" s="4" t="s">
        <v>734</v>
      </c>
      <c r="C77" s="4">
        <v>5.75</v>
      </c>
      <c r="D77" s="4">
        <v>1.0</v>
      </c>
      <c r="E77" s="4">
        <v>5.75</v>
      </c>
      <c r="F77" s="4">
        <v>0.04</v>
      </c>
      <c r="G77" s="4">
        <f t="shared" si="8"/>
        <v>0.04</v>
      </c>
      <c r="H77" s="4">
        <f t="shared" si="9"/>
        <v>1.52</v>
      </c>
      <c r="I77" s="4">
        <f t="shared" si="10"/>
        <v>7.27</v>
      </c>
    </row>
    <row r="78">
      <c r="A78" s="4" t="s">
        <v>288</v>
      </c>
      <c r="B78" s="4" t="s">
        <v>739</v>
      </c>
      <c r="C78" s="4">
        <v>7.0</v>
      </c>
      <c r="D78" s="4">
        <v>1.0</v>
      </c>
      <c r="E78" s="4">
        <v>7.0</v>
      </c>
      <c r="F78" s="4">
        <v>0.04</v>
      </c>
      <c r="G78" s="4">
        <f t="shared" si="8"/>
        <v>0.04</v>
      </c>
      <c r="H78" s="4">
        <f t="shared" si="9"/>
        <v>1.52</v>
      </c>
      <c r="I78" s="4">
        <f t="shared" si="10"/>
        <v>8.52</v>
      </c>
    </row>
    <row r="79">
      <c r="A79" s="4" t="s">
        <v>290</v>
      </c>
      <c r="B79" s="4" t="s">
        <v>741</v>
      </c>
      <c r="C79" s="4">
        <v>5.75</v>
      </c>
      <c r="D79" s="4">
        <v>1.0</v>
      </c>
      <c r="E79" s="4">
        <v>5.75</v>
      </c>
      <c r="F79" s="4">
        <v>0.04</v>
      </c>
      <c r="G79" s="4">
        <f t="shared" si="8"/>
        <v>0.04</v>
      </c>
      <c r="H79" s="4">
        <f t="shared" si="9"/>
        <v>1.52</v>
      </c>
      <c r="I79" s="4">
        <f t="shared" si="10"/>
        <v>7.27</v>
      </c>
    </row>
    <row r="80">
      <c r="A80" s="4" t="s">
        <v>291</v>
      </c>
      <c r="B80" s="4" t="s">
        <v>744</v>
      </c>
      <c r="C80" s="4">
        <v>6.5</v>
      </c>
      <c r="D80" s="4">
        <v>1.0</v>
      </c>
      <c r="E80" s="4">
        <v>6.5</v>
      </c>
      <c r="F80" s="4">
        <v>0.04</v>
      </c>
      <c r="G80" s="4">
        <f t="shared" si="8"/>
        <v>0.04</v>
      </c>
      <c r="H80" s="4">
        <f t="shared" si="9"/>
        <v>1.52</v>
      </c>
      <c r="I80" s="4">
        <f t="shared" si="10"/>
        <v>8.02</v>
      </c>
    </row>
    <row r="81">
      <c r="A81" s="4" t="s">
        <v>295</v>
      </c>
      <c r="B81" s="4" t="s">
        <v>748</v>
      </c>
      <c r="C81" s="4">
        <v>5.0</v>
      </c>
      <c r="D81" s="4">
        <v>1.0</v>
      </c>
      <c r="E81" s="4">
        <v>5.0</v>
      </c>
      <c r="F81" s="4">
        <v>0.04</v>
      </c>
      <c r="G81" s="4">
        <f t="shared" si="8"/>
        <v>0.04</v>
      </c>
      <c r="H81" s="4">
        <f t="shared" si="9"/>
        <v>1.52</v>
      </c>
      <c r="I81" s="4">
        <f t="shared" si="10"/>
        <v>6.52</v>
      </c>
    </row>
    <row r="82">
      <c r="A82" s="4" t="s">
        <v>296</v>
      </c>
      <c r="B82" s="4" t="s">
        <v>755</v>
      </c>
      <c r="C82" s="4">
        <v>5.5</v>
      </c>
      <c r="D82" s="4">
        <v>1.0</v>
      </c>
      <c r="E82" s="4">
        <v>5.5</v>
      </c>
      <c r="F82" s="4">
        <v>0.04</v>
      </c>
      <c r="G82" s="4">
        <f t="shared" si="8"/>
        <v>0.04</v>
      </c>
      <c r="H82" s="4">
        <f t="shared" si="9"/>
        <v>1.52</v>
      </c>
      <c r="I82" s="4">
        <f t="shared" si="10"/>
        <v>7.02</v>
      </c>
    </row>
    <row r="83">
      <c r="A83" s="4" t="s">
        <v>297</v>
      </c>
      <c r="B83" s="4" t="s">
        <v>760</v>
      </c>
      <c r="C83" s="4">
        <v>5.5</v>
      </c>
      <c r="D83" s="4">
        <v>1.0</v>
      </c>
      <c r="E83" s="4">
        <v>5.5</v>
      </c>
      <c r="F83" s="4">
        <v>0.04</v>
      </c>
      <c r="G83" s="4">
        <f t="shared" si="8"/>
        <v>0.04</v>
      </c>
      <c r="H83" s="4">
        <f t="shared" si="9"/>
        <v>1.52</v>
      </c>
      <c r="I83" s="4">
        <f t="shared" si="10"/>
        <v>7.02</v>
      </c>
    </row>
    <row r="84">
      <c r="A84" s="4" t="s">
        <v>299</v>
      </c>
      <c r="B84" s="4" t="s">
        <v>765</v>
      </c>
      <c r="C84" s="4">
        <v>5.5</v>
      </c>
      <c r="D84" s="4">
        <v>1.0</v>
      </c>
      <c r="E84" s="4">
        <v>5.5</v>
      </c>
      <c r="F84" s="4">
        <v>0.04</v>
      </c>
      <c r="G84" s="4">
        <f t="shared" si="8"/>
        <v>0.04</v>
      </c>
      <c r="H84" s="4">
        <f t="shared" si="9"/>
        <v>1.52</v>
      </c>
      <c r="I84" s="4">
        <f t="shared" si="10"/>
        <v>7.02</v>
      </c>
    </row>
    <row r="85">
      <c r="A85" s="4" t="s">
        <v>302</v>
      </c>
      <c r="B85" s="4" t="s">
        <v>776</v>
      </c>
      <c r="C85" s="4">
        <v>5.0</v>
      </c>
      <c r="D85" s="4">
        <v>1.0</v>
      </c>
      <c r="E85" s="4">
        <v>5.0</v>
      </c>
      <c r="F85" s="4">
        <v>0.04</v>
      </c>
      <c r="G85" s="4">
        <f t="shared" si="8"/>
        <v>0.04</v>
      </c>
      <c r="H85" s="4">
        <f t="shared" si="9"/>
        <v>1.52</v>
      </c>
      <c r="I85" s="4">
        <f t="shared" si="10"/>
        <v>6.52</v>
      </c>
    </row>
    <row r="86">
      <c r="A86" s="4" t="s">
        <v>305</v>
      </c>
      <c r="B86" s="4" t="s">
        <v>787</v>
      </c>
      <c r="C86" s="4">
        <v>4.75</v>
      </c>
      <c r="D86" s="4">
        <v>2.0</v>
      </c>
      <c r="E86" s="4">
        <v>9.5</v>
      </c>
      <c r="F86" s="4">
        <v>0.04</v>
      </c>
      <c r="G86" s="4">
        <f t="shared" si="8"/>
        <v>0.08</v>
      </c>
      <c r="H86" s="4">
        <f t="shared" si="9"/>
        <v>1.52</v>
      </c>
      <c r="I86" s="4">
        <f t="shared" si="10"/>
        <v>6.27</v>
      </c>
    </row>
    <row r="87">
      <c r="A87" s="4" t="s">
        <v>792</v>
      </c>
      <c r="B87" s="4" t="s">
        <v>793</v>
      </c>
      <c r="C87" s="4">
        <v>5.0</v>
      </c>
      <c r="D87" s="4">
        <v>2.0</v>
      </c>
      <c r="E87" s="4">
        <v>10.0</v>
      </c>
      <c r="F87" s="4">
        <v>0.04</v>
      </c>
      <c r="G87" s="4">
        <f t="shared" si="8"/>
        <v>0.08</v>
      </c>
      <c r="H87" s="4">
        <f t="shared" si="9"/>
        <v>1.52</v>
      </c>
      <c r="I87" s="4">
        <f t="shared" si="10"/>
        <v>6.52</v>
      </c>
    </row>
    <row r="88">
      <c r="A88" s="4" t="s">
        <v>316</v>
      </c>
      <c r="B88" s="4" t="s">
        <v>798</v>
      </c>
      <c r="C88" s="4">
        <v>5.0</v>
      </c>
      <c r="D88" s="4">
        <v>2.0</v>
      </c>
      <c r="E88" s="4">
        <v>10.0</v>
      </c>
      <c r="F88" s="4">
        <v>0.04</v>
      </c>
      <c r="G88" s="4">
        <f t="shared" si="8"/>
        <v>0.08</v>
      </c>
      <c r="H88" s="4">
        <f t="shared" si="9"/>
        <v>1.52</v>
      </c>
      <c r="I88" s="4">
        <f t="shared" si="10"/>
        <v>6.52</v>
      </c>
    </row>
    <row r="89">
      <c r="A89" s="4" t="s">
        <v>318</v>
      </c>
      <c r="B89" s="4" t="s">
        <v>802</v>
      </c>
      <c r="C89" s="4">
        <v>5.0</v>
      </c>
      <c r="D89" s="4">
        <v>2.0</v>
      </c>
      <c r="E89" s="4">
        <v>10.0</v>
      </c>
      <c r="F89" s="4">
        <v>0.04</v>
      </c>
      <c r="G89" s="4">
        <f t="shared" si="8"/>
        <v>0.08</v>
      </c>
      <c r="H89" s="4">
        <f t="shared" si="9"/>
        <v>1.52</v>
      </c>
      <c r="I89" s="4">
        <f t="shared" si="10"/>
        <v>6.52</v>
      </c>
    </row>
    <row r="90">
      <c r="A90" s="4" t="s">
        <v>320</v>
      </c>
      <c r="B90" s="4" t="s">
        <v>806</v>
      </c>
      <c r="C90" s="4">
        <v>5.0</v>
      </c>
      <c r="D90" s="4">
        <v>2.0</v>
      </c>
      <c r="E90" s="4">
        <v>10.0</v>
      </c>
      <c r="F90" s="4">
        <v>0.04</v>
      </c>
      <c r="G90" s="4">
        <f t="shared" si="8"/>
        <v>0.08</v>
      </c>
      <c r="H90" s="4">
        <f t="shared" si="9"/>
        <v>1.52</v>
      </c>
      <c r="I90" s="4">
        <f t="shared" si="10"/>
        <v>6.52</v>
      </c>
    </row>
    <row r="91">
      <c r="A91" s="4" t="s">
        <v>323</v>
      </c>
      <c r="B91" s="4" t="s">
        <v>811</v>
      </c>
      <c r="C91" s="4">
        <v>6.0</v>
      </c>
      <c r="D91" s="4">
        <v>1.0</v>
      </c>
      <c r="E91" s="4">
        <v>6.0</v>
      </c>
      <c r="F91" s="4">
        <v>0.04</v>
      </c>
      <c r="G91" s="4">
        <f t="shared" si="8"/>
        <v>0.04</v>
      </c>
      <c r="H91" s="4">
        <f t="shared" si="9"/>
        <v>1.52</v>
      </c>
      <c r="I91" s="4">
        <f t="shared" si="10"/>
        <v>7.52</v>
      </c>
    </row>
    <row r="92">
      <c r="A92" s="4" t="s">
        <v>325</v>
      </c>
      <c r="B92" s="4" t="s">
        <v>816</v>
      </c>
      <c r="C92" s="4">
        <v>6.0</v>
      </c>
      <c r="D92" s="4">
        <v>1.0</v>
      </c>
      <c r="E92" s="4">
        <v>6.0</v>
      </c>
      <c r="F92" s="4">
        <v>0.04</v>
      </c>
      <c r="G92" s="4">
        <f t="shared" si="8"/>
        <v>0.04</v>
      </c>
      <c r="H92" s="4">
        <f t="shared" si="9"/>
        <v>1.52</v>
      </c>
      <c r="I92" s="4">
        <f t="shared" si="10"/>
        <v>7.52</v>
      </c>
    </row>
    <row r="93">
      <c r="A93" s="4" t="s">
        <v>326</v>
      </c>
      <c r="B93" s="4" t="s">
        <v>820</v>
      </c>
      <c r="C93" s="4">
        <v>6.0</v>
      </c>
      <c r="D93" s="4">
        <v>1.0</v>
      </c>
      <c r="E93" s="4">
        <v>6.0</v>
      </c>
      <c r="F93" s="4">
        <v>0.04</v>
      </c>
      <c r="G93" s="4">
        <f t="shared" si="8"/>
        <v>0.04</v>
      </c>
      <c r="H93" s="4">
        <f t="shared" si="9"/>
        <v>1.52</v>
      </c>
      <c r="I93" s="4">
        <f t="shared" si="10"/>
        <v>7.52</v>
      </c>
    </row>
    <row r="94">
      <c r="A94" s="4" t="s">
        <v>328</v>
      </c>
      <c r="B94" s="4" t="s">
        <v>824</v>
      </c>
      <c r="C94" s="4">
        <v>6.0</v>
      </c>
      <c r="D94" s="4">
        <v>1.0</v>
      </c>
      <c r="E94" s="4">
        <v>6.0</v>
      </c>
      <c r="F94" s="4">
        <v>0.04</v>
      </c>
      <c r="G94" s="4">
        <f t="shared" si="8"/>
        <v>0.04</v>
      </c>
      <c r="H94" s="4">
        <f t="shared" si="9"/>
        <v>1.52</v>
      </c>
      <c r="I94" s="4">
        <f t="shared" si="10"/>
        <v>7.52</v>
      </c>
    </row>
    <row r="95">
      <c r="A95" s="4" t="s">
        <v>828</v>
      </c>
      <c r="B95" s="4" t="s">
        <v>829</v>
      </c>
      <c r="C95" s="4">
        <v>30.0</v>
      </c>
      <c r="D95" s="4">
        <v>2.0</v>
      </c>
      <c r="E95" s="4">
        <v>60.0</v>
      </c>
      <c r="F95" s="4">
        <v>0.427</v>
      </c>
      <c r="G95" s="4">
        <f t="shared" si="8"/>
        <v>0.854</v>
      </c>
      <c r="H95" s="4">
        <f t="shared" si="9"/>
        <v>16.226</v>
      </c>
      <c r="I95" s="4">
        <f t="shared" si="10"/>
        <v>46.226</v>
      </c>
    </row>
    <row r="96">
      <c r="A96" s="4" t="s">
        <v>830</v>
      </c>
      <c r="B96" s="4" t="s">
        <v>832</v>
      </c>
      <c r="C96" s="4">
        <v>7.5</v>
      </c>
      <c r="D96" s="4">
        <v>10.0</v>
      </c>
      <c r="E96" s="4">
        <v>75.0</v>
      </c>
      <c r="F96" s="4">
        <v>0.03</v>
      </c>
      <c r="G96" s="4">
        <f t="shared" si="8"/>
        <v>0.3</v>
      </c>
      <c r="H96" s="4">
        <f t="shared" si="9"/>
        <v>1.14</v>
      </c>
      <c r="I96" s="4">
        <f t="shared" si="10"/>
        <v>8.64</v>
      </c>
    </row>
    <row r="97">
      <c r="A97" s="4" t="s">
        <v>834</v>
      </c>
      <c r="B97" s="4" t="s">
        <v>835</v>
      </c>
      <c r="C97" s="4">
        <v>7.5</v>
      </c>
      <c r="D97" s="4">
        <v>10.0</v>
      </c>
      <c r="E97" s="4">
        <v>75.0</v>
      </c>
      <c r="F97" s="4">
        <v>0.04</v>
      </c>
      <c r="G97" s="4">
        <f t="shared" si="8"/>
        <v>0.4</v>
      </c>
      <c r="H97" s="4">
        <f t="shared" si="9"/>
        <v>1.52</v>
      </c>
      <c r="I97" s="4">
        <f t="shared" si="10"/>
        <v>9.02</v>
      </c>
    </row>
    <row r="98">
      <c r="A98" s="4" t="s">
        <v>463</v>
      </c>
      <c r="B98" s="4" t="s">
        <v>837</v>
      </c>
      <c r="C98" s="4">
        <v>14.5</v>
      </c>
      <c r="D98" s="4">
        <v>5.0</v>
      </c>
      <c r="E98" s="4">
        <v>72.5</v>
      </c>
      <c r="F98" s="4">
        <v>0.06</v>
      </c>
      <c r="G98" s="4">
        <f t="shared" si="8"/>
        <v>0.3</v>
      </c>
      <c r="H98" s="4">
        <f t="shared" si="9"/>
        <v>2.28</v>
      </c>
      <c r="I98" s="4">
        <f t="shared" si="10"/>
        <v>16.78</v>
      </c>
    </row>
    <row r="99">
      <c r="A99" s="4" t="s">
        <v>464</v>
      </c>
      <c r="B99" s="4" t="s">
        <v>839</v>
      </c>
      <c r="C99" s="4">
        <v>14.5</v>
      </c>
      <c r="D99" s="4">
        <v>10.0</v>
      </c>
      <c r="E99" s="4">
        <v>145.0</v>
      </c>
      <c r="F99" s="4">
        <v>0.075</v>
      </c>
      <c r="G99" s="4">
        <f t="shared" si="8"/>
        <v>0.75</v>
      </c>
      <c r="H99" s="4">
        <f t="shared" si="9"/>
        <v>2.85</v>
      </c>
      <c r="I99" s="4">
        <f t="shared" si="10"/>
        <v>17.35</v>
      </c>
    </row>
    <row r="100">
      <c r="A100" s="4" t="s">
        <v>369</v>
      </c>
      <c r="B100" s="4" t="s">
        <v>840</v>
      </c>
      <c r="C100" s="4">
        <v>27.0</v>
      </c>
      <c r="D100" s="4">
        <v>2.0</v>
      </c>
      <c r="E100" s="4">
        <v>54.0</v>
      </c>
      <c r="F100" s="4">
        <v>0.24</v>
      </c>
      <c r="G100" s="4">
        <f t="shared" si="8"/>
        <v>0.48</v>
      </c>
      <c r="H100" s="4">
        <f t="shared" si="9"/>
        <v>9.12</v>
      </c>
      <c r="I100" s="4">
        <f t="shared" si="10"/>
        <v>36.12</v>
      </c>
    </row>
    <row r="101">
      <c r="A101" s="4" t="s">
        <v>373</v>
      </c>
      <c r="B101" s="4" t="s">
        <v>842</v>
      </c>
      <c r="C101" s="4">
        <v>29.0</v>
      </c>
      <c r="D101" s="4">
        <v>2.0</v>
      </c>
      <c r="E101" s="4">
        <v>58.0</v>
      </c>
      <c r="F101" s="4">
        <v>0.24</v>
      </c>
      <c r="G101" s="4">
        <f t="shared" si="8"/>
        <v>0.48</v>
      </c>
      <c r="H101" s="4">
        <f t="shared" si="9"/>
        <v>9.12</v>
      </c>
      <c r="I101" s="4">
        <f t="shared" si="10"/>
        <v>38.12</v>
      </c>
    </row>
    <row r="102">
      <c r="A102" s="4" t="s">
        <v>376</v>
      </c>
      <c r="B102" s="4" t="s">
        <v>845</v>
      </c>
      <c r="C102" s="4">
        <v>29.0</v>
      </c>
      <c r="D102" s="4">
        <v>2.0</v>
      </c>
      <c r="E102" s="4">
        <v>58.0</v>
      </c>
      <c r="F102" s="4">
        <v>0.24</v>
      </c>
      <c r="G102" s="4">
        <f t="shared" si="8"/>
        <v>0.48</v>
      </c>
      <c r="H102" s="4">
        <f t="shared" si="9"/>
        <v>9.12</v>
      </c>
      <c r="I102" s="4">
        <f t="shared" si="10"/>
        <v>38.12</v>
      </c>
    </row>
    <row r="103">
      <c r="A103" s="4" t="s">
        <v>380</v>
      </c>
      <c r="B103" s="4" t="s">
        <v>847</v>
      </c>
      <c r="C103" s="4">
        <v>21.0</v>
      </c>
      <c r="D103" s="4">
        <v>1.0</v>
      </c>
      <c r="E103" s="4">
        <v>21.0</v>
      </c>
      <c r="F103" s="4">
        <v>0.195</v>
      </c>
      <c r="G103" s="4">
        <f t="shared" si="8"/>
        <v>0.195</v>
      </c>
      <c r="H103" s="4">
        <f t="shared" si="9"/>
        <v>7.41</v>
      </c>
      <c r="I103" s="4">
        <f t="shared" si="10"/>
        <v>28.41</v>
      </c>
    </row>
    <row r="104">
      <c r="A104" s="4" t="s">
        <v>383</v>
      </c>
      <c r="B104" s="4" t="s">
        <v>849</v>
      </c>
      <c r="C104" s="4">
        <v>23.0</v>
      </c>
      <c r="D104" s="4">
        <v>2.0</v>
      </c>
      <c r="E104" s="4">
        <v>46.0</v>
      </c>
      <c r="F104" s="4">
        <v>0.195</v>
      </c>
      <c r="G104" s="4">
        <f t="shared" si="8"/>
        <v>0.39</v>
      </c>
      <c r="H104" s="4">
        <f t="shared" si="9"/>
        <v>7.41</v>
      </c>
      <c r="I104" s="4">
        <f t="shared" si="10"/>
        <v>30.41</v>
      </c>
    </row>
    <row r="105">
      <c r="A105" s="4" t="s">
        <v>384</v>
      </c>
      <c r="B105" s="4" t="s">
        <v>851</v>
      </c>
      <c r="C105" s="4">
        <v>44.5</v>
      </c>
      <c r="D105" s="4">
        <v>1.0</v>
      </c>
      <c r="E105" s="4">
        <v>44.5</v>
      </c>
      <c r="F105" s="4">
        <v>0.415</v>
      </c>
      <c r="G105" s="4">
        <f t="shared" si="8"/>
        <v>0.415</v>
      </c>
      <c r="H105" s="4">
        <f t="shared" si="9"/>
        <v>15.77</v>
      </c>
      <c r="I105" s="4">
        <f t="shared" si="10"/>
        <v>60.27</v>
      </c>
    </row>
    <row r="106">
      <c r="A106" s="4" t="s">
        <v>392</v>
      </c>
      <c r="B106" s="4" t="s">
        <v>853</v>
      </c>
      <c r="C106" s="4">
        <v>29.0</v>
      </c>
      <c r="D106" s="4">
        <v>2.0</v>
      </c>
      <c r="E106" s="4">
        <v>58.0</v>
      </c>
      <c r="F106" s="4">
        <v>0.235</v>
      </c>
      <c r="G106" s="4">
        <f t="shared" si="8"/>
        <v>0.47</v>
      </c>
      <c r="H106" s="4">
        <f t="shared" si="9"/>
        <v>8.93</v>
      </c>
      <c r="I106" s="4">
        <f t="shared" si="10"/>
        <v>37.93</v>
      </c>
    </row>
    <row r="107">
      <c r="A107" s="4" t="s">
        <v>397</v>
      </c>
      <c r="B107" s="4" t="s">
        <v>854</v>
      </c>
      <c r="C107" s="4">
        <v>29.0</v>
      </c>
      <c r="D107" s="4">
        <v>2.0</v>
      </c>
      <c r="E107" s="4">
        <v>58.0</v>
      </c>
      <c r="F107" s="4">
        <v>0.21</v>
      </c>
      <c r="G107" s="4">
        <f t="shared" si="8"/>
        <v>0.42</v>
      </c>
      <c r="H107" s="4">
        <f t="shared" si="9"/>
        <v>7.98</v>
      </c>
      <c r="I107" s="4">
        <f t="shared" si="10"/>
        <v>36.98</v>
      </c>
    </row>
    <row r="108">
      <c r="A108" s="4" t="s">
        <v>399</v>
      </c>
      <c r="B108" s="4" t="s">
        <v>856</v>
      </c>
      <c r="C108" s="4">
        <v>21.0</v>
      </c>
      <c r="D108" s="4">
        <v>1.0</v>
      </c>
      <c r="E108" s="4">
        <v>21.0</v>
      </c>
      <c r="F108" s="4">
        <v>0.185</v>
      </c>
      <c r="G108" s="4">
        <f t="shared" si="8"/>
        <v>0.185</v>
      </c>
      <c r="H108" s="4">
        <f t="shared" si="9"/>
        <v>7.03</v>
      </c>
      <c r="I108" s="4">
        <f t="shared" si="10"/>
        <v>28.03</v>
      </c>
    </row>
    <row r="109">
      <c r="A109" s="4" t="s">
        <v>402</v>
      </c>
      <c r="B109" s="4" t="s">
        <v>859</v>
      </c>
      <c r="C109" s="4">
        <v>23.0</v>
      </c>
      <c r="D109" s="4">
        <v>2.0</v>
      </c>
      <c r="E109" s="4">
        <v>46.0</v>
      </c>
      <c r="F109" s="4">
        <v>0.185</v>
      </c>
      <c r="G109" s="4">
        <f t="shared" si="8"/>
        <v>0.37</v>
      </c>
      <c r="H109" s="4">
        <f t="shared" si="9"/>
        <v>7.03</v>
      </c>
      <c r="I109" s="4">
        <f t="shared" si="10"/>
        <v>30.03</v>
      </c>
    </row>
    <row r="110">
      <c r="A110" s="4" t="s">
        <v>404</v>
      </c>
      <c r="B110" s="4" t="s">
        <v>860</v>
      </c>
      <c r="C110" s="4">
        <v>34.5</v>
      </c>
      <c r="D110" s="4">
        <v>2.0</v>
      </c>
      <c r="E110" s="4">
        <v>69.0</v>
      </c>
      <c r="F110" s="4">
        <v>0.29</v>
      </c>
      <c r="G110" s="4">
        <f t="shared" si="8"/>
        <v>0.58</v>
      </c>
      <c r="H110" s="4">
        <f t="shared" si="9"/>
        <v>11.02</v>
      </c>
      <c r="I110" s="4">
        <f t="shared" si="10"/>
        <v>45.52</v>
      </c>
    </row>
    <row r="111">
      <c r="A111" s="4" t="s">
        <v>413</v>
      </c>
      <c r="B111" s="4" t="s">
        <v>862</v>
      </c>
      <c r="C111" s="4">
        <v>29.0</v>
      </c>
      <c r="D111" s="4">
        <v>1.0</v>
      </c>
      <c r="E111" s="4">
        <v>29.0</v>
      </c>
      <c r="F111" s="4">
        <v>0.26</v>
      </c>
      <c r="G111" s="4">
        <f t="shared" si="8"/>
        <v>0.26</v>
      </c>
      <c r="H111" s="4">
        <f t="shared" si="9"/>
        <v>9.88</v>
      </c>
      <c r="I111" s="4">
        <f t="shared" si="10"/>
        <v>38.88</v>
      </c>
    </row>
    <row r="112">
      <c r="A112" s="4" t="s">
        <v>416</v>
      </c>
      <c r="B112" s="4" t="s">
        <v>864</v>
      </c>
      <c r="C112" s="4">
        <v>20.0</v>
      </c>
      <c r="D112" s="4">
        <v>4.0</v>
      </c>
      <c r="E112" s="4">
        <v>80.0</v>
      </c>
      <c r="F112" s="4">
        <v>0.205</v>
      </c>
      <c r="G112" s="4">
        <f t="shared" si="8"/>
        <v>0.82</v>
      </c>
      <c r="H112" s="4">
        <f t="shared" si="9"/>
        <v>7.79</v>
      </c>
      <c r="I112" s="4">
        <f t="shared" si="10"/>
        <v>27.79</v>
      </c>
    </row>
    <row r="113">
      <c r="A113" s="4" t="s">
        <v>426</v>
      </c>
      <c r="B113" s="4" t="s">
        <v>866</v>
      </c>
      <c r="C113" s="4">
        <v>29.0</v>
      </c>
      <c r="D113" s="4">
        <v>6.0</v>
      </c>
      <c r="E113" s="4">
        <v>174.0</v>
      </c>
      <c r="F113" s="4">
        <v>0.095</v>
      </c>
      <c r="G113" s="4">
        <f t="shared" si="8"/>
        <v>0.57</v>
      </c>
      <c r="H113" s="4">
        <f t="shared" si="9"/>
        <v>3.61</v>
      </c>
      <c r="I113" s="4">
        <f t="shared" si="10"/>
        <v>32.61</v>
      </c>
    </row>
    <row r="114">
      <c r="A114" s="4" t="s">
        <v>428</v>
      </c>
      <c r="B114" s="4" t="s">
        <v>869</v>
      </c>
      <c r="C114" s="4">
        <v>21.0</v>
      </c>
      <c r="D114" s="4">
        <v>10.0</v>
      </c>
      <c r="E114" s="4">
        <v>210.0</v>
      </c>
      <c r="F114" s="4">
        <v>0.09</v>
      </c>
      <c r="G114" s="4">
        <f t="shared" si="8"/>
        <v>0.9</v>
      </c>
      <c r="H114" s="4">
        <f t="shared" si="9"/>
        <v>3.42</v>
      </c>
      <c r="I114" s="4">
        <f t="shared" si="10"/>
        <v>24.42</v>
      </c>
    </row>
    <row r="115">
      <c r="A115" s="4" t="s">
        <v>434</v>
      </c>
      <c r="B115" s="4" t="s">
        <v>871</v>
      </c>
      <c r="C115" s="4">
        <v>55.0</v>
      </c>
      <c r="D115" s="4">
        <v>4.0</v>
      </c>
      <c r="E115" s="4">
        <v>220.0</v>
      </c>
      <c r="F115" s="4">
        <v>0.2</v>
      </c>
      <c r="G115" s="4">
        <f t="shared" si="8"/>
        <v>0.8</v>
      </c>
      <c r="H115" s="4">
        <f t="shared" si="9"/>
        <v>7.6</v>
      </c>
      <c r="I115" s="4">
        <f t="shared" si="10"/>
        <v>62.6</v>
      </c>
    </row>
    <row r="116">
      <c r="B116" s="59"/>
      <c r="C116" s="17"/>
      <c r="D116" s="59"/>
      <c r="F116" s="17"/>
      <c r="G116" s="59"/>
    </row>
    <row r="117">
      <c r="B117" s="59"/>
      <c r="C117" s="17"/>
      <c r="D117" s="59"/>
      <c r="F117" s="17"/>
      <c r="G117" s="59"/>
    </row>
    <row r="118">
      <c r="A118" s="1" t="s">
        <v>873</v>
      </c>
      <c r="B118" s="1" t="s">
        <v>874</v>
      </c>
      <c r="C118" s="8" t="s">
        <v>876</v>
      </c>
      <c r="D118" s="1" t="s">
        <v>877</v>
      </c>
      <c r="E118" s="1" t="s">
        <v>878</v>
      </c>
      <c r="F118" s="17"/>
      <c r="G118" s="59"/>
    </row>
    <row r="119">
      <c r="A119" s="1" t="s">
        <v>879</v>
      </c>
      <c r="B119" s="1" t="s">
        <v>880</v>
      </c>
      <c r="C119" s="97">
        <v>1.0</v>
      </c>
      <c r="D119" s="8">
        <v>165.0</v>
      </c>
      <c r="E119" s="8">
        <v>165.0</v>
      </c>
      <c r="F119" s="98">
        <v>1.528</v>
      </c>
      <c r="G119" s="17">
        <f t="shared" ref="G119:G134" si="11">F119*38</f>
        <v>58.064</v>
      </c>
      <c r="H119" s="21">
        <f t="shared" ref="H119:H134" si="12">F119*C119</f>
        <v>1.528</v>
      </c>
      <c r="I119" s="21">
        <f t="shared" ref="I119:I134" si="13">E119/$E$135</f>
        <v>0.02721591125</v>
      </c>
      <c r="J119" s="21">
        <f t="shared" ref="J119:J134" si="14">$I$135*I119</f>
        <v>16.80528088</v>
      </c>
      <c r="K119" s="21">
        <f t="shared" ref="K119:K134" si="15">J119/C119</f>
        <v>16.80528088</v>
      </c>
      <c r="L119" s="12">
        <f t="shared" ref="L119:L134" si="16">D119*1.04</f>
        <v>171.6</v>
      </c>
      <c r="M119" s="12">
        <f t="shared" ref="M119:M134" si="17">L119+K119+G119</f>
        <v>246.4692809</v>
      </c>
    </row>
    <row r="120">
      <c r="A120" s="1" t="s">
        <v>879</v>
      </c>
      <c r="B120" s="1" t="s">
        <v>892</v>
      </c>
      <c r="C120" s="97">
        <v>1.0</v>
      </c>
      <c r="D120" s="8">
        <v>165.0</v>
      </c>
      <c r="E120" s="8">
        <v>165.0</v>
      </c>
      <c r="F120" s="98">
        <v>1.528</v>
      </c>
      <c r="G120" s="17">
        <f t="shared" si="11"/>
        <v>58.064</v>
      </c>
      <c r="H120" s="21">
        <f t="shared" si="12"/>
        <v>1.528</v>
      </c>
      <c r="I120" s="21">
        <f t="shared" si="13"/>
        <v>0.02721591125</v>
      </c>
      <c r="J120" s="21">
        <f t="shared" si="14"/>
        <v>16.80528088</v>
      </c>
      <c r="K120" s="21">
        <f t="shared" si="15"/>
        <v>16.80528088</v>
      </c>
      <c r="L120" s="12">
        <f t="shared" si="16"/>
        <v>171.6</v>
      </c>
      <c r="M120" s="12">
        <f t="shared" si="17"/>
        <v>246.4692809</v>
      </c>
    </row>
    <row r="121">
      <c r="A121" s="1" t="s">
        <v>879</v>
      </c>
      <c r="B121" s="1" t="s">
        <v>895</v>
      </c>
      <c r="C121" s="97">
        <v>1.0</v>
      </c>
      <c r="D121" s="8">
        <v>165.0</v>
      </c>
      <c r="E121" s="8">
        <v>165.0</v>
      </c>
      <c r="F121" s="98">
        <v>1.528</v>
      </c>
      <c r="G121" s="17">
        <f t="shared" si="11"/>
        <v>58.064</v>
      </c>
      <c r="H121" s="21">
        <f t="shared" si="12"/>
        <v>1.528</v>
      </c>
      <c r="I121" s="21">
        <f t="shared" si="13"/>
        <v>0.02721591125</v>
      </c>
      <c r="J121" s="21">
        <f t="shared" si="14"/>
        <v>16.80528088</v>
      </c>
      <c r="K121" s="21">
        <f t="shared" si="15"/>
        <v>16.80528088</v>
      </c>
      <c r="L121" s="12">
        <f t="shared" si="16"/>
        <v>171.6</v>
      </c>
      <c r="M121" s="12">
        <f t="shared" si="17"/>
        <v>246.4692809</v>
      </c>
    </row>
    <row r="122">
      <c r="A122" s="1" t="s">
        <v>879</v>
      </c>
      <c r="B122" s="1" t="s">
        <v>900</v>
      </c>
      <c r="C122" s="97">
        <v>1.0</v>
      </c>
      <c r="D122" s="8">
        <v>165.0</v>
      </c>
      <c r="E122" s="8">
        <v>165.0</v>
      </c>
      <c r="F122" s="98">
        <v>1.528</v>
      </c>
      <c r="G122" s="17">
        <f t="shared" si="11"/>
        <v>58.064</v>
      </c>
      <c r="H122" s="21">
        <f t="shared" si="12"/>
        <v>1.528</v>
      </c>
      <c r="I122" s="21">
        <f t="shared" si="13"/>
        <v>0.02721591125</v>
      </c>
      <c r="J122" s="21">
        <f t="shared" si="14"/>
        <v>16.80528088</v>
      </c>
      <c r="K122" s="21">
        <f t="shared" si="15"/>
        <v>16.80528088</v>
      </c>
      <c r="L122" s="12">
        <f t="shared" si="16"/>
        <v>171.6</v>
      </c>
      <c r="M122" s="12">
        <f t="shared" si="17"/>
        <v>246.4692809</v>
      </c>
    </row>
    <row r="123">
      <c r="A123" s="1" t="s">
        <v>879</v>
      </c>
      <c r="B123" s="1" t="s">
        <v>903</v>
      </c>
      <c r="C123" s="97">
        <v>1.0</v>
      </c>
      <c r="D123" s="8">
        <v>150.0</v>
      </c>
      <c r="E123" s="8">
        <v>150.0</v>
      </c>
      <c r="F123" s="98">
        <v>0.791</v>
      </c>
      <c r="G123" s="17">
        <f t="shared" si="11"/>
        <v>30.058</v>
      </c>
      <c r="H123" s="21">
        <f t="shared" si="12"/>
        <v>0.791</v>
      </c>
      <c r="I123" s="21">
        <f t="shared" si="13"/>
        <v>0.0247417375</v>
      </c>
      <c r="J123" s="21">
        <f t="shared" si="14"/>
        <v>15.27752807</v>
      </c>
      <c r="K123" s="21">
        <f t="shared" si="15"/>
        <v>15.27752807</v>
      </c>
      <c r="L123" s="12">
        <f t="shared" si="16"/>
        <v>156</v>
      </c>
      <c r="M123" s="12">
        <f t="shared" si="17"/>
        <v>201.3355281</v>
      </c>
    </row>
    <row r="124">
      <c r="A124" s="1" t="s">
        <v>879</v>
      </c>
      <c r="B124" s="1" t="s">
        <v>905</v>
      </c>
      <c r="C124" s="97">
        <v>1.0</v>
      </c>
      <c r="D124" s="8">
        <v>150.0</v>
      </c>
      <c r="E124" s="8">
        <v>150.0</v>
      </c>
      <c r="F124" s="98">
        <v>0.791</v>
      </c>
      <c r="G124" s="17">
        <f t="shared" si="11"/>
        <v>30.058</v>
      </c>
      <c r="H124" s="21">
        <f t="shared" si="12"/>
        <v>0.791</v>
      </c>
      <c r="I124" s="21">
        <f t="shared" si="13"/>
        <v>0.0247417375</v>
      </c>
      <c r="J124" s="21">
        <f t="shared" si="14"/>
        <v>15.27752807</v>
      </c>
      <c r="K124" s="21">
        <f t="shared" si="15"/>
        <v>15.27752807</v>
      </c>
      <c r="L124" s="12">
        <f t="shared" si="16"/>
        <v>156</v>
      </c>
      <c r="M124" s="12">
        <f t="shared" si="17"/>
        <v>201.3355281</v>
      </c>
    </row>
    <row r="125">
      <c r="A125" s="1" t="s">
        <v>879</v>
      </c>
      <c r="B125" s="1" t="s">
        <v>908</v>
      </c>
      <c r="C125" s="97">
        <v>400.0</v>
      </c>
      <c r="D125" s="8">
        <v>3.0</v>
      </c>
      <c r="E125" s="8">
        <v>1200.0</v>
      </c>
      <c r="F125" s="98">
        <v>0.183</v>
      </c>
      <c r="G125" s="17">
        <f t="shared" si="11"/>
        <v>6.954</v>
      </c>
      <c r="H125" s="21">
        <f t="shared" si="12"/>
        <v>73.2</v>
      </c>
      <c r="I125" s="21">
        <f t="shared" si="13"/>
        <v>0.1979339</v>
      </c>
      <c r="J125" s="21">
        <f t="shared" si="14"/>
        <v>122.2202246</v>
      </c>
      <c r="K125" s="21">
        <f t="shared" si="15"/>
        <v>0.3055505614</v>
      </c>
      <c r="L125" s="12">
        <f t="shared" si="16"/>
        <v>3.12</v>
      </c>
      <c r="M125" s="12">
        <f t="shared" si="17"/>
        <v>10.37955056</v>
      </c>
    </row>
    <row r="126">
      <c r="A126" s="1" t="s">
        <v>879</v>
      </c>
      <c r="B126" s="1" t="s">
        <v>910</v>
      </c>
      <c r="C126" s="97">
        <v>1.0</v>
      </c>
      <c r="D126" s="8">
        <v>150.0</v>
      </c>
      <c r="E126" s="8">
        <v>150.0</v>
      </c>
      <c r="F126" s="98">
        <v>0.791</v>
      </c>
      <c r="G126" s="17">
        <f t="shared" si="11"/>
        <v>30.058</v>
      </c>
      <c r="H126" s="21">
        <f t="shared" si="12"/>
        <v>0.791</v>
      </c>
      <c r="I126" s="21">
        <f t="shared" si="13"/>
        <v>0.0247417375</v>
      </c>
      <c r="J126" s="21">
        <f t="shared" si="14"/>
        <v>15.27752807</v>
      </c>
      <c r="K126" s="21">
        <f t="shared" si="15"/>
        <v>15.27752807</v>
      </c>
      <c r="L126" s="12">
        <f t="shared" si="16"/>
        <v>156</v>
      </c>
      <c r="M126" s="12">
        <f t="shared" si="17"/>
        <v>201.3355281</v>
      </c>
    </row>
    <row r="127">
      <c r="A127" s="1" t="s">
        <v>879</v>
      </c>
      <c r="B127" s="1" t="s">
        <v>912</v>
      </c>
      <c r="C127" s="97">
        <v>1.0</v>
      </c>
      <c r="D127" s="8">
        <v>150.0</v>
      </c>
      <c r="E127" s="8">
        <v>150.0</v>
      </c>
      <c r="F127" s="98">
        <v>0.791</v>
      </c>
      <c r="G127" s="17">
        <f t="shared" si="11"/>
        <v>30.058</v>
      </c>
      <c r="H127" s="21">
        <f t="shared" si="12"/>
        <v>0.791</v>
      </c>
      <c r="I127" s="21">
        <f t="shared" si="13"/>
        <v>0.0247417375</v>
      </c>
      <c r="J127" s="21">
        <f t="shared" si="14"/>
        <v>15.27752807</v>
      </c>
      <c r="K127" s="21">
        <f t="shared" si="15"/>
        <v>15.27752807</v>
      </c>
      <c r="L127" s="12">
        <f t="shared" si="16"/>
        <v>156</v>
      </c>
      <c r="M127" s="12">
        <f t="shared" si="17"/>
        <v>201.3355281</v>
      </c>
    </row>
    <row r="128">
      <c r="A128" s="1" t="s">
        <v>879</v>
      </c>
      <c r="B128" s="1" t="s">
        <v>915</v>
      </c>
      <c r="C128" s="97">
        <v>3.0</v>
      </c>
      <c r="D128" s="8">
        <v>99.99</v>
      </c>
      <c r="E128" s="8">
        <v>299.97</v>
      </c>
      <c r="F128" s="98">
        <v>1.149</v>
      </c>
      <c r="G128" s="17">
        <f t="shared" si="11"/>
        <v>43.662</v>
      </c>
      <c r="H128" s="21">
        <f t="shared" si="12"/>
        <v>3.447</v>
      </c>
      <c r="I128" s="21">
        <f t="shared" si="13"/>
        <v>0.04947852665</v>
      </c>
      <c r="J128" s="21">
        <f t="shared" si="14"/>
        <v>30.55200063</v>
      </c>
      <c r="K128" s="21">
        <f t="shared" si="15"/>
        <v>10.18400021</v>
      </c>
      <c r="L128" s="12">
        <f t="shared" si="16"/>
        <v>103.9896</v>
      </c>
      <c r="M128" s="12">
        <f t="shared" si="17"/>
        <v>157.8356002</v>
      </c>
    </row>
    <row r="129">
      <c r="A129" s="1" t="s">
        <v>879</v>
      </c>
      <c r="B129" s="1" t="s">
        <v>918</v>
      </c>
      <c r="C129" s="97">
        <v>3.0</v>
      </c>
      <c r="D129" s="8">
        <v>84.0</v>
      </c>
      <c r="E129" s="8">
        <v>252.0</v>
      </c>
      <c r="F129" s="98">
        <v>1.127</v>
      </c>
      <c r="G129" s="17">
        <f t="shared" si="11"/>
        <v>42.826</v>
      </c>
      <c r="H129" s="21">
        <f t="shared" si="12"/>
        <v>3.381</v>
      </c>
      <c r="I129" s="21">
        <f t="shared" si="13"/>
        <v>0.04156611899</v>
      </c>
      <c r="J129" s="21">
        <f t="shared" si="14"/>
        <v>25.66624716</v>
      </c>
      <c r="K129" s="21">
        <f t="shared" si="15"/>
        <v>8.555415719</v>
      </c>
      <c r="L129" s="12">
        <f t="shared" si="16"/>
        <v>87.36</v>
      </c>
      <c r="M129" s="12">
        <f t="shared" si="17"/>
        <v>138.7414157</v>
      </c>
    </row>
    <row r="130">
      <c r="A130" s="1" t="s">
        <v>919</v>
      </c>
      <c r="B130" s="1" t="s">
        <v>920</v>
      </c>
      <c r="C130" s="97">
        <v>30.0</v>
      </c>
      <c r="D130" s="8">
        <v>38.99</v>
      </c>
      <c r="E130" s="8">
        <v>1169.7</v>
      </c>
      <c r="F130" s="98">
        <v>0.42</v>
      </c>
      <c r="G130" s="17">
        <f t="shared" si="11"/>
        <v>15.96</v>
      </c>
      <c r="H130" s="21">
        <f t="shared" si="12"/>
        <v>12.6</v>
      </c>
      <c r="I130" s="21">
        <f t="shared" si="13"/>
        <v>0.192936069</v>
      </c>
      <c r="J130" s="21">
        <f t="shared" si="14"/>
        <v>119.1341639</v>
      </c>
      <c r="K130" s="21">
        <f t="shared" si="15"/>
        <v>3.971138796</v>
      </c>
      <c r="L130" s="12">
        <f t="shared" si="16"/>
        <v>40.5496</v>
      </c>
      <c r="M130" s="12">
        <f t="shared" si="17"/>
        <v>60.4807388</v>
      </c>
    </row>
    <row r="131">
      <c r="A131" s="1" t="s">
        <v>922</v>
      </c>
      <c r="B131" s="1" t="s">
        <v>923</v>
      </c>
      <c r="C131" s="97">
        <v>30.0</v>
      </c>
      <c r="D131" s="8">
        <v>12.99</v>
      </c>
      <c r="E131" s="8">
        <v>389.7</v>
      </c>
      <c r="F131" s="98">
        <v>0.1</v>
      </c>
      <c r="G131" s="17">
        <f t="shared" si="11"/>
        <v>3.8</v>
      </c>
      <c r="H131" s="21">
        <f t="shared" si="12"/>
        <v>3</v>
      </c>
      <c r="I131" s="21">
        <f t="shared" si="13"/>
        <v>0.06427903402</v>
      </c>
      <c r="J131" s="21">
        <f t="shared" si="14"/>
        <v>39.69101792</v>
      </c>
      <c r="K131" s="21">
        <f t="shared" si="15"/>
        <v>1.323033931</v>
      </c>
      <c r="L131" s="12">
        <f t="shared" si="16"/>
        <v>13.5096</v>
      </c>
      <c r="M131" s="12">
        <f t="shared" si="17"/>
        <v>18.63263393</v>
      </c>
    </row>
    <row r="132">
      <c r="A132" s="1" t="s">
        <v>925</v>
      </c>
      <c r="B132" s="1" t="s">
        <v>926</v>
      </c>
      <c r="C132" s="97">
        <v>4.0</v>
      </c>
      <c r="D132" s="8">
        <v>142.99</v>
      </c>
      <c r="E132" s="8">
        <v>571.96</v>
      </c>
      <c r="F132" s="98">
        <v>0.84</v>
      </c>
      <c r="G132" s="17">
        <f t="shared" si="11"/>
        <v>31.92</v>
      </c>
      <c r="H132" s="21">
        <f t="shared" si="12"/>
        <v>3.36</v>
      </c>
      <c r="I132" s="21">
        <f t="shared" si="13"/>
        <v>0.09434189452</v>
      </c>
      <c r="J132" s="21">
        <f t="shared" si="14"/>
        <v>58.25423303</v>
      </c>
      <c r="K132" s="21">
        <f t="shared" si="15"/>
        <v>14.56355826</v>
      </c>
      <c r="L132" s="12">
        <f t="shared" si="16"/>
        <v>148.7096</v>
      </c>
      <c r="M132" s="12">
        <f t="shared" si="17"/>
        <v>195.1931583</v>
      </c>
    </row>
    <row r="133">
      <c r="A133" s="1" t="s">
        <v>929</v>
      </c>
      <c r="B133" s="1" t="s">
        <v>930</v>
      </c>
      <c r="C133" s="97">
        <v>20.0</v>
      </c>
      <c r="D133" s="8">
        <v>25.99</v>
      </c>
      <c r="E133" s="8">
        <v>519.8</v>
      </c>
      <c r="F133" s="98">
        <v>0.19</v>
      </c>
      <c r="G133" s="17">
        <f t="shared" si="11"/>
        <v>7.22</v>
      </c>
      <c r="H133" s="21">
        <f t="shared" si="12"/>
        <v>3.8</v>
      </c>
      <c r="I133" s="21">
        <f t="shared" si="13"/>
        <v>0.08573836767</v>
      </c>
      <c r="J133" s="21">
        <f t="shared" si="14"/>
        <v>52.94172727</v>
      </c>
      <c r="K133" s="21">
        <f t="shared" si="15"/>
        <v>2.647086364</v>
      </c>
      <c r="L133" s="12">
        <f t="shared" si="16"/>
        <v>27.0296</v>
      </c>
      <c r="M133" s="12">
        <f t="shared" si="17"/>
        <v>36.89668636</v>
      </c>
    </row>
    <row r="134">
      <c r="A134" s="1" t="s">
        <v>932</v>
      </c>
      <c r="B134" s="1" t="s">
        <v>933</v>
      </c>
      <c r="C134" s="97">
        <v>50.0</v>
      </c>
      <c r="D134" s="8">
        <v>7.99</v>
      </c>
      <c r="E134" s="8">
        <v>399.5</v>
      </c>
      <c r="F134" s="98">
        <v>0.041</v>
      </c>
      <c r="G134" s="17">
        <f t="shared" si="11"/>
        <v>1.558</v>
      </c>
      <c r="H134" s="21">
        <f t="shared" si="12"/>
        <v>2.05</v>
      </c>
      <c r="I134" s="21">
        <f t="shared" si="13"/>
        <v>0.0658954942</v>
      </c>
      <c r="J134" s="21">
        <f t="shared" si="14"/>
        <v>40.68914976</v>
      </c>
      <c r="K134" s="21">
        <f t="shared" si="15"/>
        <v>0.8137829952</v>
      </c>
      <c r="L134" s="12">
        <f t="shared" si="16"/>
        <v>8.3096</v>
      </c>
      <c r="M134" s="12">
        <f t="shared" si="17"/>
        <v>10.681383</v>
      </c>
    </row>
    <row r="135">
      <c r="B135" s="59"/>
      <c r="C135" s="17"/>
      <c r="D135" s="59"/>
      <c r="E135" s="12">
        <f>SUM(E119:E134)</f>
        <v>6062.63</v>
      </c>
      <c r="F135" s="17"/>
      <c r="G135" s="59"/>
      <c r="I135" s="21">
        <f>(11*38)+92.67+106.81</f>
        <v>617.48</v>
      </c>
    </row>
    <row r="136">
      <c r="B136" s="59"/>
      <c r="C136" s="17"/>
      <c r="D136" s="59"/>
      <c r="F136" s="17"/>
      <c r="G136" s="59"/>
    </row>
    <row r="137">
      <c r="B137" s="59" t="s">
        <v>874</v>
      </c>
      <c r="C137" s="17" t="s">
        <v>876</v>
      </c>
      <c r="D137" s="59" t="s">
        <v>877</v>
      </c>
      <c r="E137" s="4" t="s">
        <v>942</v>
      </c>
      <c r="F137" s="17"/>
      <c r="G137" s="59"/>
    </row>
    <row r="138">
      <c r="B138" s="59" t="s">
        <v>880</v>
      </c>
      <c r="C138" s="99">
        <v>1.0</v>
      </c>
      <c r="D138" s="17">
        <v>165.0</v>
      </c>
      <c r="E138" s="12">
        <v>246.4692808764513</v>
      </c>
      <c r="F138" s="17">
        <f t="shared" ref="F138:F153" si="18">E138*1.35</f>
        <v>332.7335292</v>
      </c>
      <c r="G138" s="14">
        <v>330.0</v>
      </c>
    </row>
    <row r="139">
      <c r="B139" s="59" t="s">
        <v>892</v>
      </c>
      <c r="C139" s="99">
        <v>1.0</v>
      </c>
      <c r="D139" s="17">
        <v>165.0</v>
      </c>
      <c r="E139" s="12">
        <v>246.4692808764513</v>
      </c>
      <c r="F139" s="17">
        <f t="shared" si="18"/>
        <v>332.7335292</v>
      </c>
      <c r="G139" s="14">
        <v>330.0</v>
      </c>
    </row>
    <row r="140">
      <c r="B140" s="59" t="s">
        <v>895</v>
      </c>
      <c r="C140" s="99">
        <v>1.0</v>
      </c>
      <c r="D140" s="17">
        <v>165.0</v>
      </c>
      <c r="E140" s="12">
        <v>246.4692808764513</v>
      </c>
      <c r="F140" s="17">
        <f t="shared" si="18"/>
        <v>332.7335292</v>
      </c>
      <c r="G140" s="14">
        <v>330.0</v>
      </c>
    </row>
    <row r="141">
      <c r="B141" s="59" t="s">
        <v>900</v>
      </c>
      <c r="C141" s="99">
        <v>1.0</v>
      </c>
      <c r="D141" s="17">
        <v>165.0</v>
      </c>
      <c r="E141" s="12">
        <v>246.4692808764513</v>
      </c>
      <c r="F141" s="17">
        <f t="shared" si="18"/>
        <v>332.7335292</v>
      </c>
      <c r="G141" s="14">
        <v>330.0</v>
      </c>
    </row>
    <row r="142">
      <c r="B142" s="59" t="s">
        <v>903</v>
      </c>
      <c r="C142" s="99">
        <v>1.0</v>
      </c>
      <c r="D142" s="17">
        <v>150.0</v>
      </c>
      <c r="E142" s="12">
        <v>201.33552806950118</v>
      </c>
      <c r="F142" s="17">
        <f t="shared" si="18"/>
        <v>271.8029629</v>
      </c>
      <c r="G142" s="14">
        <v>270.0</v>
      </c>
    </row>
    <row r="143">
      <c r="B143" s="59" t="s">
        <v>905</v>
      </c>
      <c r="C143" s="99">
        <v>1.0</v>
      </c>
      <c r="D143" s="17">
        <v>150.0</v>
      </c>
      <c r="E143" s="12">
        <v>201.33552806950118</v>
      </c>
      <c r="F143" s="17">
        <f t="shared" si="18"/>
        <v>271.8029629</v>
      </c>
      <c r="G143" s="14">
        <v>270.0</v>
      </c>
    </row>
    <row r="144">
      <c r="B144" s="59" t="s">
        <v>908</v>
      </c>
      <c r="C144" s="99">
        <v>400.0</v>
      </c>
      <c r="D144" s="17">
        <v>3.0</v>
      </c>
      <c r="E144" s="12">
        <v>10.379550561390023</v>
      </c>
      <c r="F144" s="17">
        <f t="shared" si="18"/>
        <v>14.01239326</v>
      </c>
      <c r="G144" s="14">
        <v>14.0</v>
      </c>
    </row>
    <row r="145">
      <c r="B145" s="59" t="s">
        <v>910</v>
      </c>
      <c r="C145" s="99">
        <v>1.0</v>
      </c>
      <c r="D145" s="17">
        <v>150.0</v>
      </c>
      <c r="E145" s="12">
        <v>201.33552806950118</v>
      </c>
      <c r="F145" s="17">
        <f t="shared" si="18"/>
        <v>271.8029629</v>
      </c>
      <c r="G145" s="14">
        <v>270.0</v>
      </c>
    </row>
    <row r="146">
      <c r="B146" s="59" t="s">
        <v>912</v>
      </c>
      <c r="C146" s="99">
        <v>1.0</v>
      </c>
      <c r="D146" s="17">
        <v>150.0</v>
      </c>
      <c r="E146" s="12">
        <v>201.33552806950118</v>
      </c>
      <c r="F146" s="17">
        <f t="shared" si="18"/>
        <v>271.8029629</v>
      </c>
      <c r="G146" s="14">
        <v>270.0</v>
      </c>
    </row>
    <row r="147">
      <c r="B147" s="59" t="s">
        <v>915</v>
      </c>
      <c r="C147" s="99">
        <v>3.0</v>
      </c>
      <c r="D147" s="17">
        <v>99.99</v>
      </c>
      <c r="E147" s="12">
        <v>157.8356002111295</v>
      </c>
      <c r="F147" s="17">
        <f t="shared" si="18"/>
        <v>213.0780603</v>
      </c>
      <c r="G147" s="14">
        <v>210.0</v>
      </c>
    </row>
    <row r="148">
      <c r="B148" s="59" t="s">
        <v>918</v>
      </c>
      <c r="C148" s="99">
        <v>3.0</v>
      </c>
      <c r="D148" s="17">
        <v>84.0</v>
      </c>
      <c r="E148" s="12">
        <v>138.74141571892068</v>
      </c>
      <c r="F148" s="17">
        <f t="shared" si="18"/>
        <v>187.3009112</v>
      </c>
      <c r="G148" s="14">
        <v>190.0</v>
      </c>
    </row>
    <row r="149">
      <c r="B149" s="59" t="s">
        <v>920</v>
      </c>
      <c r="C149" s="99">
        <v>30.0</v>
      </c>
      <c r="D149" s="17">
        <v>38.99</v>
      </c>
      <c r="E149" s="12">
        <v>60.48073879619901</v>
      </c>
      <c r="F149" s="17">
        <f t="shared" si="18"/>
        <v>81.64899737</v>
      </c>
      <c r="G149" s="14">
        <v>80.0</v>
      </c>
    </row>
    <row r="150">
      <c r="B150" s="59" t="s">
        <v>923</v>
      </c>
      <c r="C150" s="99">
        <v>30.0</v>
      </c>
      <c r="D150" s="17">
        <v>12.99</v>
      </c>
      <c r="E150" s="12">
        <v>18.632633930818805</v>
      </c>
      <c r="F150" s="17">
        <f t="shared" si="18"/>
        <v>25.15405581</v>
      </c>
      <c r="G150" s="14">
        <v>25.0</v>
      </c>
    </row>
    <row r="151">
      <c r="B151" s="59" t="s">
        <v>926</v>
      </c>
      <c r="C151" s="99">
        <v>4.0</v>
      </c>
      <c r="D151" s="17">
        <v>142.99</v>
      </c>
      <c r="E151" s="12">
        <v>195.19315825771986</v>
      </c>
      <c r="F151" s="17">
        <f t="shared" si="18"/>
        <v>263.5107636</v>
      </c>
      <c r="G151" s="14">
        <v>260.0</v>
      </c>
    </row>
    <row r="152">
      <c r="B152" s="59" t="s">
        <v>930</v>
      </c>
      <c r="C152" s="99">
        <v>20.0</v>
      </c>
      <c r="D152" s="17">
        <v>25.99</v>
      </c>
      <c r="E152" s="12">
        <v>36.896686363508906</v>
      </c>
      <c r="F152" s="17">
        <f t="shared" si="18"/>
        <v>49.81052659</v>
      </c>
      <c r="G152" s="14">
        <v>50.0</v>
      </c>
    </row>
    <row r="153">
      <c r="B153" s="59" t="s">
        <v>933</v>
      </c>
      <c r="C153" s="99">
        <v>50.0</v>
      </c>
      <c r="D153" s="17">
        <v>7.99</v>
      </c>
      <c r="E153" s="12">
        <v>10.681382995168763</v>
      </c>
      <c r="F153" s="17">
        <f t="shared" si="18"/>
        <v>14.41986704</v>
      </c>
      <c r="G153" s="14">
        <v>15.0</v>
      </c>
    </row>
    <row r="154">
      <c r="B154" s="59"/>
      <c r="C154" s="17"/>
      <c r="D154" s="59"/>
      <c r="F154" s="17"/>
      <c r="G154" s="59"/>
    </row>
    <row r="155">
      <c r="B155" s="59"/>
      <c r="C155" s="17"/>
      <c r="D155" s="59"/>
      <c r="F155" s="17"/>
      <c r="G155" s="59"/>
    </row>
    <row r="156">
      <c r="B156" s="4" t="s">
        <v>601</v>
      </c>
      <c r="C156" s="4" t="s">
        <v>603</v>
      </c>
      <c r="D156" s="4" t="s">
        <v>605</v>
      </c>
      <c r="E156" s="4" t="s">
        <v>606</v>
      </c>
      <c r="F156" s="4" t="s">
        <v>607</v>
      </c>
      <c r="G156" s="4" t="s">
        <v>30</v>
      </c>
      <c r="H156" s="4" t="s">
        <v>609</v>
      </c>
    </row>
    <row r="157">
      <c r="B157" s="4" t="s">
        <v>958</v>
      </c>
      <c r="C157" s="4">
        <v>128.0</v>
      </c>
      <c r="D157" s="4">
        <v>42.0</v>
      </c>
      <c r="E157" s="4">
        <v>45.0</v>
      </c>
      <c r="F157" s="4">
        <v>0.373</v>
      </c>
      <c r="G157" s="4">
        <f t="shared" ref="G157:G160" si="19">F157*D157</f>
        <v>15.666</v>
      </c>
      <c r="H157" s="4">
        <f t="shared" ref="H157:H160" si="20">F157*38</f>
        <v>14.174</v>
      </c>
      <c r="I157" s="19">
        <f t="shared" ref="I157:I160" si="21">(H157+C157)*1.03</f>
        <v>146.43922</v>
      </c>
      <c r="O157" s="21">
        <f>30*0.373</f>
        <v>11.19</v>
      </c>
      <c r="P157" s="21">
        <f>30*0.064</f>
        <v>1.92</v>
      </c>
      <c r="Q157" s="21">
        <f>12*0.128</f>
        <v>1.536</v>
      </c>
    </row>
    <row r="158">
      <c r="B158" s="4" t="s">
        <v>961</v>
      </c>
      <c r="C158" s="4">
        <v>27.0</v>
      </c>
      <c r="D158" s="4">
        <v>42.0</v>
      </c>
      <c r="E158" s="4">
        <v>54.0</v>
      </c>
      <c r="F158" s="4">
        <v>0.128</v>
      </c>
      <c r="G158" s="4">
        <f t="shared" si="19"/>
        <v>5.376</v>
      </c>
      <c r="H158" s="4">
        <f t="shared" si="20"/>
        <v>4.864</v>
      </c>
      <c r="I158" s="19">
        <f t="shared" si="21"/>
        <v>32.81992</v>
      </c>
    </row>
    <row r="159">
      <c r="B159" s="4" t="s">
        <v>962</v>
      </c>
      <c r="C159" s="4">
        <v>33.0</v>
      </c>
      <c r="D159" s="4">
        <v>70.0</v>
      </c>
      <c r="E159" s="4">
        <v>63.0</v>
      </c>
      <c r="F159" s="4">
        <v>0.064</v>
      </c>
      <c r="G159" s="4">
        <f t="shared" si="19"/>
        <v>4.48</v>
      </c>
      <c r="H159" s="4">
        <f t="shared" si="20"/>
        <v>2.432</v>
      </c>
      <c r="I159" s="19">
        <f t="shared" si="21"/>
        <v>36.49496</v>
      </c>
    </row>
    <row r="160">
      <c r="B160" s="4" t="s">
        <v>962</v>
      </c>
      <c r="C160" s="4">
        <v>33.0</v>
      </c>
      <c r="D160" s="4">
        <v>70.0</v>
      </c>
      <c r="E160" s="4">
        <v>20.0</v>
      </c>
      <c r="F160" s="4">
        <v>0.064</v>
      </c>
      <c r="G160" s="4">
        <f t="shared" si="19"/>
        <v>4.48</v>
      </c>
      <c r="H160" s="4">
        <f t="shared" si="20"/>
        <v>2.432</v>
      </c>
      <c r="I160" s="19">
        <f t="shared" si="21"/>
        <v>36.49496</v>
      </c>
    </row>
    <row r="161">
      <c r="B161" s="59"/>
      <c r="C161" s="17"/>
      <c r="D161" s="59"/>
      <c r="F161" s="17"/>
      <c r="G161" s="59"/>
    </row>
    <row r="162">
      <c r="A162" s="4" t="s">
        <v>963</v>
      </c>
      <c r="B162" s="14" t="s">
        <v>874</v>
      </c>
      <c r="C162" s="98" t="s">
        <v>964</v>
      </c>
      <c r="D162" s="14" t="s">
        <v>877</v>
      </c>
      <c r="E162" s="4" t="s">
        <v>965</v>
      </c>
      <c r="F162" s="4" t="s">
        <v>607</v>
      </c>
      <c r="G162" s="4" t="s">
        <v>966</v>
      </c>
      <c r="H162" s="4" t="s">
        <v>609</v>
      </c>
      <c r="I162" s="4" t="s">
        <v>967</v>
      </c>
    </row>
    <row r="163">
      <c r="A163" s="4" t="s">
        <v>968</v>
      </c>
      <c r="B163" s="14" t="s">
        <v>209</v>
      </c>
      <c r="C163" s="98">
        <v>3.0</v>
      </c>
      <c r="D163" s="9">
        <v>7.2</v>
      </c>
      <c r="E163" s="7">
        <v>21.6</v>
      </c>
      <c r="F163" s="4">
        <v>0.025</v>
      </c>
      <c r="G163" s="4">
        <f t="shared" ref="G163:G223" si="22">F163*C163</f>
        <v>0.075</v>
      </c>
      <c r="H163" s="4">
        <f t="shared" ref="H163:H223" si="23">F163*38</f>
        <v>0.95</v>
      </c>
      <c r="I163" s="20">
        <f t="shared" ref="I163:I223" si="24">(H163+D163)*1.03</f>
        <v>8.3945</v>
      </c>
    </row>
    <row r="164">
      <c r="A164" s="4" t="s">
        <v>622</v>
      </c>
      <c r="B164" s="14" t="s">
        <v>210</v>
      </c>
      <c r="C164" s="98">
        <v>3.0</v>
      </c>
      <c r="D164" s="9">
        <v>9.0</v>
      </c>
      <c r="E164" s="7">
        <v>27.0</v>
      </c>
      <c r="F164" s="4">
        <v>0.02</v>
      </c>
      <c r="G164" s="4">
        <f t="shared" si="22"/>
        <v>0.06</v>
      </c>
      <c r="H164" s="4">
        <f t="shared" si="23"/>
        <v>0.76</v>
      </c>
      <c r="I164" s="20">
        <f t="shared" si="24"/>
        <v>10.0528</v>
      </c>
    </row>
    <row r="165">
      <c r="A165" s="4" t="s">
        <v>626</v>
      </c>
      <c r="B165" s="14" t="s">
        <v>212</v>
      </c>
      <c r="C165" s="98">
        <v>2.0</v>
      </c>
      <c r="D165" s="9">
        <v>13.95</v>
      </c>
      <c r="E165" s="7">
        <v>27.9</v>
      </c>
      <c r="F165" s="4">
        <v>0.031</v>
      </c>
      <c r="G165" s="4">
        <f t="shared" si="22"/>
        <v>0.062</v>
      </c>
      <c r="H165" s="4">
        <f t="shared" si="23"/>
        <v>1.178</v>
      </c>
      <c r="I165" s="20">
        <f t="shared" si="24"/>
        <v>15.58184</v>
      </c>
    </row>
    <row r="166">
      <c r="A166" s="4" t="s">
        <v>682</v>
      </c>
      <c r="B166" s="14" t="s">
        <v>258</v>
      </c>
      <c r="C166" s="98">
        <v>1.0</v>
      </c>
      <c r="D166" s="9">
        <v>270.0</v>
      </c>
      <c r="E166" s="7">
        <v>270.0</v>
      </c>
      <c r="F166" s="4">
        <v>0.928</v>
      </c>
      <c r="G166" s="4">
        <f t="shared" si="22"/>
        <v>0.928</v>
      </c>
      <c r="H166" s="4">
        <f t="shared" si="23"/>
        <v>35.264</v>
      </c>
      <c r="I166" s="20">
        <f t="shared" si="24"/>
        <v>314.42192</v>
      </c>
    </row>
    <row r="167">
      <c r="A167" s="4" t="s">
        <v>969</v>
      </c>
      <c r="B167" s="14" t="s">
        <v>260</v>
      </c>
      <c r="C167" s="98">
        <v>1.0</v>
      </c>
      <c r="D167" s="9">
        <v>225.0</v>
      </c>
      <c r="E167" s="7">
        <v>225.0</v>
      </c>
      <c r="F167" s="4">
        <v>0.828</v>
      </c>
      <c r="G167" s="4">
        <f t="shared" si="22"/>
        <v>0.828</v>
      </c>
      <c r="H167" s="4">
        <f t="shared" si="23"/>
        <v>31.464</v>
      </c>
      <c r="I167" s="20">
        <f t="shared" si="24"/>
        <v>264.15792</v>
      </c>
    </row>
    <row r="168">
      <c r="A168" s="4" t="s">
        <v>688</v>
      </c>
      <c r="B168" s="14" t="s">
        <v>970</v>
      </c>
      <c r="C168" s="98">
        <v>3.0</v>
      </c>
      <c r="D168" s="9">
        <v>5.4</v>
      </c>
      <c r="E168" s="7">
        <v>16.2</v>
      </c>
      <c r="F168" s="4">
        <v>0.025</v>
      </c>
      <c r="G168" s="4">
        <f t="shared" si="22"/>
        <v>0.075</v>
      </c>
      <c r="H168" s="4">
        <f t="shared" si="23"/>
        <v>0.95</v>
      </c>
      <c r="I168" s="20">
        <f t="shared" si="24"/>
        <v>6.5405</v>
      </c>
    </row>
    <row r="169">
      <c r="A169" s="4" t="s">
        <v>971</v>
      </c>
      <c r="B169" s="14" t="s">
        <v>972</v>
      </c>
      <c r="C169" s="98">
        <v>4.0</v>
      </c>
      <c r="D169" s="9">
        <v>5.4</v>
      </c>
      <c r="E169" s="7">
        <v>21.6</v>
      </c>
      <c r="F169" s="4">
        <v>0.025</v>
      </c>
      <c r="G169" s="4">
        <f t="shared" si="22"/>
        <v>0.1</v>
      </c>
      <c r="H169" s="4">
        <f t="shared" si="23"/>
        <v>0.95</v>
      </c>
      <c r="I169" s="20">
        <f t="shared" si="24"/>
        <v>6.5405</v>
      </c>
    </row>
    <row r="170">
      <c r="A170" s="4" t="s">
        <v>697</v>
      </c>
      <c r="B170" s="14" t="s">
        <v>267</v>
      </c>
      <c r="C170" s="98">
        <v>3.0</v>
      </c>
      <c r="D170" s="9">
        <v>5.4</v>
      </c>
      <c r="E170" s="7">
        <v>16.2</v>
      </c>
      <c r="F170" s="4">
        <v>0.04</v>
      </c>
      <c r="G170" s="4">
        <f t="shared" si="22"/>
        <v>0.12</v>
      </c>
      <c r="H170" s="4">
        <f t="shared" si="23"/>
        <v>1.52</v>
      </c>
      <c r="I170" s="20">
        <f t="shared" si="24"/>
        <v>7.1276</v>
      </c>
    </row>
    <row r="171">
      <c r="A171" s="4" t="s">
        <v>702</v>
      </c>
      <c r="B171" s="14" t="s">
        <v>268</v>
      </c>
      <c r="C171" s="98">
        <v>2.0</v>
      </c>
      <c r="D171" s="9">
        <v>4.95</v>
      </c>
      <c r="E171" s="7">
        <v>9.9</v>
      </c>
      <c r="F171" s="4">
        <v>0.04</v>
      </c>
      <c r="G171" s="4">
        <f t="shared" si="22"/>
        <v>0.08</v>
      </c>
      <c r="H171" s="4">
        <f t="shared" si="23"/>
        <v>1.52</v>
      </c>
      <c r="I171" s="20">
        <f t="shared" si="24"/>
        <v>6.6641</v>
      </c>
    </row>
    <row r="172">
      <c r="A172" s="4" t="s">
        <v>705</v>
      </c>
      <c r="B172" s="14" t="s">
        <v>271</v>
      </c>
      <c r="C172" s="98">
        <v>2.0</v>
      </c>
      <c r="D172" s="9">
        <v>4.95</v>
      </c>
      <c r="E172" s="7">
        <v>9.9</v>
      </c>
      <c r="F172" s="4">
        <v>0.04</v>
      </c>
      <c r="G172" s="4">
        <f t="shared" si="22"/>
        <v>0.08</v>
      </c>
      <c r="H172" s="4">
        <f t="shared" si="23"/>
        <v>1.52</v>
      </c>
      <c r="I172" s="20">
        <f t="shared" si="24"/>
        <v>6.6641</v>
      </c>
    </row>
    <row r="173">
      <c r="A173" s="4" t="s">
        <v>708</v>
      </c>
      <c r="B173" s="14" t="s">
        <v>973</v>
      </c>
      <c r="C173" s="98">
        <v>3.0</v>
      </c>
      <c r="D173" s="9">
        <v>6.85</v>
      </c>
      <c r="E173" s="7">
        <v>17.55</v>
      </c>
      <c r="F173" s="4">
        <v>0.04</v>
      </c>
      <c r="G173" s="4">
        <f t="shared" si="22"/>
        <v>0.12</v>
      </c>
      <c r="H173" s="4">
        <f t="shared" si="23"/>
        <v>1.52</v>
      </c>
      <c r="I173" s="20">
        <f t="shared" si="24"/>
        <v>8.6211</v>
      </c>
    </row>
    <row r="174">
      <c r="A174" s="4" t="s">
        <v>974</v>
      </c>
      <c r="B174" s="14" t="s">
        <v>975</v>
      </c>
      <c r="C174" s="98">
        <v>1.0</v>
      </c>
      <c r="D174" s="9">
        <v>5.4</v>
      </c>
      <c r="E174" s="7">
        <v>5.4</v>
      </c>
      <c r="F174" s="4">
        <v>0.04</v>
      </c>
      <c r="G174" s="4">
        <f t="shared" si="22"/>
        <v>0.04</v>
      </c>
      <c r="H174" s="4">
        <f t="shared" si="23"/>
        <v>1.52</v>
      </c>
      <c r="I174" s="20">
        <f t="shared" si="24"/>
        <v>7.1276</v>
      </c>
    </row>
    <row r="175">
      <c r="A175" s="4" t="s">
        <v>976</v>
      </c>
      <c r="B175" s="14" t="s">
        <v>977</v>
      </c>
      <c r="C175" s="98">
        <v>1.0</v>
      </c>
      <c r="D175" s="9">
        <v>5.4</v>
      </c>
      <c r="E175" s="7">
        <v>5.4</v>
      </c>
      <c r="F175" s="4">
        <v>0.04</v>
      </c>
      <c r="G175" s="4">
        <f t="shared" si="22"/>
        <v>0.04</v>
      </c>
      <c r="H175" s="4">
        <f t="shared" si="23"/>
        <v>1.52</v>
      </c>
      <c r="I175" s="20">
        <f t="shared" si="24"/>
        <v>7.1276</v>
      </c>
    </row>
    <row r="176">
      <c r="A176" s="4" t="s">
        <v>978</v>
      </c>
      <c r="B176" s="14" t="s">
        <v>979</v>
      </c>
      <c r="C176" s="98">
        <v>1.0</v>
      </c>
      <c r="D176" s="9">
        <v>5.4</v>
      </c>
      <c r="E176" s="7">
        <v>5.4</v>
      </c>
      <c r="F176" s="4">
        <v>0.04</v>
      </c>
      <c r="G176" s="4">
        <f t="shared" si="22"/>
        <v>0.04</v>
      </c>
      <c r="H176" s="4">
        <f t="shared" si="23"/>
        <v>1.52</v>
      </c>
      <c r="I176" s="20">
        <f t="shared" si="24"/>
        <v>7.1276</v>
      </c>
    </row>
    <row r="177">
      <c r="A177" s="4" t="s">
        <v>980</v>
      </c>
      <c r="B177" s="14" t="s">
        <v>981</v>
      </c>
      <c r="C177" s="98">
        <v>1.0</v>
      </c>
      <c r="D177" s="9">
        <v>6.3</v>
      </c>
      <c r="E177" s="7">
        <v>6.3</v>
      </c>
      <c r="F177" s="4">
        <v>0.04</v>
      </c>
      <c r="G177" s="4">
        <f t="shared" si="22"/>
        <v>0.04</v>
      </c>
      <c r="H177" s="4">
        <f t="shared" si="23"/>
        <v>1.52</v>
      </c>
      <c r="I177" s="20">
        <f t="shared" si="24"/>
        <v>8.0546</v>
      </c>
    </row>
    <row r="178">
      <c r="A178" s="4" t="s">
        <v>982</v>
      </c>
      <c r="B178" s="14" t="s">
        <v>983</v>
      </c>
      <c r="C178" s="98">
        <v>1.0</v>
      </c>
      <c r="D178" s="9">
        <v>5.4</v>
      </c>
      <c r="E178" s="7">
        <v>5.4</v>
      </c>
      <c r="F178" s="4">
        <v>0.04</v>
      </c>
      <c r="G178" s="4">
        <f t="shared" si="22"/>
        <v>0.04</v>
      </c>
      <c r="H178" s="4">
        <f t="shared" si="23"/>
        <v>1.52</v>
      </c>
      <c r="I178" s="20">
        <f t="shared" si="24"/>
        <v>7.1276</v>
      </c>
    </row>
    <row r="179">
      <c r="A179" s="4" t="s">
        <v>984</v>
      </c>
      <c r="B179" s="14" t="s">
        <v>985</v>
      </c>
      <c r="C179" s="98">
        <v>1.0</v>
      </c>
      <c r="D179" s="9">
        <v>5.4</v>
      </c>
      <c r="E179" s="7">
        <v>5.4</v>
      </c>
      <c r="F179" s="4">
        <v>0.04</v>
      </c>
      <c r="G179" s="4">
        <f t="shared" si="22"/>
        <v>0.04</v>
      </c>
      <c r="H179" s="4">
        <f t="shared" si="23"/>
        <v>1.52</v>
      </c>
      <c r="I179" s="20">
        <f t="shared" si="24"/>
        <v>7.1276</v>
      </c>
    </row>
    <row r="180">
      <c r="A180" s="4" t="s">
        <v>986</v>
      </c>
      <c r="B180" s="14" t="s">
        <v>987</v>
      </c>
      <c r="C180" s="98">
        <v>1.0</v>
      </c>
      <c r="D180" s="9">
        <v>5.4</v>
      </c>
      <c r="E180" s="7">
        <v>5.4</v>
      </c>
      <c r="F180" s="4">
        <v>0.04</v>
      </c>
      <c r="G180" s="4">
        <f t="shared" si="22"/>
        <v>0.04</v>
      </c>
      <c r="H180" s="4">
        <f t="shared" si="23"/>
        <v>1.52</v>
      </c>
      <c r="I180" s="20">
        <f t="shared" si="24"/>
        <v>7.1276</v>
      </c>
    </row>
    <row r="181">
      <c r="A181" s="4" t="s">
        <v>811</v>
      </c>
      <c r="B181" s="14" t="s">
        <v>988</v>
      </c>
      <c r="C181" s="98">
        <v>2.0</v>
      </c>
      <c r="D181" s="9">
        <v>5.4</v>
      </c>
      <c r="E181" s="7">
        <v>10.8</v>
      </c>
      <c r="F181" s="4">
        <v>0.04</v>
      </c>
      <c r="G181" s="4">
        <f t="shared" si="22"/>
        <v>0.08</v>
      </c>
      <c r="H181" s="4">
        <f t="shared" si="23"/>
        <v>1.52</v>
      </c>
      <c r="I181" s="20">
        <f t="shared" si="24"/>
        <v>7.1276</v>
      </c>
    </row>
    <row r="182">
      <c r="A182" s="4" t="s">
        <v>816</v>
      </c>
      <c r="B182" s="14" t="s">
        <v>989</v>
      </c>
      <c r="C182" s="98">
        <v>1.0</v>
      </c>
      <c r="D182" s="9">
        <v>5.4</v>
      </c>
      <c r="E182" s="7">
        <v>5.4</v>
      </c>
      <c r="F182" s="4">
        <v>0.04</v>
      </c>
      <c r="G182" s="4">
        <f t="shared" si="22"/>
        <v>0.04</v>
      </c>
      <c r="H182" s="4">
        <f t="shared" si="23"/>
        <v>1.52</v>
      </c>
      <c r="I182" s="20">
        <f t="shared" si="24"/>
        <v>7.1276</v>
      </c>
    </row>
    <row r="183">
      <c r="A183" s="4" t="s">
        <v>820</v>
      </c>
      <c r="B183" s="14" t="s">
        <v>326</v>
      </c>
      <c r="C183" s="98">
        <v>1.0</v>
      </c>
      <c r="D183" s="9">
        <v>5.4</v>
      </c>
      <c r="E183" s="7">
        <v>5.4</v>
      </c>
      <c r="F183" s="4">
        <v>0.04</v>
      </c>
      <c r="G183" s="4">
        <f t="shared" si="22"/>
        <v>0.04</v>
      </c>
      <c r="H183" s="4">
        <f t="shared" si="23"/>
        <v>1.52</v>
      </c>
      <c r="I183" s="20">
        <f t="shared" si="24"/>
        <v>7.1276</v>
      </c>
    </row>
    <row r="184">
      <c r="A184" s="4" t="s">
        <v>824</v>
      </c>
      <c r="B184" s="14" t="s">
        <v>328</v>
      </c>
      <c r="C184" s="98">
        <v>1.0</v>
      </c>
      <c r="D184" s="9">
        <v>5.4</v>
      </c>
      <c r="E184" s="7">
        <v>5.4</v>
      </c>
      <c r="F184" s="4">
        <v>0.04</v>
      </c>
      <c r="G184" s="4">
        <f t="shared" si="22"/>
        <v>0.04</v>
      </c>
      <c r="H184" s="4">
        <f t="shared" si="23"/>
        <v>1.52</v>
      </c>
      <c r="I184" s="20">
        <f t="shared" si="24"/>
        <v>7.1276</v>
      </c>
    </row>
    <row r="185">
      <c r="A185" s="4" t="s">
        <v>990</v>
      </c>
      <c r="B185" s="14" t="s">
        <v>991</v>
      </c>
      <c r="C185" s="98">
        <v>3.0</v>
      </c>
      <c r="D185" s="9">
        <v>5.4</v>
      </c>
      <c r="E185" s="7">
        <v>16.2</v>
      </c>
      <c r="F185" s="4">
        <v>0.025</v>
      </c>
      <c r="G185" s="4">
        <f t="shared" si="22"/>
        <v>0.075</v>
      </c>
      <c r="H185" s="4">
        <f t="shared" si="23"/>
        <v>0.95</v>
      </c>
      <c r="I185" s="20">
        <f t="shared" si="24"/>
        <v>6.5405</v>
      </c>
    </row>
    <row r="186">
      <c r="A186" s="4" t="s">
        <v>992</v>
      </c>
      <c r="B186" s="14" t="s">
        <v>993</v>
      </c>
      <c r="C186" s="98">
        <v>2.0</v>
      </c>
      <c r="D186" s="9">
        <v>4.95</v>
      </c>
      <c r="E186" s="7">
        <v>9.9</v>
      </c>
      <c r="F186" s="4">
        <v>0.04</v>
      </c>
      <c r="G186" s="4">
        <f t="shared" si="22"/>
        <v>0.08</v>
      </c>
      <c r="H186" s="4">
        <f t="shared" si="23"/>
        <v>1.52</v>
      </c>
      <c r="I186" s="20">
        <f t="shared" si="24"/>
        <v>6.6641</v>
      </c>
    </row>
    <row r="187">
      <c r="A187" s="4" t="s">
        <v>994</v>
      </c>
      <c r="B187" s="14" t="s">
        <v>426</v>
      </c>
      <c r="C187" s="98">
        <v>6.0</v>
      </c>
      <c r="D187" s="9">
        <v>26.1</v>
      </c>
      <c r="E187" s="7">
        <v>156.6</v>
      </c>
      <c r="F187" s="4">
        <v>0.095</v>
      </c>
      <c r="G187" s="4">
        <f t="shared" si="22"/>
        <v>0.57</v>
      </c>
      <c r="H187" s="4">
        <f t="shared" si="23"/>
        <v>3.61</v>
      </c>
      <c r="I187" s="20">
        <f t="shared" si="24"/>
        <v>30.6013</v>
      </c>
    </row>
    <row r="188">
      <c r="A188" s="4" t="s">
        <v>995</v>
      </c>
      <c r="B188" s="14" t="s">
        <v>422</v>
      </c>
      <c r="C188" s="98">
        <v>1.0</v>
      </c>
      <c r="D188" s="9">
        <v>27.0</v>
      </c>
      <c r="E188" s="7">
        <v>0.0</v>
      </c>
      <c r="F188" s="4">
        <v>0.183</v>
      </c>
      <c r="G188" s="4">
        <f t="shared" si="22"/>
        <v>0.183</v>
      </c>
      <c r="H188" s="4">
        <f t="shared" si="23"/>
        <v>6.954</v>
      </c>
      <c r="I188" s="20">
        <f t="shared" si="24"/>
        <v>34.97262</v>
      </c>
    </row>
    <row r="189">
      <c r="A189" s="4" t="s">
        <v>996</v>
      </c>
      <c r="B189" s="14" t="s">
        <v>997</v>
      </c>
      <c r="C189" s="98">
        <v>5.0</v>
      </c>
      <c r="D189" s="9">
        <v>27.0</v>
      </c>
      <c r="E189" s="7">
        <v>135.0</v>
      </c>
      <c r="F189" s="4">
        <v>0.107</v>
      </c>
      <c r="G189" s="4">
        <f t="shared" si="22"/>
        <v>0.535</v>
      </c>
      <c r="H189" s="4">
        <f t="shared" si="23"/>
        <v>4.066</v>
      </c>
      <c r="I189" s="20">
        <f t="shared" si="24"/>
        <v>31.99798</v>
      </c>
    </row>
    <row r="190">
      <c r="A190" s="4" t="s">
        <v>998</v>
      </c>
      <c r="B190" s="14" t="s">
        <v>406</v>
      </c>
      <c r="C190" s="98">
        <v>2.0</v>
      </c>
      <c r="D190" s="9">
        <v>26.1</v>
      </c>
      <c r="E190" s="7">
        <v>52.2</v>
      </c>
      <c r="F190" s="4">
        <v>0.295</v>
      </c>
      <c r="G190" s="4">
        <f t="shared" si="22"/>
        <v>0.59</v>
      </c>
      <c r="H190" s="4">
        <f t="shared" si="23"/>
        <v>11.21</v>
      </c>
      <c r="I190" s="20">
        <f t="shared" si="24"/>
        <v>38.4293</v>
      </c>
    </row>
    <row r="191">
      <c r="A191" s="4" t="s">
        <v>851</v>
      </c>
      <c r="B191" s="14" t="s">
        <v>384</v>
      </c>
      <c r="C191" s="98">
        <v>3.0</v>
      </c>
      <c r="D191" s="9">
        <v>40.05</v>
      </c>
      <c r="E191" s="7">
        <v>120.15</v>
      </c>
      <c r="F191" s="4">
        <v>0.379</v>
      </c>
      <c r="G191" s="4">
        <f t="shared" si="22"/>
        <v>1.137</v>
      </c>
      <c r="H191" s="4">
        <f t="shared" si="23"/>
        <v>14.402</v>
      </c>
      <c r="I191" s="20">
        <f t="shared" si="24"/>
        <v>56.08556</v>
      </c>
    </row>
    <row r="192">
      <c r="A192" s="4" t="s">
        <v>1000</v>
      </c>
      <c r="B192" s="14" t="s">
        <v>408</v>
      </c>
      <c r="C192" s="98">
        <v>2.0</v>
      </c>
      <c r="D192" s="9">
        <v>35.55</v>
      </c>
      <c r="E192" s="7">
        <v>71.1</v>
      </c>
      <c r="F192" s="4">
        <v>0.379</v>
      </c>
      <c r="G192" s="4">
        <f t="shared" si="22"/>
        <v>0.758</v>
      </c>
      <c r="H192" s="4">
        <f t="shared" si="23"/>
        <v>14.402</v>
      </c>
      <c r="I192" s="20">
        <f t="shared" si="24"/>
        <v>51.45056</v>
      </c>
    </row>
    <row r="193">
      <c r="A193" s="4" t="s">
        <v>1001</v>
      </c>
      <c r="B193" s="14" t="s">
        <v>999</v>
      </c>
      <c r="C193" s="98">
        <v>2.0</v>
      </c>
      <c r="D193" s="9">
        <v>14.99</v>
      </c>
      <c r="E193" s="7">
        <v>29.98</v>
      </c>
      <c r="F193" s="4">
        <v>0.021</v>
      </c>
      <c r="G193" s="4">
        <f t="shared" si="22"/>
        <v>0.042</v>
      </c>
      <c r="H193" s="4">
        <f t="shared" si="23"/>
        <v>0.798</v>
      </c>
      <c r="I193" s="20">
        <f t="shared" si="24"/>
        <v>16.26164</v>
      </c>
    </row>
    <row r="194">
      <c r="A194" s="4" t="s">
        <v>1003</v>
      </c>
      <c r="B194" s="14" t="s">
        <v>351</v>
      </c>
      <c r="C194" s="98">
        <v>5.0</v>
      </c>
      <c r="D194" s="9">
        <v>9.0</v>
      </c>
      <c r="E194" s="7">
        <v>45.0</v>
      </c>
      <c r="F194" s="4">
        <v>0.039</v>
      </c>
      <c r="G194" s="4">
        <f t="shared" si="22"/>
        <v>0.195</v>
      </c>
      <c r="H194" s="4">
        <f t="shared" si="23"/>
        <v>1.482</v>
      </c>
      <c r="I194" s="20">
        <f t="shared" si="24"/>
        <v>10.79646</v>
      </c>
    </row>
    <row r="195">
      <c r="A195" s="4" t="s">
        <v>1005</v>
      </c>
      <c r="B195" s="14" t="s">
        <v>356</v>
      </c>
      <c r="C195" s="98">
        <v>5.0</v>
      </c>
      <c r="D195" s="9">
        <v>9.0</v>
      </c>
      <c r="E195" s="7">
        <v>45.0</v>
      </c>
      <c r="F195" s="4">
        <v>0.039</v>
      </c>
      <c r="G195" s="4">
        <f t="shared" si="22"/>
        <v>0.195</v>
      </c>
      <c r="H195" s="4">
        <f t="shared" si="23"/>
        <v>1.482</v>
      </c>
      <c r="I195" s="20">
        <f t="shared" si="24"/>
        <v>10.79646</v>
      </c>
    </row>
    <row r="196">
      <c r="A196" s="4" t="s">
        <v>1009</v>
      </c>
      <c r="B196" s="14" t="s">
        <v>359</v>
      </c>
      <c r="C196" s="98">
        <v>5.0</v>
      </c>
      <c r="D196" s="9">
        <v>9.0</v>
      </c>
      <c r="E196" s="7">
        <v>45.0</v>
      </c>
      <c r="F196" s="4">
        <v>0.039</v>
      </c>
      <c r="G196" s="4">
        <f t="shared" si="22"/>
        <v>0.195</v>
      </c>
      <c r="H196" s="4">
        <f t="shared" si="23"/>
        <v>1.482</v>
      </c>
      <c r="I196" s="20">
        <f t="shared" si="24"/>
        <v>10.79646</v>
      </c>
    </row>
    <row r="197">
      <c r="A197" s="4" t="s">
        <v>1010</v>
      </c>
      <c r="B197" s="14" t="s">
        <v>414</v>
      </c>
      <c r="C197" s="98">
        <v>2.0</v>
      </c>
      <c r="D197" s="9">
        <v>35.55</v>
      </c>
      <c r="E197" s="7">
        <v>71.1</v>
      </c>
      <c r="F197" s="4">
        <v>0.232</v>
      </c>
      <c r="G197" s="4">
        <f t="shared" si="22"/>
        <v>0.464</v>
      </c>
      <c r="H197" s="4">
        <f t="shared" si="23"/>
        <v>8.816</v>
      </c>
      <c r="I197" s="20">
        <f t="shared" si="24"/>
        <v>45.69698</v>
      </c>
    </row>
    <row r="198">
      <c r="A198" s="4" t="s">
        <v>1012</v>
      </c>
      <c r="B198" s="14" t="s">
        <v>409</v>
      </c>
      <c r="C198" s="98">
        <v>1.0</v>
      </c>
      <c r="D198" s="9">
        <v>35.55</v>
      </c>
      <c r="E198" s="7">
        <v>35.55</v>
      </c>
      <c r="F198" s="4">
        <v>0.323</v>
      </c>
      <c r="G198" s="4">
        <f t="shared" si="22"/>
        <v>0.323</v>
      </c>
      <c r="H198" s="4">
        <f t="shared" si="23"/>
        <v>12.274</v>
      </c>
      <c r="I198" s="20">
        <f t="shared" si="24"/>
        <v>49.25872</v>
      </c>
    </row>
    <row r="199">
      <c r="A199" s="4" t="s">
        <v>1013</v>
      </c>
      <c r="B199" s="14" t="s">
        <v>411</v>
      </c>
      <c r="C199" s="98">
        <v>1.0</v>
      </c>
      <c r="D199" s="9">
        <v>26.1</v>
      </c>
      <c r="E199" s="7">
        <v>26.1</v>
      </c>
      <c r="F199" s="4">
        <v>0.331</v>
      </c>
      <c r="G199" s="4">
        <f t="shared" si="22"/>
        <v>0.331</v>
      </c>
      <c r="H199" s="4">
        <f t="shared" si="23"/>
        <v>12.578</v>
      </c>
      <c r="I199" s="20">
        <f t="shared" si="24"/>
        <v>39.83834</v>
      </c>
    </row>
    <row r="200">
      <c r="A200" s="4" t="s">
        <v>1014</v>
      </c>
      <c r="B200" s="14" t="s">
        <v>472</v>
      </c>
      <c r="C200" s="98">
        <v>15.0</v>
      </c>
      <c r="D200" s="9">
        <v>4.5</v>
      </c>
      <c r="E200" s="7">
        <v>67.5</v>
      </c>
      <c r="F200" s="4">
        <v>0.086</v>
      </c>
      <c r="G200" s="4">
        <f t="shared" si="22"/>
        <v>1.29</v>
      </c>
      <c r="H200" s="4">
        <f t="shared" si="23"/>
        <v>3.268</v>
      </c>
      <c r="I200" s="20">
        <f t="shared" si="24"/>
        <v>8.00104</v>
      </c>
    </row>
    <row r="201">
      <c r="A201" s="4" t="s">
        <v>1015</v>
      </c>
      <c r="B201" s="14" t="s">
        <v>417</v>
      </c>
      <c r="C201" s="98">
        <v>1.0</v>
      </c>
      <c r="D201" s="9">
        <v>27.0</v>
      </c>
      <c r="E201" s="7">
        <v>27.0</v>
      </c>
      <c r="F201" s="4">
        <v>0.193</v>
      </c>
      <c r="G201" s="4">
        <f t="shared" si="22"/>
        <v>0.193</v>
      </c>
      <c r="H201" s="4">
        <f t="shared" si="23"/>
        <v>7.334</v>
      </c>
      <c r="I201" s="20">
        <f t="shared" si="24"/>
        <v>35.36402</v>
      </c>
    </row>
    <row r="202">
      <c r="A202" s="4" t="s">
        <v>1016</v>
      </c>
      <c r="B202" s="14" t="s">
        <v>1002</v>
      </c>
      <c r="C202" s="98">
        <v>3.0</v>
      </c>
      <c r="D202" s="9">
        <v>49.5</v>
      </c>
      <c r="E202" s="7">
        <v>148.5</v>
      </c>
      <c r="F202" s="4">
        <v>0.205</v>
      </c>
      <c r="G202" s="4">
        <f t="shared" si="22"/>
        <v>0.615</v>
      </c>
      <c r="H202" s="4">
        <f t="shared" si="23"/>
        <v>7.79</v>
      </c>
      <c r="I202" s="20">
        <f t="shared" si="24"/>
        <v>59.0087</v>
      </c>
    </row>
    <row r="203">
      <c r="A203" s="4" t="s">
        <v>1017</v>
      </c>
      <c r="B203" s="14" t="s">
        <v>419</v>
      </c>
      <c r="C203" s="98">
        <v>1.0</v>
      </c>
      <c r="D203" s="9">
        <v>39.7</v>
      </c>
      <c r="E203" s="7">
        <v>0.0</v>
      </c>
      <c r="F203" s="4">
        <v>0.237</v>
      </c>
      <c r="G203" s="4">
        <f t="shared" si="22"/>
        <v>0.237</v>
      </c>
      <c r="H203" s="4">
        <f t="shared" si="23"/>
        <v>9.006</v>
      </c>
      <c r="I203" s="20">
        <f t="shared" si="24"/>
        <v>50.16718</v>
      </c>
    </row>
    <row r="204">
      <c r="A204" s="4" t="s">
        <v>1018</v>
      </c>
      <c r="B204" s="14" t="s">
        <v>422</v>
      </c>
      <c r="C204" s="98">
        <v>2.0</v>
      </c>
      <c r="D204" s="9">
        <v>27.0</v>
      </c>
      <c r="E204" s="7">
        <v>54.0</v>
      </c>
      <c r="F204" s="4">
        <v>0.183</v>
      </c>
      <c r="G204" s="4">
        <f t="shared" si="22"/>
        <v>0.366</v>
      </c>
      <c r="H204" s="4">
        <f t="shared" si="23"/>
        <v>6.954</v>
      </c>
      <c r="I204" s="20">
        <f t="shared" si="24"/>
        <v>34.97262</v>
      </c>
    </row>
    <row r="205">
      <c r="A205" s="4" t="s">
        <v>1019</v>
      </c>
      <c r="B205" s="14" t="s">
        <v>424</v>
      </c>
      <c r="C205" s="98">
        <v>1.0</v>
      </c>
      <c r="D205" s="9">
        <v>30.6</v>
      </c>
      <c r="E205" s="7">
        <v>0.0</v>
      </c>
      <c r="F205" s="4">
        <v>0.232</v>
      </c>
      <c r="G205" s="4">
        <f t="shared" si="22"/>
        <v>0.232</v>
      </c>
      <c r="H205" s="4">
        <f t="shared" si="23"/>
        <v>8.816</v>
      </c>
      <c r="I205" s="20">
        <f t="shared" si="24"/>
        <v>40.59848</v>
      </c>
    </row>
    <row r="206">
      <c r="A206" s="4" t="s">
        <v>849</v>
      </c>
      <c r="B206" s="14" t="s">
        <v>1004</v>
      </c>
      <c r="C206" s="98">
        <v>5.0</v>
      </c>
      <c r="D206" s="9">
        <v>15.3</v>
      </c>
      <c r="E206" s="7">
        <v>76.5</v>
      </c>
      <c r="F206" s="4">
        <v>0.185</v>
      </c>
      <c r="G206" s="4">
        <f t="shared" si="22"/>
        <v>0.925</v>
      </c>
      <c r="H206" s="4">
        <f t="shared" si="23"/>
        <v>7.03</v>
      </c>
      <c r="I206" s="20">
        <f t="shared" si="24"/>
        <v>22.9999</v>
      </c>
    </row>
    <row r="207">
      <c r="A207" s="4" t="s">
        <v>854</v>
      </c>
      <c r="B207" s="14" t="s">
        <v>397</v>
      </c>
      <c r="C207" s="98">
        <v>6.0</v>
      </c>
      <c r="D207" s="9">
        <v>13.5</v>
      </c>
      <c r="E207" s="7">
        <v>81.0</v>
      </c>
      <c r="F207" s="4">
        <v>0.216</v>
      </c>
      <c r="G207" s="4">
        <f t="shared" si="22"/>
        <v>1.296</v>
      </c>
      <c r="H207" s="4">
        <f t="shared" si="23"/>
        <v>8.208</v>
      </c>
      <c r="I207" s="20">
        <f t="shared" si="24"/>
        <v>22.35924</v>
      </c>
    </row>
    <row r="208">
      <c r="A208" s="4" t="s">
        <v>1020</v>
      </c>
      <c r="B208" s="14" t="s">
        <v>1006</v>
      </c>
      <c r="C208" s="98">
        <v>10.0</v>
      </c>
      <c r="D208" s="9">
        <v>10.8</v>
      </c>
      <c r="E208" s="7">
        <v>108.0</v>
      </c>
      <c r="F208" s="4">
        <v>0.03</v>
      </c>
      <c r="G208" s="4">
        <f t="shared" si="22"/>
        <v>0.3</v>
      </c>
      <c r="H208" s="4">
        <f t="shared" si="23"/>
        <v>1.14</v>
      </c>
      <c r="I208" s="20">
        <f t="shared" si="24"/>
        <v>12.2982</v>
      </c>
    </row>
    <row r="209">
      <c r="A209" s="4" t="s">
        <v>1021</v>
      </c>
      <c r="B209" s="14" t="s">
        <v>1007</v>
      </c>
      <c r="C209" s="98">
        <v>10.0</v>
      </c>
      <c r="D209" s="9">
        <v>13.05</v>
      </c>
      <c r="E209" s="7">
        <v>130.5</v>
      </c>
      <c r="F209" s="4">
        <v>0.067</v>
      </c>
      <c r="G209" s="4">
        <f t="shared" si="22"/>
        <v>0.67</v>
      </c>
      <c r="H209" s="4">
        <f t="shared" si="23"/>
        <v>2.546</v>
      </c>
      <c r="I209" s="20">
        <f t="shared" si="24"/>
        <v>16.06388</v>
      </c>
    </row>
    <row r="210">
      <c r="A210" s="4" t="s">
        <v>842</v>
      </c>
      <c r="B210" s="14" t="s">
        <v>373</v>
      </c>
      <c r="C210" s="98">
        <v>5.0</v>
      </c>
      <c r="D210" s="9">
        <v>15.3</v>
      </c>
      <c r="E210" s="7">
        <v>76.5</v>
      </c>
      <c r="F210" s="4">
        <v>0.227</v>
      </c>
      <c r="G210" s="4">
        <f t="shared" si="22"/>
        <v>1.135</v>
      </c>
      <c r="H210" s="4">
        <f t="shared" si="23"/>
        <v>8.626</v>
      </c>
      <c r="I210" s="20">
        <f t="shared" si="24"/>
        <v>24.64378</v>
      </c>
    </row>
    <row r="211">
      <c r="A211" s="4" t="s">
        <v>859</v>
      </c>
      <c r="B211" s="14" t="s">
        <v>1008</v>
      </c>
      <c r="C211" s="98">
        <v>6.0</v>
      </c>
      <c r="D211" s="9">
        <v>13.5</v>
      </c>
      <c r="E211" s="7">
        <v>81.0</v>
      </c>
      <c r="F211" s="4">
        <v>0.193</v>
      </c>
      <c r="G211" s="4">
        <f t="shared" si="22"/>
        <v>1.158</v>
      </c>
      <c r="H211" s="4">
        <f t="shared" si="23"/>
        <v>7.334</v>
      </c>
      <c r="I211" s="20">
        <f t="shared" si="24"/>
        <v>21.45902</v>
      </c>
    </row>
    <row r="212">
      <c r="A212" s="4" t="s">
        <v>845</v>
      </c>
      <c r="B212" s="14" t="s">
        <v>376</v>
      </c>
      <c r="C212" s="98">
        <v>5.0</v>
      </c>
      <c r="D212" s="9">
        <v>13.5</v>
      </c>
      <c r="E212" s="7">
        <v>67.5</v>
      </c>
      <c r="F212" s="4">
        <v>0.227</v>
      </c>
      <c r="G212" s="4">
        <f t="shared" si="22"/>
        <v>1.135</v>
      </c>
      <c r="H212" s="4">
        <f t="shared" si="23"/>
        <v>8.626</v>
      </c>
      <c r="I212" s="20">
        <f t="shared" si="24"/>
        <v>22.78978</v>
      </c>
    </row>
    <row r="213">
      <c r="A213" s="4" t="s">
        <v>1022</v>
      </c>
      <c r="B213" s="14" t="s">
        <v>363</v>
      </c>
      <c r="C213" s="98">
        <v>10.0</v>
      </c>
      <c r="D213" s="9">
        <v>10.8</v>
      </c>
      <c r="E213" s="7">
        <v>108.0</v>
      </c>
      <c r="F213" s="4">
        <v>0.027</v>
      </c>
      <c r="G213" s="4">
        <f t="shared" si="22"/>
        <v>0.27</v>
      </c>
      <c r="H213" s="4">
        <f t="shared" si="23"/>
        <v>1.026</v>
      </c>
      <c r="I213" s="20">
        <f t="shared" si="24"/>
        <v>12.18078</v>
      </c>
    </row>
    <row r="214">
      <c r="A214" s="4" t="s">
        <v>840</v>
      </c>
      <c r="B214" s="14" t="s">
        <v>369</v>
      </c>
      <c r="C214" s="98">
        <v>3.0</v>
      </c>
      <c r="D214" s="9">
        <v>24.3</v>
      </c>
      <c r="E214" s="7">
        <v>72.9</v>
      </c>
      <c r="F214" s="4">
        <v>0.227</v>
      </c>
      <c r="G214" s="4">
        <f t="shared" si="22"/>
        <v>0.681</v>
      </c>
      <c r="H214" s="4">
        <f t="shared" si="23"/>
        <v>8.626</v>
      </c>
      <c r="I214" s="20">
        <f t="shared" si="24"/>
        <v>33.91378</v>
      </c>
    </row>
    <row r="215">
      <c r="A215" s="4" t="s">
        <v>847</v>
      </c>
      <c r="B215" s="14" t="s">
        <v>380</v>
      </c>
      <c r="C215" s="98">
        <v>4.0</v>
      </c>
      <c r="D215" s="9">
        <v>18.9</v>
      </c>
      <c r="E215" s="7">
        <v>75.6</v>
      </c>
      <c r="F215" s="4">
        <v>0.185</v>
      </c>
      <c r="G215" s="4">
        <f t="shared" si="22"/>
        <v>0.74</v>
      </c>
      <c r="H215" s="4">
        <f t="shared" si="23"/>
        <v>7.03</v>
      </c>
      <c r="I215" s="20">
        <f t="shared" si="24"/>
        <v>26.7079</v>
      </c>
    </row>
    <row r="216">
      <c r="A216" s="4" t="s">
        <v>1023</v>
      </c>
      <c r="B216" s="14" t="s">
        <v>386</v>
      </c>
      <c r="C216" s="98">
        <v>3.0</v>
      </c>
      <c r="D216" s="9">
        <v>18.9</v>
      </c>
      <c r="E216" s="7">
        <v>56.7</v>
      </c>
      <c r="F216" s="4">
        <v>0.223</v>
      </c>
      <c r="G216" s="4">
        <f t="shared" si="22"/>
        <v>0.669</v>
      </c>
      <c r="H216" s="4">
        <f t="shared" si="23"/>
        <v>8.474</v>
      </c>
      <c r="I216" s="20">
        <f t="shared" si="24"/>
        <v>28.19522</v>
      </c>
    </row>
    <row r="217">
      <c r="A217" s="4" t="s">
        <v>1025</v>
      </c>
      <c r="B217" s="14" t="s">
        <v>389</v>
      </c>
      <c r="C217" s="98">
        <v>3.0</v>
      </c>
      <c r="D217" s="9">
        <v>24.3</v>
      </c>
      <c r="E217" s="7">
        <v>72.9</v>
      </c>
      <c r="F217" s="4">
        <v>0.264</v>
      </c>
      <c r="G217" s="4">
        <f t="shared" si="22"/>
        <v>0.792</v>
      </c>
      <c r="H217" s="4">
        <f t="shared" si="23"/>
        <v>10.032</v>
      </c>
      <c r="I217" s="20">
        <f t="shared" si="24"/>
        <v>35.36196</v>
      </c>
    </row>
    <row r="218">
      <c r="A218" s="4" t="s">
        <v>853</v>
      </c>
      <c r="B218" s="14" t="s">
        <v>392</v>
      </c>
      <c r="C218" s="98">
        <v>3.0</v>
      </c>
      <c r="D218" s="9">
        <v>26.1</v>
      </c>
      <c r="E218" s="7">
        <v>78.3</v>
      </c>
      <c r="F218" s="4">
        <v>0.227</v>
      </c>
      <c r="G218" s="4">
        <f t="shared" si="22"/>
        <v>0.681</v>
      </c>
      <c r="H218" s="4">
        <f t="shared" si="23"/>
        <v>8.626</v>
      </c>
      <c r="I218" s="20">
        <f t="shared" si="24"/>
        <v>35.76778</v>
      </c>
    </row>
    <row r="219">
      <c r="A219" s="4" t="s">
        <v>1032</v>
      </c>
      <c r="B219" s="14" t="s">
        <v>394</v>
      </c>
      <c r="C219" s="98">
        <v>4.0</v>
      </c>
      <c r="D219" s="9">
        <v>18.9</v>
      </c>
      <c r="E219" s="7">
        <v>75.6</v>
      </c>
      <c r="F219" s="4">
        <v>0.179</v>
      </c>
      <c r="G219" s="4">
        <f t="shared" si="22"/>
        <v>0.716</v>
      </c>
      <c r="H219" s="4">
        <f t="shared" si="23"/>
        <v>6.802</v>
      </c>
      <c r="I219" s="20">
        <f t="shared" si="24"/>
        <v>26.47306</v>
      </c>
    </row>
    <row r="220">
      <c r="A220" s="4" t="s">
        <v>1033</v>
      </c>
      <c r="B220" s="14" t="s">
        <v>1011</v>
      </c>
      <c r="C220" s="98">
        <v>4.0</v>
      </c>
      <c r="D220" s="9">
        <v>24.3</v>
      </c>
      <c r="E220" s="7">
        <v>97.2</v>
      </c>
      <c r="F220" s="4">
        <v>0.216</v>
      </c>
      <c r="G220" s="4">
        <f t="shared" si="22"/>
        <v>0.864</v>
      </c>
      <c r="H220" s="4">
        <f t="shared" si="23"/>
        <v>8.208</v>
      </c>
      <c r="I220" s="20">
        <f t="shared" si="24"/>
        <v>33.48324</v>
      </c>
    </row>
    <row r="221">
      <c r="A221" s="4" t="s">
        <v>856</v>
      </c>
      <c r="B221" s="14" t="s">
        <v>399</v>
      </c>
      <c r="C221" s="98">
        <v>4.0</v>
      </c>
      <c r="D221" s="9">
        <v>18.9</v>
      </c>
      <c r="E221" s="7">
        <v>75.6</v>
      </c>
      <c r="F221" s="4">
        <v>0.193</v>
      </c>
      <c r="G221" s="4">
        <f t="shared" si="22"/>
        <v>0.772</v>
      </c>
      <c r="H221" s="4">
        <f t="shared" si="23"/>
        <v>7.334</v>
      </c>
      <c r="I221" s="20">
        <f t="shared" si="24"/>
        <v>27.02102</v>
      </c>
    </row>
    <row r="222">
      <c r="A222" s="4" t="s">
        <v>860</v>
      </c>
      <c r="B222" s="14" t="s">
        <v>404</v>
      </c>
      <c r="C222" s="98">
        <v>2.0</v>
      </c>
      <c r="D222" s="9">
        <v>31.05</v>
      </c>
      <c r="E222" s="7">
        <v>62.1</v>
      </c>
      <c r="F222" s="4">
        <v>0.323</v>
      </c>
      <c r="G222" s="4">
        <f t="shared" si="22"/>
        <v>0.646</v>
      </c>
      <c r="H222" s="4">
        <f t="shared" si="23"/>
        <v>12.274</v>
      </c>
      <c r="I222" s="20">
        <f t="shared" si="24"/>
        <v>44.62372</v>
      </c>
    </row>
    <row r="223">
      <c r="A223" s="4" t="s">
        <v>862</v>
      </c>
      <c r="B223" s="14" t="s">
        <v>413</v>
      </c>
      <c r="C223" s="98">
        <v>4.0</v>
      </c>
      <c r="D223" s="9">
        <v>26.1</v>
      </c>
      <c r="E223" s="7">
        <v>104.4</v>
      </c>
      <c r="F223" s="4">
        <v>0.262</v>
      </c>
      <c r="G223" s="4">
        <f t="shared" si="22"/>
        <v>1.048</v>
      </c>
      <c r="H223" s="4">
        <f t="shared" si="23"/>
        <v>9.956</v>
      </c>
      <c r="I223" s="20">
        <f t="shared" si="24"/>
        <v>37.13768</v>
      </c>
    </row>
    <row r="224">
      <c r="B224" s="59"/>
      <c r="C224" s="17"/>
      <c r="D224" s="59"/>
      <c r="F224" s="17"/>
      <c r="G224" s="59"/>
    </row>
    <row r="225">
      <c r="B225" s="59"/>
      <c r="C225" s="17"/>
      <c r="D225" s="59"/>
      <c r="F225" s="17"/>
      <c r="G225" s="59"/>
    </row>
    <row r="226">
      <c r="A226" s="106" t="s">
        <v>1049</v>
      </c>
      <c r="B226" s="106" t="s">
        <v>1052</v>
      </c>
      <c r="C226" s="107" t="s">
        <v>1054</v>
      </c>
      <c r="D226" s="107" t="s">
        <v>1057</v>
      </c>
      <c r="E226" s="107" t="s">
        <v>1058</v>
      </c>
      <c r="F226" s="107" t="s">
        <v>1059</v>
      </c>
      <c r="G226" s="107" t="s">
        <v>1060</v>
      </c>
      <c r="H226" s="107" t="s">
        <v>1061</v>
      </c>
      <c r="I226" s="107" t="s">
        <v>1063</v>
      </c>
      <c r="J226" s="107" t="s">
        <v>1064</v>
      </c>
      <c r="K226" s="108" t="s">
        <v>1066</v>
      </c>
      <c r="L226" s="108" t="s">
        <v>1068</v>
      </c>
    </row>
    <row r="227">
      <c r="A227" s="6" t="s">
        <v>1070</v>
      </c>
      <c r="B227" s="6">
        <v>240.0</v>
      </c>
      <c r="C227" s="3">
        <v>4.25</v>
      </c>
      <c r="D227" s="3">
        <v>1020.0</v>
      </c>
      <c r="E227" s="3">
        <v>-102.0</v>
      </c>
      <c r="F227" s="3">
        <v>48.01</v>
      </c>
      <c r="G227" s="3">
        <v>407.35</v>
      </c>
      <c r="H227" s="109">
        <v>6.09</v>
      </c>
      <c r="I227" s="3">
        <v>0.37</v>
      </c>
      <c r="J227" s="3">
        <v>2.86</v>
      </c>
      <c r="K227" s="3">
        <v>8.95</v>
      </c>
      <c r="L227" s="12">
        <f t="shared" ref="L227:L229" si="25">K227*B227</f>
        <v>2148</v>
      </c>
    </row>
    <row r="228">
      <c r="A228" s="6" t="s">
        <v>1076</v>
      </c>
      <c r="B228" s="6">
        <v>200.0</v>
      </c>
      <c r="C228" s="3">
        <v>5.5</v>
      </c>
      <c r="D228" s="3">
        <v>1100.0</v>
      </c>
      <c r="E228" s="3">
        <v>-110.0</v>
      </c>
      <c r="F228" s="3">
        <v>51.79</v>
      </c>
      <c r="G228" s="3">
        <v>439.3</v>
      </c>
      <c r="H228" s="109">
        <v>7.890000000000001</v>
      </c>
      <c r="I228" s="3">
        <v>0.48</v>
      </c>
      <c r="J228" s="3">
        <v>3.7</v>
      </c>
      <c r="K228" s="3">
        <v>11.59</v>
      </c>
      <c r="L228" s="12">
        <f t="shared" si="25"/>
        <v>2318</v>
      </c>
    </row>
    <row r="229">
      <c r="A229" s="6" t="s">
        <v>1077</v>
      </c>
      <c r="B229" s="6">
        <v>240.0</v>
      </c>
      <c r="C229" s="3">
        <v>4.25</v>
      </c>
      <c r="D229" s="3">
        <v>1020.0</v>
      </c>
      <c r="E229" s="3">
        <v>-102.0</v>
      </c>
      <c r="F229" s="3">
        <v>48.01</v>
      </c>
      <c r="G229" s="3">
        <v>407.35</v>
      </c>
      <c r="H229" s="109">
        <v>6.09</v>
      </c>
      <c r="I229" s="3">
        <v>0.37</v>
      </c>
      <c r="J229" s="3">
        <v>2.86</v>
      </c>
      <c r="K229" s="3">
        <v>8.95</v>
      </c>
      <c r="L229" s="12">
        <f t="shared" si="25"/>
        <v>2148</v>
      </c>
    </row>
    <row r="230">
      <c r="A230" s="106" t="s">
        <v>1078</v>
      </c>
      <c r="B230" s="106">
        <v>680.0</v>
      </c>
      <c r="C230" s="111"/>
      <c r="D230" s="107">
        <v>3140.0</v>
      </c>
      <c r="E230" s="107">
        <v>-314.0</v>
      </c>
      <c r="F230" s="107">
        <v>147.81</v>
      </c>
      <c r="G230" s="107">
        <v>1254.0</v>
      </c>
      <c r="H230" s="107"/>
      <c r="I230" s="111"/>
      <c r="J230" s="111"/>
      <c r="K230" s="111"/>
      <c r="L230" s="48">
        <f>SUM(L227:L229)</f>
        <v>6614</v>
      </c>
    </row>
    <row r="231">
      <c r="B231" s="59"/>
      <c r="C231" s="17"/>
      <c r="D231" s="59"/>
      <c r="F231" s="17"/>
      <c r="G231" s="59"/>
    </row>
    <row r="232">
      <c r="A232" s="4" t="s">
        <v>1079</v>
      </c>
      <c r="B232" s="14">
        <v>5.0</v>
      </c>
      <c r="C232" s="9">
        <v>46.0</v>
      </c>
      <c r="D232" s="17">
        <f t="shared" ref="D232:D234" si="26">C232*B232</f>
        <v>230</v>
      </c>
      <c r="F232" s="17"/>
      <c r="G232" s="17">
        <f t="shared" ref="G232:G234" si="27">(D232/$D$236)*$G$235</f>
        <v>553.6651584</v>
      </c>
      <c r="H232" s="12">
        <f t="shared" ref="H232:H234" si="28">(D232+G232)/B232</f>
        <v>156.7330317</v>
      </c>
      <c r="I232" s="12">
        <f t="shared" ref="I232:I234" si="29">H232*1.065</f>
        <v>166.9206787</v>
      </c>
      <c r="J232" s="48">
        <f t="shared" ref="J232:J234" si="30">I232*1.1</f>
        <v>183.6127466</v>
      </c>
      <c r="N232" s="21">
        <f>5*166</f>
        <v>830</v>
      </c>
    </row>
    <row r="233">
      <c r="A233" s="4" t="s">
        <v>1080</v>
      </c>
      <c r="B233" s="14">
        <v>5.0</v>
      </c>
      <c r="C233" s="9">
        <v>42.0</v>
      </c>
      <c r="D233" s="17">
        <f t="shared" si="26"/>
        <v>210</v>
      </c>
      <c r="F233" s="17"/>
      <c r="G233" s="17">
        <f t="shared" si="27"/>
        <v>505.520362</v>
      </c>
      <c r="H233" s="12">
        <f t="shared" si="28"/>
        <v>143.1040724</v>
      </c>
      <c r="I233" s="12">
        <f t="shared" si="29"/>
        <v>152.4058371</v>
      </c>
      <c r="J233" s="48">
        <f t="shared" si="30"/>
        <v>167.6464208</v>
      </c>
      <c r="N233" s="21">
        <f>5*152</f>
        <v>760</v>
      </c>
    </row>
    <row r="234">
      <c r="A234" s="4" t="s">
        <v>1081</v>
      </c>
      <c r="B234" s="14">
        <v>5.0</v>
      </c>
      <c r="C234" s="9">
        <v>22.5</v>
      </c>
      <c r="D234" s="17">
        <f t="shared" si="26"/>
        <v>112.5</v>
      </c>
      <c r="F234" s="17"/>
      <c r="G234" s="17">
        <f t="shared" si="27"/>
        <v>270.8144796</v>
      </c>
      <c r="H234" s="12">
        <f t="shared" si="28"/>
        <v>76.66289593</v>
      </c>
      <c r="I234" s="12">
        <f t="shared" si="29"/>
        <v>81.64598416</v>
      </c>
      <c r="J234" s="48">
        <f t="shared" si="30"/>
        <v>89.81058258</v>
      </c>
      <c r="N234" s="21">
        <f>5*81.65</f>
        <v>408.25</v>
      </c>
    </row>
    <row r="235">
      <c r="B235" s="59"/>
      <c r="C235" s="17"/>
      <c r="D235" s="59"/>
      <c r="F235" s="17"/>
      <c r="G235" s="14">
        <v>1330.0</v>
      </c>
    </row>
    <row r="236">
      <c r="B236" s="59"/>
      <c r="C236" s="17"/>
      <c r="D236" s="17">
        <f>SUM(D232:D234)</f>
        <v>552.5</v>
      </c>
      <c r="F236" s="17"/>
      <c r="G236" s="59"/>
    </row>
    <row r="237">
      <c r="B237" s="59"/>
      <c r="C237" s="17"/>
      <c r="D237" s="59"/>
      <c r="F237" s="17"/>
      <c r="G237" s="59"/>
    </row>
    <row r="238">
      <c r="B238" s="59"/>
      <c r="C238" s="17"/>
      <c r="D238" s="59"/>
      <c r="F238" s="17"/>
      <c r="G238" s="59"/>
    </row>
    <row r="239">
      <c r="B239" s="59"/>
      <c r="C239" s="17"/>
      <c r="D239" s="59"/>
      <c r="F239" s="17"/>
      <c r="G239" s="59"/>
    </row>
    <row r="240">
      <c r="B240" s="59"/>
      <c r="C240" s="17"/>
      <c r="D240" s="59"/>
      <c r="F240" s="17"/>
      <c r="G240" s="59"/>
    </row>
    <row r="241">
      <c r="B241" s="59"/>
      <c r="C241" s="17"/>
      <c r="D241" s="59"/>
      <c r="F241" s="17"/>
      <c r="G241" s="59"/>
    </row>
    <row r="242">
      <c r="B242" s="59"/>
      <c r="C242" s="17"/>
      <c r="D242" s="59"/>
      <c r="F242" s="17"/>
      <c r="G242" s="59"/>
    </row>
    <row r="243">
      <c r="B243" s="59"/>
      <c r="C243" s="17"/>
      <c r="D243" s="59"/>
      <c r="F243" s="17"/>
      <c r="G243" s="59"/>
    </row>
    <row r="244">
      <c r="B244" s="59"/>
      <c r="C244" s="17"/>
      <c r="D244" s="59"/>
      <c r="F244" s="17"/>
      <c r="G244" s="59"/>
    </row>
    <row r="245">
      <c r="B245" s="59"/>
      <c r="C245" s="17"/>
      <c r="D245" s="59"/>
      <c r="F245" s="17"/>
      <c r="G245" s="59"/>
    </row>
    <row r="246">
      <c r="B246" s="59"/>
      <c r="C246" s="17"/>
      <c r="D246" s="59"/>
      <c r="F246" s="17"/>
      <c r="G246" s="59"/>
    </row>
    <row r="247">
      <c r="B247" s="59"/>
      <c r="C247" s="17"/>
      <c r="D247" s="59"/>
      <c r="F247" s="17"/>
      <c r="G247" s="59"/>
    </row>
    <row r="248">
      <c r="B248" s="59"/>
      <c r="C248" s="17"/>
      <c r="D248" s="59"/>
      <c r="F248" s="17"/>
      <c r="G248" s="59"/>
    </row>
    <row r="249">
      <c r="B249" s="59"/>
      <c r="C249" s="17"/>
      <c r="D249" s="59"/>
      <c r="F249" s="17"/>
      <c r="G249" s="59"/>
    </row>
    <row r="250">
      <c r="B250" s="59"/>
      <c r="C250" s="17"/>
      <c r="D250" s="59"/>
      <c r="F250" s="17"/>
      <c r="G250" s="59"/>
    </row>
    <row r="251">
      <c r="B251" s="59"/>
      <c r="C251" s="17"/>
      <c r="D251" s="59"/>
      <c r="F251" s="17"/>
      <c r="G251" s="59"/>
    </row>
    <row r="252">
      <c r="B252" s="59"/>
      <c r="C252" s="17"/>
      <c r="D252" s="59"/>
      <c r="F252" s="17"/>
      <c r="G252" s="59"/>
    </row>
    <row r="253">
      <c r="B253" s="59"/>
      <c r="C253" s="17"/>
      <c r="D253" s="59"/>
      <c r="F253" s="17"/>
      <c r="G253" s="59"/>
    </row>
    <row r="254">
      <c r="B254" s="59"/>
      <c r="C254" s="17"/>
      <c r="D254" s="59"/>
      <c r="F254" s="17"/>
      <c r="G254" s="59"/>
    </row>
    <row r="255">
      <c r="B255" s="59"/>
      <c r="C255" s="17"/>
      <c r="D255" s="59"/>
      <c r="F255" s="17"/>
      <c r="G255" s="59"/>
    </row>
    <row r="256">
      <c r="B256" s="59"/>
      <c r="C256" s="17"/>
      <c r="D256" s="59"/>
      <c r="F256" s="17"/>
      <c r="G256" s="59"/>
    </row>
    <row r="257">
      <c r="B257" s="59"/>
      <c r="C257" s="17"/>
      <c r="D257" s="59"/>
      <c r="F257" s="17"/>
      <c r="G257" s="59"/>
    </row>
    <row r="258">
      <c r="B258" s="59"/>
      <c r="C258" s="17"/>
      <c r="D258" s="59"/>
      <c r="F258" s="17"/>
      <c r="G258" s="59"/>
    </row>
    <row r="259">
      <c r="B259" s="59"/>
      <c r="C259" s="17"/>
      <c r="D259" s="59"/>
      <c r="F259" s="17"/>
      <c r="G259" s="59"/>
    </row>
    <row r="260">
      <c r="B260" s="59"/>
      <c r="C260" s="17"/>
      <c r="D260" s="59"/>
      <c r="F260" s="17"/>
      <c r="G260" s="59"/>
    </row>
    <row r="261">
      <c r="B261" s="59"/>
      <c r="C261" s="17"/>
      <c r="D261" s="59"/>
      <c r="F261" s="17"/>
      <c r="G261" s="59"/>
    </row>
    <row r="262">
      <c r="B262" s="59"/>
      <c r="C262" s="17"/>
      <c r="D262" s="59"/>
      <c r="F262" s="17"/>
      <c r="G262" s="59"/>
    </row>
    <row r="263">
      <c r="B263" s="59"/>
      <c r="C263" s="17"/>
      <c r="D263" s="59"/>
      <c r="F263" s="17"/>
      <c r="G263" s="59"/>
    </row>
    <row r="264">
      <c r="B264" s="59"/>
      <c r="C264" s="17"/>
      <c r="D264" s="59"/>
      <c r="F264" s="17"/>
      <c r="G264" s="59"/>
    </row>
    <row r="265">
      <c r="B265" s="59"/>
      <c r="C265" s="17"/>
      <c r="D265" s="59"/>
      <c r="F265" s="17"/>
      <c r="G265" s="59"/>
    </row>
    <row r="266">
      <c r="B266" s="59"/>
      <c r="C266" s="17"/>
      <c r="D266" s="59"/>
      <c r="F266" s="17"/>
      <c r="G266" s="59"/>
    </row>
    <row r="267">
      <c r="B267" s="59"/>
      <c r="C267" s="17"/>
      <c r="D267" s="59"/>
      <c r="F267" s="17"/>
      <c r="G267" s="59"/>
    </row>
    <row r="268">
      <c r="B268" s="59"/>
      <c r="C268" s="17"/>
      <c r="D268" s="59"/>
      <c r="F268" s="17"/>
      <c r="G268" s="59"/>
    </row>
    <row r="269">
      <c r="B269" s="59"/>
      <c r="C269" s="17"/>
      <c r="D269" s="59"/>
      <c r="F269" s="17"/>
      <c r="G269" s="59"/>
    </row>
    <row r="270">
      <c r="B270" s="59"/>
      <c r="C270" s="17"/>
      <c r="D270" s="59"/>
      <c r="F270" s="17"/>
      <c r="G270" s="59"/>
    </row>
    <row r="271">
      <c r="B271" s="59"/>
      <c r="C271" s="17"/>
      <c r="D271" s="59"/>
      <c r="F271" s="17"/>
      <c r="G271" s="59"/>
    </row>
    <row r="272">
      <c r="B272" s="59"/>
      <c r="C272" s="17"/>
      <c r="D272" s="59"/>
      <c r="F272" s="17"/>
      <c r="G272" s="59"/>
    </row>
    <row r="273">
      <c r="B273" s="59"/>
      <c r="C273" s="17"/>
      <c r="D273" s="59"/>
      <c r="F273" s="17"/>
      <c r="G273" s="59"/>
    </row>
    <row r="274">
      <c r="B274" s="59"/>
      <c r="C274" s="17"/>
      <c r="D274" s="59"/>
      <c r="F274" s="17"/>
      <c r="G274" s="59"/>
    </row>
    <row r="275">
      <c r="B275" s="59"/>
      <c r="C275" s="17"/>
      <c r="D275" s="59"/>
      <c r="F275" s="17"/>
      <c r="G275" s="59"/>
    </row>
    <row r="276">
      <c r="B276" s="59"/>
      <c r="C276" s="17"/>
      <c r="D276" s="59"/>
      <c r="F276" s="17"/>
      <c r="G276" s="59"/>
    </row>
    <row r="277">
      <c r="B277" s="59"/>
      <c r="C277" s="17"/>
      <c r="D277" s="59"/>
      <c r="F277" s="17"/>
      <c r="G277" s="59"/>
    </row>
    <row r="278">
      <c r="B278" s="59"/>
      <c r="C278" s="17"/>
      <c r="D278" s="59"/>
      <c r="F278" s="17"/>
      <c r="G278" s="59"/>
    </row>
    <row r="279">
      <c r="B279" s="59"/>
      <c r="C279" s="17"/>
      <c r="D279" s="59"/>
      <c r="F279" s="17"/>
      <c r="G279" s="59"/>
    </row>
    <row r="280">
      <c r="B280" s="59"/>
      <c r="C280" s="17"/>
      <c r="D280" s="59"/>
      <c r="F280" s="17"/>
      <c r="G280" s="59"/>
    </row>
    <row r="281">
      <c r="B281" s="59"/>
      <c r="C281" s="17"/>
      <c r="D281" s="59"/>
      <c r="F281" s="17"/>
      <c r="G281" s="59"/>
    </row>
    <row r="282">
      <c r="B282" s="59"/>
      <c r="C282" s="17"/>
      <c r="D282" s="59"/>
      <c r="F282" s="17"/>
      <c r="G282" s="59"/>
    </row>
    <row r="283">
      <c r="B283" s="59"/>
      <c r="C283" s="17"/>
      <c r="D283" s="59"/>
      <c r="F283" s="17"/>
      <c r="G283" s="59"/>
    </row>
    <row r="284">
      <c r="B284" s="59"/>
      <c r="C284" s="17"/>
      <c r="D284" s="59"/>
      <c r="F284" s="17"/>
      <c r="G284" s="59"/>
    </row>
    <row r="285">
      <c r="B285" s="59"/>
      <c r="C285" s="17"/>
      <c r="D285" s="59"/>
      <c r="F285" s="17"/>
      <c r="G285" s="59"/>
    </row>
    <row r="286">
      <c r="B286" s="59"/>
      <c r="C286" s="17"/>
      <c r="D286" s="59"/>
      <c r="F286" s="17"/>
      <c r="G286" s="59"/>
    </row>
    <row r="287">
      <c r="B287" s="59"/>
      <c r="C287" s="17"/>
      <c r="D287" s="59"/>
      <c r="F287" s="17"/>
      <c r="G287" s="59"/>
    </row>
    <row r="288">
      <c r="B288" s="59"/>
      <c r="C288" s="17"/>
      <c r="D288" s="59"/>
      <c r="F288" s="17"/>
      <c r="G288" s="59"/>
    </row>
    <row r="289">
      <c r="B289" s="59"/>
      <c r="C289" s="17"/>
      <c r="D289" s="59"/>
      <c r="F289" s="17"/>
      <c r="G289" s="59"/>
    </row>
    <row r="290">
      <c r="B290" s="59"/>
      <c r="C290" s="17"/>
      <c r="D290" s="59"/>
      <c r="F290" s="17"/>
      <c r="G290" s="59"/>
    </row>
    <row r="291">
      <c r="B291" s="59"/>
      <c r="C291" s="17"/>
      <c r="D291" s="59"/>
      <c r="F291" s="17"/>
      <c r="G291" s="59"/>
    </row>
    <row r="292">
      <c r="B292" s="59"/>
      <c r="C292" s="17"/>
      <c r="D292" s="59"/>
      <c r="F292" s="17"/>
      <c r="G292" s="59"/>
    </row>
    <row r="293">
      <c r="B293" s="59"/>
      <c r="C293" s="17"/>
      <c r="D293" s="59"/>
      <c r="F293" s="17"/>
      <c r="G293" s="59"/>
    </row>
    <row r="294">
      <c r="B294" s="59"/>
      <c r="C294" s="17"/>
      <c r="D294" s="59"/>
      <c r="F294" s="17"/>
      <c r="G294" s="59"/>
    </row>
    <row r="295">
      <c r="B295" s="59"/>
      <c r="C295" s="17"/>
      <c r="D295" s="59"/>
      <c r="F295" s="17"/>
      <c r="G295" s="59"/>
    </row>
    <row r="296">
      <c r="B296" s="59"/>
      <c r="C296" s="17"/>
      <c r="D296" s="59"/>
      <c r="F296" s="17"/>
      <c r="G296" s="59"/>
    </row>
    <row r="297">
      <c r="B297" s="59"/>
      <c r="C297" s="17"/>
      <c r="D297" s="59"/>
      <c r="F297" s="17"/>
      <c r="G297" s="59"/>
    </row>
    <row r="298">
      <c r="B298" s="59"/>
      <c r="C298" s="17"/>
      <c r="D298" s="59"/>
      <c r="F298" s="17"/>
      <c r="G298" s="59"/>
    </row>
    <row r="299">
      <c r="B299" s="59"/>
      <c r="C299" s="17"/>
      <c r="D299" s="59"/>
      <c r="F299" s="17"/>
      <c r="G299" s="59"/>
    </row>
    <row r="300">
      <c r="B300" s="59"/>
      <c r="C300" s="17"/>
      <c r="D300" s="59"/>
      <c r="F300" s="17"/>
      <c r="G300" s="59"/>
    </row>
    <row r="301">
      <c r="B301" s="59"/>
      <c r="C301" s="17"/>
      <c r="D301" s="59"/>
      <c r="F301" s="17"/>
      <c r="G301" s="59"/>
    </row>
    <row r="302">
      <c r="B302" s="59"/>
      <c r="C302" s="17"/>
      <c r="D302" s="59"/>
      <c r="F302" s="17"/>
      <c r="G302" s="59"/>
    </row>
    <row r="303">
      <c r="B303" s="59"/>
      <c r="C303" s="17"/>
      <c r="D303" s="59"/>
      <c r="F303" s="17"/>
      <c r="G303" s="59"/>
    </row>
    <row r="304">
      <c r="B304" s="59"/>
      <c r="C304" s="17"/>
      <c r="D304" s="59"/>
      <c r="F304" s="17"/>
      <c r="G304" s="59"/>
    </row>
    <row r="305">
      <c r="B305" s="59"/>
      <c r="C305" s="17"/>
      <c r="D305" s="59"/>
      <c r="F305" s="17"/>
      <c r="G305" s="59"/>
    </row>
    <row r="306">
      <c r="B306" s="59"/>
      <c r="C306" s="17"/>
      <c r="D306" s="59"/>
      <c r="F306" s="17"/>
      <c r="G306" s="59"/>
    </row>
    <row r="307">
      <c r="B307" s="59"/>
      <c r="C307" s="17"/>
      <c r="D307" s="59"/>
      <c r="F307" s="17"/>
      <c r="G307" s="59"/>
    </row>
    <row r="308">
      <c r="B308" s="59"/>
      <c r="C308" s="17"/>
      <c r="D308" s="59"/>
      <c r="F308" s="17"/>
      <c r="G308" s="59"/>
    </row>
    <row r="309">
      <c r="B309" s="59"/>
      <c r="C309" s="17"/>
      <c r="D309" s="59"/>
      <c r="F309" s="17"/>
      <c r="G309" s="59"/>
    </row>
    <row r="310">
      <c r="B310" s="59"/>
      <c r="C310" s="17"/>
      <c r="D310" s="59"/>
      <c r="F310" s="17"/>
      <c r="G310" s="59"/>
    </row>
    <row r="311">
      <c r="B311" s="59"/>
      <c r="C311" s="17"/>
      <c r="D311" s="59"/>
      <c r="F311" s="17"/>
      <c r="G311" s="59"/>
    </row>
    <row r="312">
      <c r="B312" s="59"/>
      <c r="C312" s="17"/>
      <c r="D312" s="59"/>
      <c r="F312" s="17"/>
      <c r="G312" s="59"/>
    </row>
    <row r="313">
      <c r="B313" s="59"/>
      <c r="C313" s="17"/>
      <c r="D313" s="59"/>
      <c r="F313" s="17"/>
      <c r="G313" s="59"/>
    </row>
    <row r="314">
      <c r="B314" s="59"/>
      <c r="C314" s="17"/>
      <c r="D314" s="59"/>
      <c r="F314" s="17"/>
      <c r="G314" s="59"/>
    </row>
    <row r="315">
      <c r="B315" s="59"/>
      <c r="C315" s="17"/>
      <c r="D315" s="59"/>
      <c r="F315" s="17"/>
      <c r="G315" s="59"/>
    </row>
    <row r="316">
      <c r="B316" s="59"/>
      <c r="C316" s="17"/>
      <c r="D316" s="59"/>
      <c r="F316" s="17"/>
      <c r="G316" s="59"/>
    </row>
    <row r="317">
      <c r="B317" s="59"/>
      <c r="C317" s="17"/>
      <c r="D317" s="59"/>
      <c r="F317" s="17"/>
      <c r="G317" s="59"/>
    </row>
    <row r="318">
      <c r="B318" s="59"/>
      <c r="C318" s="17"/>
      <c r="D318" s="59"/>
      <c r="F318" s="17"/>
      <c r="G318" s="59"/>
    </row>
    <row r="319">
      <c r="B319" s="59"/>
      <c r="C319" s="17"/>
      <c r="D319" s="59"/>
      <c r="F319" s="17"/>
      <c r="G319" s="59"/>
    </row>
    <row r="320">
      <c r="B320" s="59"/>
      <c r="C320" s="17"/>
      <c r="D320" s="59"/>
      <c r="F320" s="17"/>
      <c r="G320" s="59"/>
    </row>
    <row r="321">
      <c r="B321" s="59"/>
      <c r="C321" s="17"/>
      <c r="D321" s="59"/>
      <c r="F321" s="17"/>
      <c r="G321" s="59"/>
    </row>
    <row r="322">
      <c r="B322" s="59"/>
      <c r="C322" s="17"/>
      <c r="D322" s="59"/>
      <c r="F322" s="17"/>
      <c r="G322" s="59"/>
    </row>
    <row r="323">
      <c r="B323" s="59"/>
      <c r="C323" s="17"/>
      <c r="D323" s="59"/>
      <c r="F323" s="17"/>
      <c r="G323" s="59"/>
    </row>
    <row r="324">
      <c r="B324" s="59"/>
      <c r="C324" s="17"/>
      <c r="D324" s="59"/>
      <c r="F324" s="17"/>
      <c r="G324" s="59"/>
    </row>
    <row r="325">
      <c r="B325" s="59"/>
      <c r="C325" s="17"/>
      <c r="D325" s="59"/>
      <c r="F325" s="17"/>
      <c r="G325" s="59"/>
    </row>
    <row r="326">
      <c r="B326" s="59"/>
      <c r="C326" s="17"/>
      <c r="D326" s="59"/>
      <c r="F326" s="17"/>
      <c r="G326" s="59"/>
    </row>
    <row r="327">
      <c r="B327" s="59"/>
      <c r="C327" s="17"/>
      <c r="D327" s="59"/>
      <c r="F327" s="17"/>
      <c r="G327" s="59"/>
    </row>
    <row r="328">
      <c r="B328" s="59"/>
      <c r="C328" s="17"/>
      <c r="D328" s="59"/>
      <c r="F328" s="17"/>
      <c r="G328" s="59"/>
    </row>
    <row r="329">
      <c r="B329" s="59"/>
      <c r="C329" s="17"/>
      <c r="D329" s="59"/>
      <c r="F329" s="17"/>
      <c r="G329" s="59"/>
    </row>
    <row r="330">
      <c r="B330" s="59"/>
      <c r="C330" s="17"/>
      <c r="D330" s="59"/>
      <c r="F330" s="17"/>
      <c r="G330" s="59"/>
    </row>
    <row r="331">
      <c r="B331" s="59"/>
      <c r="C331" s="17"/>
      <c r="D331" s="59"/>
      <c r="F331" s="17"/>
      <c r="G331" s="59"/>
    </row>
    <row r="332">
      <c r="B332" s="59"/>
      <c r="C332" s="17"/>
      <c r="D332" s="59"/>
      <c r="F332" s="17"/>
      <c r="G332" s="59"/>
    </row>
    <row r="333">
      <c r="B333" s="59"/>
      <c r="C333" s="17"/>
      <c r="D333" s="59"/>
      <c r="F333" s="17"/>
      <c r="G333" s="59"/>
    </row>
    <row r="334">
      <c r="B334" s="59"/>
      <c r="C334" s="17"/>
      <c r="D334" s="59"/>
      <c r="F334" s="17"/>
      <c r="G334" s="59"/>
    </row>
    <row r="335">
      <c r="B335" s="59"/>
      <c r="C335" s="17"/>
      <c r="D335" s="59"/>
      <c r="F335" s="17"/>
      <c r="G335" s="59"/>
    </row>
    <row r="336">
      <c r="B336" s="59"/>
      <c r="C336" s="17"/>
      <c r="D336" s="59"/>
      <c r="F336" s="17"/>
      <c r="G336" s="59"/>
    </row>
    <row r="337">
      <c r="B337" s="59"/>
      <c r="C337" s="17"/>
      <c r="D337" s="59"/>
      <c r="F337" s="17"/>
      <c r="G337" s="59"/>
    </row>
    <row r="338">
      <c r="B338" s="59"/>
      <c r="C338" s="17"/>
      <c r="D338" s="59"/>
      <c r="F338" s="17"/>
      <c r="G338" s="59"/>
    </row>
    <row r="339">
      <c r="B339" s="59"/>
      <c r="C339" s="17"/>
      <c r="D339" s="59"/>
      <c r="F339" s="17"/>
      <c r="G339" s="59"/>
    </row>
    <row r="340">
      <c r="B340" s="59"/>
      <c r="C340" s="17"/>
      <c r="D340" s="59"/>
      <c r="F340" s="17"/>
      <c r="G340" s="59"/>
    </row>
    <row r="341">
      <c r="B341" s="59"/>
      <c r="C341" s="17"/>
      <c r="D341" s="59"/>
      <c r="F341" s="17"/>
      <c r="G341" s="59"/>
    </row>
    <row r="342">
      <c r="B342" s="59"/>
      <c r="C342" s="17"/>
      <c r="D342" s="59"/>
      <c r="F342" s="17"/>
      <c r="G342" s="59"/>
    </row>
    <row r="343">
      <c r="B343" s="59"/>
      <c r="C343" s="17"/>
      <c r="D343" s="59"/>
      <c r="F343" s="17"/>
      <c r="G343" s="59"/>
    </row>
    <row r="344">
      <c r="B344" s="59"/>
      <c r="C344" s="17"/>
      <c r="D344" s="59"/>
      <c r="F344" s="17"/>
      <c r="G344" s="59"/>
    </row>
    <row r="345">
      <c r="B345" s="59"/>
      <c r="C345" s="17"/>
      <c r="D345" s="59"/>
      <c r="F345" s="17"/>
      <c r="G345" s="59"/>
    </row>
    <row r="346">
      <c r="B346" s="59"/>
      <c r="C346" s="17"/>
      <c r="D346" s="59"/>
      <c r="F346" s="17"/>
      <c r="G346" s="59"/>
    </row>
    <row r="347">
      <c r="B347" s="59"/>
      <c r="C347" s="17"/>
      <c r="D347" s="59"/>
      <c r="F347" s="17"/>
      <c r="G347" s="59"/>
    </row>
    <row r="348">
      <c r="B348" s="59"/>
      <c r="C348" s="17"/>
      <c r="D348" s="59"/>
      <c r="F348" s="17"/>
      <c r="G348" s="59"/>
    </row>
    <row r="349">
      <c r="B349" s="59"/>
      <c r="C349" s="17"/>
      <c r="D349" s="59"/>
      <c r="F349" s="17"/>
      <c r="G349" s="59"/>
    </row>
    <row r="350">
      <c r="B350" s="59"/>
      <c r="C350" s="17"/>
      <c r="D350" s="59"/>
      <c r="F350" s="17"/>
      <c r="G350" s="59"/>
    </row>
    <row r="351">
      <c r="B351" s="59"/>
      <c r="C351" s="17"/>
      <c r="D351" s="59"/>
      <c r="F351" s="17"/>
      <c r="G351" s="59"/>
    </row>
    <row r="352">
      <c r="B352" s="59"/>
      <c r="C352" s="17"/>
      <c r="D352" s="59"/>
      <c r="F352" s="17"/>
      <c r="G352" s="59"/>
    </row>
    <row r="353">
      <c r="B353" s="59"/>
      <c r="C353" s="17"/>
      <c r="D353" s="59"/>
      <c r="F353" s="17"/>
      <c r="G353" s="59"/>
    </row>
    <row r="354">
      <c r="B354" s="59"/>
      <c r="C354" s="17"/>
      <c r="D354" s="59"/>
      <c r="F354" s="17"/>
      <c r="G354" s="59"/>
    </row>
    <row r="355">
      <c r="B355" s="59"/>
      <c r="C355" s="17"/>
      <c r="D355" s="59"/>
      <c r="F355" s="17"/>
      <c r="G355" s="59"/>
    </row>
    <row r="356">
      <c r="B356" s="59"/>
      <c r="C356" s="17"/>
      <c r="D356" s="59"/>
      <c r="F356" s="17"/>
      <c r="G356" s="59"/>
    </row>
    <row r="357">
      <c r="B357" s="59"/>
      <c r="C357" s="17"/>
      <c r="D357" s="59"/>
      <c r="F357" s="17"/>
      <c r="G357" s="59"/>
    </row>
    <row r="358">
      <c r="B358" s="59"/>
      <c r="C358" s="17"/>
      <c r="D358" s="59"/>
      <c r="F358" s="17"/>
      <c r="G358" s="59"/>
    </row>
    <row r="359">
      <c r="B359" s="59"/>
      <c r="C359" s="17"/>
      <c r="D359" s="59"/>
      <c r="F359" s="17"/>
      <c r="G359" s="59"/>
    </row>
    <row r="360">
      <c r="B360" s="59"/>
      <c r="C360" s="17"/>
      <c r="D360" s="59"/>
      <c r="F360" s="17"/>
      <c r="G360" s="59"/>
    </row>
    <row r="361">
      <c r="B361" s="59"/>
      <c r="C361" s="17"/>
      <c r="D361" s="59"/>
      <c r="F361" s="17"/>
      <c r="G361" s="59"/>
    </row>
    <row r="362">
      <c r="B362" s="59"/>
      <c r="C362" s="17"/>
      <c r="D362" s="59"/>
      <c r="F362" s="17"/>
      <c r="G362" s="59"/>
    </row>
    <row r="363">
      <c r="B363" s="59"/>
      <c r="C363" s="17"/>
      <c r="D363" s="59"/>
      <c r="F363" s="17"/>
      <c r="G363" s="59"/>
    </row>
    <row r="364">
      <c r="B364" s="59"/>
      <c r="C364" s="17"/>
      <c r="D364" s="59"/>
      <c r="F364" s="17"/>
      <c r="G364" s="59"/>
    </row>
    <row r="365">
      <c r="B365" s="59"/>
      <c r="C365" s="17"/>
      <c r="D365" s="59"/>
      <c r="F365" s="17"/>
      <c r="G365" s="59"/>
    </row>
    <row r="366">
      <c r="B366" s="59"/>
      <c r="C366" s="17"/>
      <c r="D366" s="59"/>
      <c r="F366" s="17"/>
      <c r="G366" s="59"/>
    </row>
    <row r="367">
      <c r="B367" s="59"/>
      <c r="C367" s="17"/>
      <c r="D367" s="59"/>
      <c r="F367" s="17"/>
      <c r="G367" s="59"/>
    </row>
    <row r="368">
      <c r="B368" s="59"/>
      <c r="C368" s="17"/>
      <c r="D368" s="59"/>
      <c r="F368" s="17"/>
      <c r="G368" s="59"/>
    </row>
    <row r="369">
      <c r="B369" s="59"/>
      <c r="C369" s="17"/>
      <c r="D369" s="59"/>
      <c r="F369" s="17"/>
      <c r="G369" s="59"/>
    </row>
    <row r="370">
      <c r="B370" s="59"/>
      <c r="C370" s="17"/>
      <c r="D370" s="59"/>
      <c r="F370" s="17"/>
      <c r="G370" s="59"/>
    </row>
    <row r="371">
      <c r="B371" s="59"/>
      <c r="C371" s="17"/>
      <c r="D371" s="59"/>
      <c r="F371" s="17"/>
      <c r="G371" s="59"/>
    </row>
    <row r="372">
      <c r="B372" s="59"/>
      <c r="C372" s="17"/>
      <c r="D372" s="59"/>
      <c r="F372" s="17"/>
      <c r="G372" s="59"/>
    </row>
    <row r="373">
      <c r="B373" s="59"/>
      <c r="C373" s="17"/>
      <c r="D373" s="59"/>
      <c r="F373" s="17"/>
      <c r="G373" s="59"/>
    </row>
    <row r="374">
      <c r="B374" s="59"/>
      <c r="C374" s="17"/>
      <c r="D374" s="59"/>
      <c r="F374" s="17"/>
      <c r="G374" s="59"/>
    </row>
    <row r="375">
      <c r="B375" s="59"/>
      <c r="C375" s="17"/>
      <c r="D375" s="59"/>
      <c r="F375" s="17"/>
      <c r="G375" s="59"/>
    </row>
    <row r="376">
      <c r="B376" s="59"/>
      <c r="C376" s="17"/>
      <c r="D376" s="59"/>
      <c r="F376" s="17"/>
      <c r="G376" s="59"/>
    </row>
    <row r="377">
      <c r="B377" s="59"/>
      <c r="C377" s="17"/>
      <c r="D377" s="59"/>
      <c r="F377" s="17"/>
      <c r="G377" s="59"/>
    </row>
    <row r="378">
      <c r="B378" s="59"/>
      <c r="C378" s="17"/>
      <c r="D378" s="59"/>
      <c r="F378" s="17"/>
      <c r="G378" s="59"/>
    </row>
    <row r="379">
      <c r="B379" s="59"/>
      <c r="C379" s="17"/>
      <c r="D379" s="59"/>
      <c r="F379" s="17"/>
      <c r="G379" s="59"/>
    </row>
    <row r="380">
      <c r="B380" s="59"/>
      <c r="C380" s="17"/>
      <c r="D380" s="59"/>
      <c r="F380" s="17"/>
      <c r="G380" s="59"/>
    </row>
    <row r="381">
      <c r="B381" s="59"/>
      <c r="C381" s="17"/>
      <c r="D381" s="59"/>
      <c r="F381" s="17"/>
      <c r="G381" s="59"/>
    </row>
    <row r="382">
      <c r="B382" s="59"/>
      <c r="C382" s="17"/>
      <c r="D382" s="59"/>
      <c r="F382" s="17"/>
      <c r="G382" s="59"/>
    </row>
    <row r="383">
      <c r="B383" s="59"/>
      <c r="C383" s="17"/>
      <c r="D383" s="59"/>
      <c r="F383" s="17"/>
      <c r="G383" s="59"/>
    </row>
    <row r="384">
      <c r="B384" s="59"/>
      <c r="C384" s="17"/>
      <c r="D384" s="59"/>
      <c r="F384" s="17"/>
      <c r="G384" s="59"/>
    </row>
    <row r="385">
      <c r="B385" s="59"/>
      <c r="C385" s="17"/>
      <c r="D385" s="59"/>
      <c r="F385" s="17"/>
      <c r="G385" s="59"/>
    </row>
    <row r="386">
      <c r="B386" s="59"/>
      <c r="C386" s="17"/>
      <c r="D386" s="59"/>
      <c r="F386" s="17"/>
      <c r="G386" s="59"/>
    </row>
    <row r="387">
      <c r="B387" s="59"/>
      <c r="C387" s="17"/>
      <c r="D387" s="59"/>
      <c r="F387" s="17"/>
      <c r="G387" s="59"/>
    </row>
    <row r="388">
      <c r="B388" s="59"/>
      <c r="C388" s="17"/>
      <c r="D388" s="59"/>
      <c r="F388" s="17"/>
      <c r="G388" s="59"/>
    </row>
    <row r="389">
      <c r="B389" s="59"/>
      <c r="C389" s="17"/>
      <c r="D389" s="59"/>
      <c r="F389" s="17"/>
      <c r="G389" s="59"/>
    </row>
    <row r="390">
      <c r="B390" s="59"/>
      <c r="C390" s="17"/>
      <c r="D390" s="59"/>
      <c r="F390" s="17"/>
      <c r="G390" s="59"/>
    </row>
    <row r="391">
      <c r="B391" s="59"/>
      <c r="C391" s="17"/>
      <c r="D391" s="59"/>
      <c r="F391" s="17"/>
      <c r="G391" s="59"/>
    </row>
    <row r="392">
      <c r="B392" s="59"/>
      <c r="C392" s="17"/>
      <c r="D392" s="59"/>
      <c r="F392" s="17"/>
      <c r="G392" s="59"/>
    </row>
    <row r="393">
      <c r="B393" s="59"/>
      <c r="C393" s="17"/>
      <c r="D393" s="59"/>
      <c r="F393" s="17"/>
      <c r="G393" s="59"/>
    </row>
    <row r="394">
      <c r="B394" s="59"/>
      <c r="C394" s="17"/>
      <c r="D394" s="59"/>
      <c r="F394" s="17"/>
      <c r="G394" s="59"/>
    </row>
    <row r="395">
      <c r="B395" s="59"/>
      <c r="C395" s="17"/>
      <c r="D395" s="59"/>
      <c r="F395" s="17"/>
      <c r="G395" s="59"/>
    </row>
    <row r="396">
      <c r="B396" s="59"/>
      <c r="C396" s="17"/>
      <c r="D396" s="59"/>
      <c r="F396" s="17"/>
      <c r="G396" s="59"/>
    </row>
    <row r="397">
      <c r="B397" s="59"/>
      <c r="C397" s="17"/>
      <c r="D397" s="59"/>
      <c r="F397" s="17"/>
      <c r="G397" s="59"/>
    </row>
    <row r="398">
      <c r="B398" s="59"/>
      <c r="C398" s="17"/>
      <c r="D398" s="59"/>
      <c r="F398" s="17"/>
      <c r="G398" s="59"/>
    </row>
    <row r="399">
      <c r="B399" s="59"/>
      <c r="C399" s="17"/>
      <c r="D399" s="59"/>
      <c r="F399" s="17"/>
      <c r="G399" s="59"/>
    </row>
    <row r="400">
      <c r="B400" s="59"/>
      <c r="C400" s="17"/>
      <c r="D400" s="59"/>
      <c r="F400" s="17"/>
      <c r="G400" s="59"/>
    </row>
    <row r="401">
      <c r="B401" s="59"/>
      <c r="C401" s="17"/>
      <c r="D401" s="59"/>
      <c r="F401" s="17"/>
      <c r="G401" s="59"/>
    </row>
    <row r="402">
      <c r="B402" s="59"/>
      <c r="C402" s="17"/>
      <c r="D402" s="59"/>
      <c r="F402" s="17"/>
      <c r="G402" s="59"/>
    </row>
    <row r="403">
      <c r="B403" s="59"/>
      <c r="C403" s="17"/>
      <c r="D403" s="59"/>
      <c r="F403" s="17"/>
      <c r="G403" s="59"/>
    </row>
    <row r="404">
      <c r="B404" s="59"/>
      <c r="C404" s="17"/>
      <c r="D404" s="59"/>
      <c r="F404" s="17"/>
      <c r="G404" s="59"/>
    </row>
    <row r="405">
      <c r="B405" s="59"/>
      <c r="C405" s="17"/>
      <c r="D405" s="59"/>
      <c r="F405" s="17"/>
      <c r="G405" s="59"/>
    </row>
    <row r="406">
      <c r="B406" s="59"/>
      <c r="C406" s="17"/>
      <c r="D406" s="59"/>
      <c r="F406" s="17"/>
      <c r="G406" s="59"/>
    </row>
    <row r="407">
      <c r="B407" s="59"/>
      <c r="C407" s="17"/>
      <c r="D407" s="59"/>
      <c r="F407" s="17"/>
      <c r="G407" s="59"/>
    </row>
    <row r="408">
      <c r="B408" s="59"/>
      <c r="C408" s="17"/>
      <c r="D408" s="59"/>
      <c r="F408" s="17"/>
      <c r="G408" s="59"/>
    </row>
    <row r="409">
      <c r="B409" s="59"/>
      <c r="C409" s="17"/>
      <c r="D409" s="59"/>
      <c r="F409" s="17"/>
      <c r="G409" s="59"/>
    </row>
    <row r="410">
      <c r="B410" s="59"/>
      <c r="C410" s="17"/>
      <c r="D410" s="59"/>
      <c r="F410" s="17"/>
      <c r="G410" s="59"/>
    </row>
    <row r="411">
      <c r="B411" s="59"/>
      <c r="C411" s="17"/>
      <c r="D411" s="59"/>
      <c r="F411" s="17"/>
      <c r="G411" s="59"/>
    </row>
    <row r="412">
      <c r="B412" s="59"/>
      <c r="C412" s="17"/>
      <c r="D412" s="59"/>
      <c r="F412" s="17"/>
      <c r="G412" s="59"/>
    </row>
    <row r="413">
      <c r="B413" s="59"/>
      <c r="C413" s="17"/>
      <c r="D413" s="59"/>
      <c r="F413" s="17"/>
      <c r="G413" s="59"/>
    </row>
    <row r="414">
      <c r="B414" s="59"/>
      <c r="C414" s="17"/>
      <c r="D414" s="59"/>
      <c r="F414" s="17"/>
      <c r="G414" s="59"/>
    </row>
    <row r="415">
      <c r="B415" s="59"/>
      <c r="C415" s="17"/>
      <c r="D415" s="59"/>
      <c r="F415" s="17"/>
      <c r="G415" s="59"/>
    </row>
    <row r="416">
      <c r="B416" s="59"/>
      <c r="C416" s="17"/>
      <c r="D416" s="59"/>
      <c r="F416" s="17"/>
      <c r="G416" s="59"/>
    </row>
    <row r="417">
      <c r="B417" s="59"/>
      <c r="C417" s="17"/>
      <c r="D417" s="59"/>
      <c r="F417" s="17"/>
      <c r="G417" s="59"/>
    </row>
    <row r="418">
      <c r="B418" s="59"/>
      <c r="C418" s="17"/>
      <c r="D418" s="59"/>
      <c r="F418" s="17"/>
      <c r="G418" s="59"/>
    </row>
    <row r="419">
      <c r="B419" s="59"/>
      <c r="C419" s="17"/>
      <c r="D419" s="59"/>
      <c r="F419" s="17"/>
      <c r="G419" s="59"/>
    </row>
    <row r="420">
      <c r="B420" s="59"/>
      <c r="C420" s="17"/>
      <c r="D420" s="59"/>
      <c r="F420" s="17"/>
      <c r="G420" s="59"/>
    </row>
    <row r="421">
      <c r="B421" s="59"/>
      <c r="C421" s="17"/>
      <c r="D421" s="59"/>
      <c r="F421" s="17"/>
      <c r="G421" s="59"/>
    </row>
    <row r="422">
      <c r="B422" s="59"/>
      <c r="C422" s="17"/>
      <c r="D422" s="59"/>
      <c r="F422" s="17"/>
      <c r="G422" s="59"/>
    </row>
    <row r="423">
      <c r="B423" s="59"/>
      <c r="C423" s="17"/>
      <c r="D423" s="59"/>
      <c r="F423" s="17"/>
      <c r="G423" s="59"/>
    </row>
    <row r="424">
      <c r="B424" s="59"/>
      <c r="C424" s="17"/>
      <c r="D424" s="59"/>
      <c r="F424" s="17"/>
      <c r="G424" s="59"/>
    </row>
    <row r="425">
      <c r="B425" s="59"/>
      <c r="C425" s="17"/>
      <c r="D425" s="59"/>
      <c r="F425" s="17"/>
      <c r="G425" s="59"/>
    </row>
    <row r="426">
      <c r="B426" s="59"/>
      <c r="C426" s="17"/>
      <c r="D426" s="59"/>
      <c r="F426" s="17"/>
      <c r="G426" s="59"/>
    </row>
    <row r="427">
      <c r="B427" s="59"/>
      <c r="C427" s="17"/>
      <c r="D427" s="59"/>
      <c r="F427" s="17"/>
      <c r="G427" s="59"/>
    </row>
    <row r="428">
      <c r="B428" s="59"/>
      <c r="C428" s="17"/>
      <c r="D428" s="59"/>
      <c r="F428" s="17"/>
      <c r="G428" s="59"/>
    </row>
    <row r="429">
      <c r="B429" s="59"/>
      <c r="C429" s="17"/>
      <c r="D429" s="59"/>
      <c r="F429" s="17"/>
      <c r="G429" s="59"/>
    </row>
    <row r="430">
      <c r="B430" s="59"/>
      <c r="C430" s="17"/>
      <c r="D430" s="59"/>
      <c r="F430" s="17"/>
      <c r="G430" s="59"/>
    </row>
    <row r="431">
      <c r="B431" s="59"/>
      <c r="C431" s="17"/>
      <c r="D431" s="59"/>
      <c r="F431" s="17"/>
      <c r="G431" s="59"/>
    </row>
    <row r="432">
      <c r="B432" s="59"/>
      <c r="C432" s="17"/>
      <c r="D432" s="59"/>
      <c r="F432" s="17"/>
      <c r="G432" s="59"/>
    </row>
    <row r="433">
      <c r="B433" s="59"/>
      <c r="C433" s="17"/>
      <c r="D433" s="59"/>
      <c r="F433" s="17"/>
      <c r="G433" s="59"/>
    </row>
    <row r="434">
      <c r="B434" s="59"/>
      <c r="C434" s="17"/>
      <c r="D434" s="59"/>
      <c r="F434" s="17"/>
      <c r="G434" s="59"/>
    </row>
    <row r="435">
      <c r="B435" s="59"/>
      <c r="C435" s="17"/>
      <c r="D435" s="59"/>
      <c r="F435" s="17"/>
      <c r="G435" s="59"/>
    </row>
    <row r="436">
      <c r="B436" s="59"/>
      <c r="C436" s="17"/>
      <c r="D436" s="59"/>
      <c r="F436" s="17"/>
      <c r="G436" s="59"/>
    </row>
    <row r="437">
      <c r="B437" s="59"/>
      <c r="C437" s="17"/>
      <c r="D437" s="59"/>
      <c r="F437" s="17"/>
      <c r="G437" s="59"/>
    </row>
    <row r="438">
      <c r="B438" s="59"/>
      <c r="C438" s="17"/>
      <c r="D438" s="59"/>
      <c r="F438" s="17"/>
      <c r="G438" s="59"/>
    </row>
    <row r="439">
      <c r="B439" s="59"/>
      <c r="C439" s="17"/>
      <c r="D439" s="59"/>
      <c r="F439" s="17"/>
      <c r="G439" s="59"/>
    </row>
    <row r="440">
      <c r="B440" s="59"/>
      <c r="C440" s="17"/>
      <c r="D440" s="59"/>
      <c r="F440" s="17"/>
      <c r="G440" s="59"/>
    </row>
    <row r="441">
      <c r="B441" s="59"/>
      <c r="C441" s="17"/>
      <c r="D441" s="59"/>
      <c r="F441" s="17"/>
      <c r="G441" s="59"/>
    </row>
    <row r="442">
      <c r="B442" s="59"/>
      <c r="C442" s="17"/>
      <c r="D442" s="59"/>
      <c r="F442" s="17"/>
      <c r="G442" s="59"/>
    </row>
    <row r="443">
      <c r="B443" s="59"/>
      <c r="C443" s="17"/>
      <c r="D443" s="59"/>
      <c r="F443" s="17"/>
      <c r="G443" s="59"/>
    </row>
    <row r="444">
      <c r="B444" s="59"/>
      <c r="C444" s="17"/>
      <c r="D444" s="59"/>
      <c r="F444" s="17"/>
      <c r="G444" s="59"/>
    </row>
    <row r="445">
      <c r="B445" s="59"/>
      <c r="C445" s="17"/>
      <c r="D445" s="59"/>
      <c r="F445" s="17"/>
      <c r="G445" s="59"/>
    </row>
    <row r="446">
      <c r="B446" s="59"/>
      <c r="C446" s="17"/>
      <c r="D446" s="59"/>
      <c r="F446" s="17"/>
      <c r="G446" s="59"/>
    </row>
    <row r="447">
      <c r="B447" s="59"/>
      <c r="C447" s="17"/>
      <c r="D447" s="59"/>
      <c r="F447" s="17"/>
      <c r="G447" s="59"/>
    </row>
    <row r="448">
      <c r="B448" s="59"/>
      <c r="C448" s="17"/>
      <c r="D448" s="59"/>
      <c r="F448" s="17"/>
      <c r="G448" s="59"/>
    </row>
    <row r="449">
      <c r="B449" s="59"/>
      <c r="C449" s="17"/>
      <c r="D449" s="59"/>
      <c r="F449" s="17"/>
      <c r="G449" s="59"/>
    </row>
    <row r="450">
      <c r="B450" s="59"/>
      <c r="C450" s="17"/>
      <c r="D450" s="59"/>
      <c r="F450" s="17"/>
      <c r="G450" s="59"/>
    </row>
    <row r="451">
      <c r="B451" s="59"/>
      <c r="C451" s="17"/>
      <c r="D451" s="59"/>
      <c r="F451" s="17"/>
      <c r="G451" s="59"/>
    </row>
    <row r="452">
      <c r="B452" s="59"/>
      <c r="C452" s="17"/>
      <c r="D452" s="59"/>
      <c r="F452" s="17"/>
      <c r="G452" s="59"/>
    </row>
    <row r="453">
      <c r="B453" s="59"/>
      <c r="C453" s="17"/>
      <c r="D453" s="59"/>
      <c r="F453" s="17"/>
      <c r="G453" s="59"/>
    </row>
    <row r="454">
      <c r="B454" s="59"/>
      <c r="C454" s="17"/>
      <c r="D454" s="59"/>
      <c r="F454" s="17"/>
      <c r="G454" s="59"/>
    </row>
    <row r="455">
      <c r="B455" s="59"/>
      <c r="C455" s="17"/>
      <c r="D455" s="59"/>
      <c r="F455" s="17"/>
      <c r="G455" s="59"/>
    </row>
    <row r="456">
      <c r="B456" s="59"/>
      <c r="C456" s="17"/>
      <c r="D456" s="59"/>
      <c r="F456" s="17"/>
      <c r="G456" s="59"/>
    </row>
    <row r="457">
      <c r="B457" s="59"/>
      <c r="C457" s="17"/>
      <c r="D457" s="59"/>
      <c r="F457" s="17"/>
      <c r="G457" s="59"/>
    </row>
    <row r="458">
      <c r="B458" s="59"/>
      <c r="C458" s="17"/>
      <c r="D458" s="59"/>
      <c r="F458" s="17"/>
      <c r="G458" s="59"/>
    </row>
    <row r="459">
      <c r="B459" s="59"/>
      <c r="C459" s="17"/>
      <c r="D459" s="59"/>
      <c r="F459" s="17"/>
      <c r="G459" s="59"/>
    </row>
    <row r="460">
      <c r="B460" s="59"/>
      <c r="C460" s="17"/>
      <c r="D460" s="59"/>
      <c r="F460" s="17"/>
      <c r="G460" s="59"/>
    </row>
    <row r="461">
      <c r="B461" s="59"/>
      <c r="C461" s="17"/>
      <c r="D461" s="59"/>
      <c r="F461" s="17"/>
      <c r="G461" s="59"/>
    </row>
    <row r="462">
      <c r="B462" s="59"/>
      <c r="C462" s="17"/>
      <c r="D462" s="59"/>
      <c r="F462" s="17"/>
      <c r="G462" s="59"/>
    </row>
    <row r="463">
      <c r="B463" s="59"/>
      <c r="C463" s="17"/>
      <c r="D463" s="59"/>
      <c r="F463" s="17"/>
      <c r="G463" s="59"/>
    </row>
    <row r="464">
      <c r="B464" s="59"/>
      <c r="C464" s="17"/>
      <c r="D464" s="59"/>
      <c r="F464" s="17"/>
      <c r="G464" s="59"/>
    </row>
    <row r="465">
      <c r="B465" s="59"/>
      <c r="C465" s="17"/>
      <c r="D465" s="59"/>
      <c r="F465" s="17"/>
      <c r="G465" s="59"/>
    </row>
    <row r="466">
      <c r="B466" s="59"/>
      <c r="C466" s="17"/>
      <c r="D466" s="59"/>
      <c r="F466" s="17"/>
      <c r="G466" s="59"/>
    </row>
    <row r="467">
      <c r="B467" s="59"/>
      <c r="C467" s="17"/>
      <c r="D467" s="59"/>
      <c r="F467" s="17"/>
      <c r="G467" s="59"/>
    </row>
    <row r="468">
      <c r="B468" s="59"/>
      <c r="C468" s="17"/>
      <c r="D468" s="59"/>
      <c r="F468" s="17"/>
      <c r="G468" s="59"/>
    </row>
    <row r="469">
      <c r="B469" s="59"/>
      <c r="C469" s="17"/>
      <c r="D469" s="59"/>
      <c r="F469" s="17"/>
      <c r="G469" s="59"/>
    </row>
    <row r="470">
      <c r="B470" s="59"/>
      <c r="C470" s="17"/>
      <c r="D470" s="59"/>
      <c r="F470" s="17"/>
      <c r="G470" s="59"/>
    </row>
    <row r="471">
      <c r="B471" s="59"/>
      <c r="C471" s="17"/>
      <c r="D471" s="59"/>
      <c r="F471" s="17"/>
      <c r="G471" s="59"/>
    </row>
    <row r="472">
      <c r="B472" s="59"/>
      <c r="C472" s="17"/>
      <c r="D472" s="59"/>
      <c r="F472" s="17"/>
      <c r="G472" s="59"/>
    </row>
    <row r="473">
      <c r="B473" s="59"/>
      <c r="C473" s="17"/>
      <c r="D473" s="59"/>
      <c r="F473" s="17"/>
      <c r="G473" s="59"/>
    </row>
    <row r="474">
      <c r="B474" s="59"/>
      <c r="C474" s="17"/>
      <c r="D474" s="59"/>
      <c r="F474" s="17"/>
      <c r="G474" s="59"/>
    </row>
    <row r="475">
      <c r="B475" s="59"/>
      <c r="C475" s="17"/>
      <c r="D475" s="59"/>
      <c r="F475" s="17"/>
      <c r="G475" s="59"/>
    </row>
    <row r="476">
      <c r="B476" s="59"/>
      <c r="C476" s="17"/>
      <c r="D476" s="59"/>
      <c r="F476" s="17"/>
      <c r="G476" s="59"/>
    </row>
    <row r="477">
      <c r="B477" s="59"/>
      <c r="C477" s="17"/>
      <c r="D477" s="59"/>
      <c r="F477" s="17"/>
      <c r="G477" s="59"/>
    </row>
    <row r="478">
      <c r="B478" s="59"/>
      <c r="C478" s="17"/>
      <c r="D478" s="59"/>
      <c r="F478" s="17"/>
      <c r="G478" s="59"/>
    </row>
    <row r="479">
      <c r="B479" s="59"/>
      <c r="C479" s="17"/>
      <c r="D479" s="59"/>
      <c r="F479" s="17"/>
      <c r="G479" s="59"/>
    </row>
    <row r="480">
      <c r="B480" s="59"/>
      <c r="C480" s="17"/>
      <c r="D480" s="59"/>
      <c r="F480" s="17"/>
      <c r="G480" s="59"/>
    </row>
    <row r="481">
      <c r="B481" s="59"/>
      <c r="C481" s="17"/>
      <c r="D481" s="59"/>
      <c r="F481" s="17"/>
      <c r="G481" s="59"/>
    </row>
    <row r="482">
      <c r="B482" s="59"/>
      <c r="C482" s="17"/>
      <c r="D482" s="59"/>
      <c r="F482" s="17"/>
      <c r="G482" s="59"/>
    </row>
    <row r="483">
      <c r="B483" s="59"/>
      <c r="C483" s="17"/>
      <c r="D483" s="59"/>
      <c r="F483" s="17"/>
      <c r="G483" s="59"/>
    </row>
    <row r="484">
      <c r="B484" s="59"/>
      <c r="C484" s="17"/>
      <c r="D484" s="59"/>
      <c r="F484" s="17"/>
      <c r="G484" s="59"/>
    </row>
    <row r="485">
      <c r="B485" s="59"/>
      <c r="C485" s="17"/>
      <c r="D485" s="59"/>
      <c r="F485" s="17"/>
      <c r="G485" s="59"/>
    </row>
    <row r="486">
      <c r="B486" s="59"/>
      <c r="C486" s="17"/>
      <c r="D486" s="59"/>
      <c r="F486" s="17"/>
      <c r="G486" s="59"/>
    </row>
    <row r="487">
      <c r="B487" s="59"/>
      <c r="C487" s="17"/>
      <c r="D487" s="59"/>
      <c r="F487" s="17"/>
      <c r="G487" s="59"/>
    </row>
    <row r="488">
      <c r="B488" s="59"/>
      <c r="C488" s="17"/>
      <c r="D488" s="59"/>
      <c r="F488" s="17"/>
      <c r="G488" s="59"/>
    </row>
    <row r="489">
      <c r="B489" s="59"/>
      <c r="C489" s="17"/>
      <c r="D489" s="59"/>
      <c r="F489" s="17"/>
      <c r="G489" s="59"/>
    </row>
    <row r="490">
      <c r="B490" s="59"/>
      <c r="C490" s="17"/>
      <c r="D490" s="59"/>
      <c r="F490" s="17"/>
      <c r="G490" s="59"/>
    </row>
    <row r="491">
      <c r="B491" s="59"/>
      <c r="C491" s="17"/>
      <c r="D491" s="59"/>
      <c r="F491" s="17"/>
      <c r="G491" s="59"/>
    </row>
    <row r="492">
      <c r="B492" s="59"/>
      <c r="C492" s="17"/>
      <c r="D492" s="59"/>
      <c r="F492" s="17"/>
      <c r="G492" s="59"/>
    </row>
    <row r="493">
      <c r="B493" s="59"/>
      <c r="C493" s="17"/>
      <c r="D493" s="59"/>
      <c r="F493" s="17"/>
      <c r="G493" s="59"/>
    </row>
    <row r="494">
      <c r="B494" s="59"/>
      <c r="C494" s="17"/>
      <c r="D494" s="59"/>
      <c r="F494" s="17"/>
      <c r="G494" s="59"/>
    </row>
    <row r="495">
      <c r="B495" s="59"/>
      <c r="C495" s="17"/>
      <c r="D495" s="59"/>
      <c r="F495" s="17"/>
      <c r="G495" s="59"/>
    </row>
    <row r="496">
      <c r="B496" s="59"/>
      <c r="C496" s="17"/>
      <c r="D496" s="59"/>
      <c r="F496" s="17"/>
      <c r="G496" s="59"/>
    </row>
    <row r="497">
      <c r="B497" s="59"/>
      <c r="C497" s="17"/>
      <c r="D497" s="59"/>
      <c r="F497" s="17"/>
      <c r="G497" s="59"/>
    </row>
    <row r="498">
      <c r="B498" s="59"/>
      <c r="C498" s="17"/>
      <c r="D498" s="59"/>
      <c r="F498" s="17"/>
      <c r="G498" s="59"/>
    </row>
    <row r="499">
      <c r="B499" s="59"/>
      <c r="C499" s="17"/>
      <c r="D499" s="59"/>
      <c r="F499" s="17"/>
      <c r="G499" s="59"/>
    </row>
    <row r="500">
      <c r="B500" s="59"/>
      <c r="C500" s="17"/>
      <c r="D500" s="59"/>
      <c r="F500" s="17"/>
      <c r="G500" s="59"/>
    </row>
    <row r="501">
      <c r="B501" s="59"/>
      <c r="C501" s="17"/>
      <c r="D501" s="59"/>
      <c r="F501" s="17"/>
      <c r="G501" s="59"/>
    </row>
    <row r="502">
      <c r="B502" s="59"/>
      <c r="C502" s="17"/>
      <c r="D502" s="59"/>
      <c r="F502" s="17"/>
      <c r="G502" s="59"/>
    </row>
    <row r="503">
      <c r="B503" s="59"/>
      <c r="C503" s="17"/>
      <c r="D503" s="59"/>
      <c r="F503" s="17"/>
      <c r="G503" s="59"/>
    </row>
    <row r="504">
      <c r="B504" s="59"/>
      <c r="C504" s="17"/>
      <c r="D504" s="59"/>
      <c r="F504" s="17"/>
      <c r="G504" s="59"/>
    </row>
    <row r="505">
      <c r="B505" s="59"/>
      <c r="C505" s="17"/>
      <c r="D505" s="59"/>
      <c r="F505" s="17"/>
      <c r="G505" s="59"/>
    </row>
    <row r="506">
      <c r="B506" s="59"/>
      <c r="C506" s="17"/>
      <c r="D506" s="59"/>
      <c r="F506" s="17"/>
      <c r="G506" s="59"/>
    </row>
    <row r="507">
      <c r="B507" s="59"/>
      <c r="C507" s="17"/>
      <c r="D507" s="59"/>
      <c r="F507" s="17"/>
      <c r="G507" s="59"/>
    </row>
    <row r="508">
      <c r="B508" s="59"/>
      <c r="C508" s="17"/>
      <c r="D508" s="59"/>
      <c r="F508" s="17"/>
      <c r="G508" s="59"/>
    </row>
    <row r="509">
      <c r="B509" s="59"/>
      <c r="C509" s="17"/>
      <c r="D509" s="59"/>
      <c r="F509" s="17"/>
      <c r="G509" s="59"/>
    </row>
    <row r="510">
      <c r="B510" s="59"/>
      <c r="C510" s="17"/>
      <c r="D510" s="59"/>
      <c r="F510" s="17"/>
      <c r="G510" s="59"/>
    </row>
    <row r="511">
      <c r="B511" s="59"/>
      <c r="C511" s="17"/>
      <c r="D511" s="59"/>
      <c r="F511" s="17"/>
      <c r="G511" s="59"/>
    </row>
    <row r="512">
      <c r="B512" s="59"/>
      <c r="C512" s="17"/>
      <c r="D512" s="59"/>
      <c r="F512" s="17"/>
      <c r="G512" s="59"/>
    </row>
    <row r="513">
      <c r="B513" s="59"/>
      <c r="C513" s="17"/>
      <c r="D513" s="59"/>
      <c r="F513" s="17"/>
      <c r="G513" s="59"/>
    </row>
    <row r="514">
      <c r="B514" s="59"/>
      <c r="C514" s="17"/>
      <c r="D514" s="59"/>
      <c r="F514" s="17"/>
      <c r="G514" s="59"/>
    </row>
    <row r="515">
      <c r="B515" s="59"/>
      <c r="C515" s="17"/>
      <c r="D515" s="59"/>
      <c r="F515" s="17"/>
      <c r="G515" s="59"/>
    </row>
    <row r="516">
      <c r="B516" s="59"/>
      <c r="C516" s="17"/>
      <c r="D516" s="59"/>
      <c r="F516" s="17"/>
      <c r="G516" s="59"/>
    </row>
    <row r="517">
      <c r="B517" s="59"/>
      <c r="C517" s="17"/>
      <c r="D517" s="59"/>
      <c r="F517" s="17"/>
      <c r="G517" s="59"/>
    </row>
    <row r="518">
      <c r="B518" s="59"/>
      <c r="C518" s="17"/>
      <c r="D518" s="59"/>
      <c r="F518" s="17"/>
      <c r="G518" s="59"/>
    </row>
    <row r="519">
      <c r="B519" s="59"/>
      <c r="C519" s="17"/>
      <c r="D519" s="59"/>
      <c r="F519" s="17"/>
      <c r="G519" s="59"/>
    </row>
    <row r="520">
      <c r="B520" s="59"/>
      <c r="C520" s="17"/>
      <c r="D520" s="59"/>
      <c r="F520" s="17"/>
      <c r="G520" s="59"/>
    </row>
    <row r="521">
      <c r="B521" s="59"/>
      <c r="C521" s="17"/>
      <c r="D521" s="59"/>
      <c r="F521" s="17"/>
      <c r="G521" s="59"/>
    </row>
    <row r="522">
      <c r="B522" s="59"/>
      <c r="C522" s="17"/>
      <c r="D522" s="59"/>
      <c r="F522" s="17"/>
      <c r="G522" s="59"/>
    </row>
    <row r="523">
      <c r="B523" s="59"/>
      <c r="C523" s="17"/>
      <c r="D523" s="59"/>
      <c r="F523" s="17"/>
      <c r="G523" s="59"/>
    </row>
    <row r="524">
      <c r="B524" s="59"/>
      <c r="C524" s="17"/>
      <c r="D524" s="59"/>
      <c r="F524" s="17"/>
      <c r="G524" s="59"/>
    </row>
    <row r="525">
      <c r="B525" s="59"/>
      <c r="C525" s="17"/>
      <c r="D525" s="59"/>
      <c r="F525" s="17"/>
      <c r="G525" s="59"/>
    </row>
    <row r="526">
      <c r="B526" s="59"/>
      <c r="C526" s="17"/>
      <c r="D526" s="59"/>
      <c r="F526" s="17"/>
      <c r="G526" s="59"/>
    </row>
    <row r="527">
      <c r="B527" s="59"/>
      <c r="C527" s="17"/>
      <c r="D527" s="59"/>
      <c r="F527" s="17"/>
      <c r="G527" s="59"/>
    </row>
    <row r="528">
      <c r="B528" s="59"/>
      <c r="C528" s="17"/>
      <c r="D528" s="59"/>
      <c r="F528" s="17"/>
      <c r="G528" s="59"/>
    </row>
    <row r="529">
      <c r="B529" s="59"/>
      <c r="C529" s="17"/>
      <c r="D529" s="59"/>
      <c r="F529" s="17"/>
      <c r="G529" s="59"/>
    </row>
    <row r="530">
      <c r="B530" s="59"/>
      <c r="C530" s="17"/>
      <c r="D530" s="59"/>
      <c r="F530" s="17"/>
      <c r="G530" s="59"/>
    </row>
    <row r="531">
      <c r="B531" s="59"/>
      <c r="C531" s="17"/>
      <c r="D531" s="59"/>
      <c r="F531" s="17"/>
      <c r="G531" s="59"/>
    </row>
    <row r="532">
      <c r="B532" s="59"/>
      <c r="C532" s="17"/>
      <c r="D532" s="59"/>
      <c r="F532" s="17"/>
      <c r="G532" s="59"/>
    </row>
    <row r="533">
      <c r="B533" s="59"/>
      <c r="C533" s="17"/>
      <c r="D533" s="59"/>
      <c r="F533" s="17"/>
      <c r="G533" s="59"/>
    </row>
    <row r="534">
      <c r="B534" s="59"/>
      <c r="C534" s="17"/>
      <c r="D534" s="59"/>
      <c r="F534" s="17"/>
      <c r="G534" s="59"/>
    </row>
    <row r="535">
      <c r="B535" s="59"/>
      <c r="C535" s="17"/>
      <c r="D535" s="59"/>
      <c r="F535" s="17"/>
      <c r="G535" s="59"/>
    </row>
    <row r="536">
      <c r="B536" s="59"/>
      <c r="C536" s="17"/>
      <c r="D536" s="59"/>
      <c r="F536" s="17"/>
      <c r="G536" s="59"/>
    </row>
    <row r="537">
      <c r="B537" s="59"/>
      <c r="C537" s="17"/>
      <c r="D537" s="59"/>
      <c r="F537" s="17"/>
      <c r="G537" s="59"/>
    </row>
    <row r="538">
      <c r="B538" s="59"/>
      <c r="C538" s="17"/>
      <c r="D538" s="59"/>
      <c r="F538" s="17"/>
      <c r="G538" s="59"/>
    </row>
    <row r="539">
      <c r="B539" s="59"/>
      <c r="C539" s="17"/>
      <c r="D539" s="59"/>
      <c r="F539" s="17"/>
      <c r="G539" s="59"/>
    </row>
    <row r="540">
      <c r="B540" s="59"/>
      <c r="C540" s="17"/>
      <c r="D540" s="59"/>
      <c r="F540" s="17"/>
      <c r="G540" s="59"/>
    </row>
    <row r="541">
      <c r="B541" s="59"/>
      <c r="C541" s="17"/>
      <c r="D541" s="59"/>
      <c r="F541" s="17"/>
      <c r="G541" s="59"/>
    </row>
    <row r="542">
      <c r="B542" s="59"/>
      <c r="C542" s="17"/>
      <c r="D542" s="59"/>
      <c r="F542" s="17"/>
      <c r="G542" s="59"/>
    </row>
    <row r="543">
      <c r="B543" s="59"/>
      <c r="C543" s="17"/>
      <c r="D543" s="59"/>
      <c r="F543" s="17"/>
      <c r="G543" s="59"/>
    </row>
    <row r="544">
      <c r="B544" s="59"/>
      <c r="C544" s="17"/>
      <c r="D544" s="59"/>
      <c r="F544" s="17"/>
      <c r="G544" s="59"/>
    </row>
    <row r="545">
      <c r="B545" s="59"/>
      <c r="C545" s="17"/>
      <c r="D545" s="59"/>
      <c r="F545" s="17"/>
      <c r="G545" s="59"/>
    </row>
    <row r="546">
      <c r="B546" s="59"/>
      <c r="C546" s="17"/>
      <c r="D546" s="59"/>
      <c r="F546" s="17"/>
      <c r="G546" s="59"/>
    </row>
    <row r="547">
      <c r="B547" s="59"/>
      <c r="C547" s="17"/>
      <c r="D547" s="59"/>
      <c r="F547" s="17"/>
      <c r="G547" s="59"/>
    </row>
    <row r="548">
      <c r="B548" s="59"/>
      <c r="C548" s="17"/>
      <c r="D548" s="59"/>
      <c r="F548" s="17"/>
      <c r="G548" s="59"/>
    </row>
    <row r="549">
      <c r="B549" s="59"/>
      <c r="C549" s="17"/>
      <c r="D549" s="59"/>
      <c r="F549" s="17"/>
      <c r="G549" s="59"/>
    </row>
    <row r="550">
      <c r="B550" s="59"/>
      <c r="C550" s="17"/>
      <c r="D550" s="59"/>
      <c r="F550" s="17"/>
      <c r="G550" s="59"/>
    </row>
    <row r="551">
      <c r="B551" s="59"/>
      <c r="C551" s="17"/>
      <c r="D551" s="59"/>
      <c r="F551" s="17"/>
      <c r="G551" s="59"/>
    </row>
    <row r="552">
      <c r="B552" s="59"/>
      <c r="C552" s="17"/>
      <c r="D552" s="59"/>
      <c r="F552" s="17"/>
      <c r="G552" s="59"/>
    </row>
    <row r="553">
      <c r="B553" s="59"/>
      <c r="C553" s="17"/>
      <c r="D553" s="59"/>
      <c r="F553" s="17"/>
      <c r="G553" s="59"/>
    </row>
    <row r="554">
      <c r="B554" s="59"/>
      <c r="C554" s="17"/>
      <c r="D554" s="59"/>
      <c r="F554" s="17"/>
      <c r="G554" s="59"/>
    </row>
    <row r="555">
      <c r="B555" s="59"/>
      <c r="C555" s="17"/>
      <c r="D555" s="59"/>
      <c r="F555" s="17"/>
      <c r="G555" s="59"/>
    </row>
    <row r="556">
      <c r="B556" s="59"/>
      <c r="C556" s="17"/>
      <c r="D556" s="59"/>
      <c r="F556" s="17"/>
      <c r="G556" s="59"/>
    </row>
    <row r="557">
      <c r="B557" s="59"/>
      <c r="C557" s="17"/>
      <c r="D557" s="59"/>
      <c r="F557" s="17"/>
      <c r="G557" s="59"/>
    </row>
    <row r="558">
      <c r="B558" s="59"/>
      <c r="C558" s="17"/>
      <c r="D558" s="59"/>
      <c r="F558" s="17"/>
      <c r="G558" s="59"/>
    </row>
    <row r="559">
      <c r="B559" s="59"/>
      <c r="C559" s="17"/>
      <c r="D559" s="59"/>
      <c r="F559" s="17"/>
      <c r="G559" s="59"/>
    </row>
    <row r="560">
      <c r="B560" s="59"/>
      <c r="C560" s="17"/>
      <c r="D560" s="59"/>
      <c r="F560" s="17"/>
      <c r="G560" s="59"/>
    </row>
    <row r="561">
      <c r="B561" s="59"/>
      <c r="C561" s="17"/>
      <c r="D561" s="59"/>
      <c r="F561" s="17"/>
      <c r="G561" s="59"/>
    </row>
    <row r="562">
      <c r="B562" s="59"/>
      <c r="C562" s="17"/>
      <c r="D562" s="59"/>
      <c r="F562" s="17"/>
      <c r="G562" s="59"/>
    </row>
    <row r="563">
      <c r="B563" s="59"/>
      <c r="C563" s="17"/>
      <c r="D563" s="59"/>
      <c r="F563" s="17"/>
      <c r="G563" s="59"/>
    </row>
    <row r="564">
      <c r="B564" s="59"/>
      <c r="C564" s="17"/>
      <c r="D564" s="59"/>
      <c r="F564" s="17"/>
      <c r="G564" s="59"/>
    </row>
    <row r="565">
      <c r="B565" s="59"/>
      <c r="C565" s="17"/>
      <c r="D565" s="59"/>
      <c r="F565" s="17"/>
      <c r="G565" s="59"/>
    </row>
    <row r="566">
      <c r="B566" s="59"/>
      <c r="C566" s="17"/>
      <c r="D566" s="59"/>
      <c r="F566" s="17"/>
      <c r="G566" s="59"/>
    </row>
    <row r="567">
      <c r="B567" s="59"/>
      <c r="C567" s="17"/>
      <c r="D567" s="59"/>
      <c r="F567" s="17"/>
      <c r="G567" s="59"/>
    </row>
    <row r="568">
      <c r="B568" s="59"/>
      <c r="C568" s="17"/>
      <c r="D568" s="59"/>
      <c r="F568" s="17"/>
      <c r="G568" s="59"/>
    </row>
    <row r="569">
      <c r="B569" s="59"/>
      <c r="C569" s="17"/>
      <c r="D569" s="59"/>
      <c r="F569" s="17"/>
      <c r="G569" s="59"/>
    </row>
    <row r="570">
      <c r="B570" s="59"/>
      <c r="C570" s="17"/>
      <c r="D570" s="59"/>
      <c r="F570" s="17"/>
      <c r="G570" s="59"/>
    </row>
    <row r="571">
      <c r="B571" s="59"/>
      <c r="C571" s="17"/>
      <c r="D571" s="59"/>
      <c r="F571" s="17"/>
      <c r="G571" s="59"/>
    </row>
    <row r="572">
      <c r="B572" s="59"/>
      <c r="C572" s="17"/>
      <c r="D572" s="59"/>
      <c r="F572" s="17"/>
      <c r="G572" s="59"/>
    </row>
    <row r="573">
      <c r="B573" s="59"/>
      <c r="C573" s="17"/>
      <c r="D573" s="59"/>
      <c r="F573" s="17"/>
      <c r="G573" s="59"/>
    </row>
    <row r="574">
      <c r="B574" s="59"/>
      <c r="C574" s="17"/>
      <c r="D574" s="59"/>
      <c r="F574" s="17"/>
      <c r="G574" s="59"/>
    </row>
    <row r="575">
      <c r="B575" s="59"/>
      <c r="C575" s="17"/>
      <c r="D575" s="59"/>
      <c r="F575" s="17"/>
      <c r="G575" s="59"/>
    </row>
    <row r="576">
      <c r="B576" s="59"/>
      <c r="C576" s="17"/>
      <c r="D576" s="59"/>
      <c r="F576" s="17"/>
      <c r="G576" s="59"/>
    </row>
    <row r="577">
      <c r="B577" s="59"/>
      <c r="C577" s="17"/>
      <c r="D577" s="59"/>
      <c r="F577" s="17"/>
      <c r="G577" s="59"/>
    </row>
    <row r="578">
      <c r="B578" s="59"/>
      <c r="C578" s="17"/>
      <c r="D578" s="59"/>
      <c r="F578" s="17"/>
      <c r="G578" s="59"/>
    </row>
    <row r="579">
      <c r="B579" s="59"/>
      <c r="C579" s="17"/>
      <c r="D579" s="59"/>
      <c r="F579" s="17"/>
      <c r="G579" s="59"/>
    </row>
    <row r="580">
      <c r="B580" s="59"/>
      <c r="C580" s="17"/>
      <c r="D580" s="59"/>
      <c r="F580" s="17"/>
      <c r="G580" s="59"/>
    </row>
    <row r="581">
      <c r="B581" s="59"/>
      <c r="C581" s="17"/>
      <c r="D581" s="59"/>
      <c r="F581" s="17"/>
      <c r="G581" s="59"/>
    </row>
    <row r="582">
      <c r="B582" s="59"/>
      <c r="C582" s="17"/>
      <c r="D582" s="59"/>
      <c r="F582" s="17"/>
      <c r="G582" s="59"/>
    </row>
    <row r="583">
      <c r="B583" s="59"/>
      <c r="C583" s="17"/>
      <c r="D583" s="59"/>
      <c r="F583" s="17"/>
      <c r="G583" s="59"/>
    </row>
    <row r="584">
      <c r="B584" s="59"/>
      <c r="C584" s="17"/>
      <c r="D584" s="59"/>
      <c r="F584" s="17"/>
      <c r="G584" s="59"/>
    </row>
    <row r="585">
      <c r="B585" s="59"/>
      <c r="C585" s="17"/>
      <c r="D585" s="59"/>
      <c r="F585" s="17"/>
      <c r="G585" s="59"/>
    </row>
    <row r="586">
      <c r="B586" s="59"/>
      <c r="C586" s="17"/>
      <c r="D586" s="59"/>
      <c r="F586" s="17"/>
      <c r="G586" s="59"/>
    </row>
    <row r="587">
      <c r="B587" s="59"/>
      <c r="C587" s="17"/>
      <c r="D587" s="59"/>
      <c r="F587" s="17"/>
      <c r="G587" s="59"/>
    </row>
    <row r="588">
      <c r="B588" s="59"/>
      <c r="C588" s="17"/>
      <c r="D588" s="59"/>
      <c r="F588" s="17"/>
      <c r="G588" s="59"/>
    </row>
    <row r="589">
      <c r="B589" s="59"/>
      <c r="C589" s="17"/>
      <c r="D589" s="59"/>
      <c r="F589" s="17"/>
      <c r="G589" s="59"/>
    </row>
    <row r="590">
      <c r="B590" s="59"/>
      <c r="C590" s="17"/>
      <c r="D590" s="59"/>
      <c r="F590" s="17"/>
      <c r="G590" s="59"/>
    </row>
    <row r="591">
      <c r="B591" s="59"/>
      <c r="C591" s="17"/>
      <c r="D591" s="59"/>
      <c r="F591" s="17"/>
      <c r="G591" s="59"/>
    </row>
    <row r="592">
      <c r="B592" s="59"/>
      <c r="C592" s="17"/>
      <c r="D592" s="59"/>
      <c r="F592" s="17"/>
      <c r="G592" s="59"/>
    </row>
    <row r="593">
      <c r="B593" s="59"/>
      <c r="C593" s="17"/>
      <c r="D593" s="59"/>
      <c r="F593" s="17"/>
      <c r="G593" s="59"/>
    </row>
    <row r="594">
      <c r="B594" s="59"/>
      <c r="C594" s="17"/>
      <c r="D594" s="59"/>
      <c r="F594" s="17"/>
      <c r="G594" s="59"/>
    </row>
    <row r="595">
      <c r="B595" s="59"/>
      <c r="C595" s="17"/>
      <c r="D595" s="59"/>
      <c r="F595" s="17"/>
      <c r="G595" s="59"/>
    </row>
    <row r="596">
      <c r="B596" s="59"/>
      <c r="C596" s="17"/>
      <c r="D596" s="59"/>
      <c r="F596" s="17"/>
      <c r="G596" s="59"/>
    </row>
    <row r="597">
      <c r="B597" s="59"/>
      <c r="C597" s="17"/>
      <c r="D597" s="59"/>
      <c r="F597" s="17"/>
      <c r="G597" s="59"/>
    </row>
    <row r="598">
      <c r="B598" s="59"/>
      <c r="C598" s="17"/>
      <c r="D598" s="59"/>
      <c r="F598" s="17"/>
      <c r="G598" s="59"/>
    </row>
    <row r="599">
      <c r="B599" s="59"/>
      <c r="C599" s="17"/>
      <c r="D599" s="59"/>
      <c r="F599" s="17"/>
      <c r="G599" s="59"/>
    </row>
    <row r="600">
      <c r="B600" s="59"/>
      <c r="C600" s="17"/>
      <c r="D600" s="59"/>
      <c r="F600" s="17"/>
      <c r="G600" s="59"/>
    </row>
    <row r="601">
      <c r="B601" s="59"/>
      <c r="C601" s="17"/>
      <c r="D601" s="59"/>
      <c r="F601" s="17"/>
      <c r="G601" s="59"/>
    </row>
    <row r="602">
      <c r="B602" s="59"/>
      <c r="C602" s="17"/>
      <c r="D602" s="59"/>
      <c r="F602" s="17"/>
      <c r="G602" s="59"/>
    </row>
    <row r="603">
      <c r="B603" s="59"/>
      <c r="C603" s="17"/>
      <c r="D603" s="59"/>
      <c r="F603" s="17"/>
      <c r="G603" s="59"/>
    </row>
    <row r="604">
      <c r="B604" s="59"/>
      <c r="C604" s="17"/>
      <c r="D604" s="59"/>
      <c r="F604" s="17"/>
      <c r="G604" s="59"/>
    </row>
    <row r="605">
      <c r="B605" s="59"/>
      <c r="C605" s="17"/>
      <c r="D605" s="59"/>
      <c r="F605" s="17"/>
      <c r="G605" s="59"/>
    </row>
    <row r="606">
      <c r="B606" s="59"/>
      <c r="C606" s="17"/>
      <c r="D606" s="59"/>
      <c r="F606" s="17"/>
      <c r="G606" s="59"/>
    </row>
    <row r="607">
      <c r="B607" s="59"/>
      <c r="C607" s="17"/>
      <c r="D607" s="59"/>
      <c r="F607" s="17"/>
      <c r="G607" s="59"/>
    </row>
    <row r="608">
      <c r="B608" s="59"/>
      <c r="C608" s="17"/>
      <c r="D608" s="59"/>
      <c r="F608" s="17"/>
      <c r="G608" s="59"/>
    </row>
    <row r="609">
      <c r="B609" s="59"/>
      <c r="C609" s="17"/>
      <c r="D609" s="59"/>
      <c r="F609" s="17"/>
      <c r="G609" s="59"/>
    </row>
    <row r="610">
      <c r="B610" s="59"/>
      <c r="C610" s="17"/>
      <c r="D610" s="59"/>
      <c r="F610" s="17"/>
      <c r="G610" s="59"/>
    </row>
    <row r="611">
      <c r="B611" s="59"/>
      <c r="C611" s="17"/>
      <c r="D611" s="59"/>
      <c r="F611" s="17"/>
      <c r="G611" s="59"/>
    </row>
    <row r="612">
      <c r="B612" s="59"/>
      <c r="C612" s="17"/>
      <c r="D612" s="59"/>
      <c r="F612" s="17"/>
      <c r="G612" s="59"/>
    </row>
    <row r="613">
      <c r="B613" s="59"/>
      <c r="C613" s="17"/>
      <c r="D613" s="59"/>
      <c r="F613" s="17"/>
      <c r="G613" s="59"/>
    </row>
    <row r="614">
      <c r="B614" s="59"/>
      <c r="C614" s="17"/>
      <c r="D614" s="59"/>
      <c r="F614" s="17"/>
      <c r="G614" s="59"/>
    </row>
    <row r="615">
      <c r="B615" s="59"/>
      <c r="C615" s="17"/>
      <c r="D615" s="59"/>
      <c r="F615" s="17"/>
      <c r="G615" s="59"/>
    </row>
    <row r="616">
      <c r="B616" s="59"/>
      <c r="C616" s="17"/>
      <c r="D616" s="59"/>
      <c r="F616" s="17"/>
      <c r="G616" s="59"/>
    </row>
    <row r="617">
      <c r="B617" s="59"/>
      <c r="C617" s="17"/>
      <c r="D617" s="59"/>
      <c r="F617" s="17"/>
      <c r="G617" s="59"/>
    </row>
    <row r="618">
      <c r="B618" s="59"/>
      <c r="C618" s="17"/>
      <c r="D618" s="59"/>
      <c r="F618" s="17"/>
      <c r="G618" s="59"/>
    </row>
    <row r="619">
      <c r="B619" s="59"/>
      <c r="C619" s="17"/>
      <c r="D619" s="59"/>
      <c r="F619" s="17"/>
      <c r="G619" s="59"/>
    </row>
    <row r="620">
      <c r="B620" s="59"/>
      <c r="C620" s="17"/>
      <c r="D620" s="59"/>
      <c r="F620" s="17"/>
      <c r="G620" s="59"/>
    </row>
    <row r="621">
      <c r="B621" s="59"/>
      <c r="C621" s="17"/>
      <c r="D621" s="59"/>
      <c r="F621" s="17"/>
      <c r="G621" s="59"/>
    </row>
    <row r="622">
      <c r="B622" s="59"/>
      <c r="C622" s="17"/>
      <c r="D622" s="59"/>
      <c r="F622" s="17"/>
      <c r="G622" s="59"/>
    </row>
    <row r="623">
      <c r="B623" s="59"/>
      <c r="C623" s="17"/>
      <c r="D623" s="59"/>
      <c r="F623" s="17"/>
      <c r="G623" s="59"/>
    </row>
    <row r="624">
      <c r="B624" s="59"/>
      <c r="C624" s="17"/>
      <c r="D624" s="59"/>
      <c r="F624" s="17"/>
      <c r="G624" s="59"/>
    </row>
    <row r="625">
      <c r="B625" s="59"/>
      <c r="C625" s="17"/>
      <c r="D625" s="59"/>
      <c r="F625" s="17"/>
      <c r="G625" s="59"/>
    </row>
    <row r="626">
      <c r="B626" s="59"/>
      <c r="C626" s="17"/>
      <c r="D626" s="59"/>
      <c r="F626" s="17"/>
      <c r="G626" s="59"/>
    </row>
    <row r="627">
      <c r="B627" s="59"/>
      <c r="C627" s="17"/>
      <c r="D627" s="59"/>
      <c r="F627" s="17"/>
      <c r="G627" s="59"/>
    </row>
    <row r="628">
      <c r="B628" s="59"/>
      <c r="C628" s="17"/>
      <c r="D628" s="59"/>
      <c r="F628" s="17"/>
      <c r="G628" s="59"/>
    </row>
    <row r="629">
      <c r="B629" s="59"/>
      <c r="C629" s="17"/>
      <c r="D629" s="59"/>
      <c r="F629" s="17"/>
      <c r="G629" s="59"/>
    </row>
    <row r="630">
      <c r="B630" s="59"/>
      <c r="C630" s="17"/>
      <c r="D630" s="59"/>
      <c r="F630" s="17"/>
      <c r="G630" s="59"/>
    </row>
    <row r="631">
      <c r="B631" s="59"/>
      <c r="C631" s="17"/>
      <c r="D631" s="59"/>
      <c r="F631" s="17"/>
      <c r="G631" s="59"/>
    </row>
    <row r="632">
      <c r="B632" s="59"/>
      <c r="C632" s="17"/>
      <c r="D632" s="59"/>
      <c r="F632" s="17"/>
      <c r="G632" s="59"/>
    </row>
    <row r="633">
      <c r="B633" s="59"/>
      <c r="C633" s="17"/>
      <c r="D633" s="59"/>
      <c r="F633" s="17"/>
      <c r="G633" s="59"/>
    </row>
    <row r="634">
      <c r="B634" s="59"/>
      <c r="C634" s="17"/>
      <c r="D634" s="59"/>
      <c r="F634" s="17"/>
      <c r="G634" s="59"/>
    </row>
    <row r="635">
      <c r="B635" s="59"/>
      <c r="C635" s="17"/>
      <c r="D635" s="59"/>
      <c r="F635" s="17"/>
      <c r="G635" s="59"/>
    </row>
    <row r="636">
      <c r="B636" s="59"/>
      <c r="C636" s="17"/>
      <c r="D636" s="59"/>
      <c r="F636" s="17"/>
      <c r="G636" s="59"/>
    </row>
    <row r="637">
      <c r="B637" s="59"/>
      <c r="C637" s="17"/>
      <c r="D637" s="59"/>
      <c r="F637" s="17"/>
      <c r="G637" s="59"/>
    </row>
    <row r="638">
      <c r="B638" s="59"/>
      <c r="C638" s="17"/>
      <c r="D638" s="59"/>
      <c r="F638" s="17"/>
      <c r="G638" s="59"/>
    </row>
    <row r="639">
      <c r="B639" s="59"/>
      <c r="C639" s="17"/>
      <c r="D639" s="59"/>
      <c r="F639" s="17"/>
      <c r="G639" s="59"/>
    </row>
    <row r="640">
      <c r="B640" s="59"/>
      <c r="C640" s="17"/>
      <c r="D640" s="59"/>
      <c r="F640" s="17"/>
      <c r="G640" s="59"/>
    </row>
    <row r="641">
      <c r="B641" s="59"/>
      <c r="C641" s="17"/>
      <c r="D641" s="59"/>
      <c r="F641" s="17"/>
      <c r="G641" s="59"/>
    </row>
    <row r="642">
      <c r="B642" s="59"/>
      <c r="C642" s="17"/>
      <c r="D642" s="59"/>
      <c r="F642" s="17"/>
      <c r="G642" s="59"/>
    </row>
    <row r="643">
      <c r="B643" s="59"/>
      <c r="C643" s="17"/>
      <c r="D643" s="59"/>
      <c r="F643" s="17"/>
      <c r="G643" s="59"/>
    </row>
    <row r="644">
      <c r="B644" s="59"/>
      <c r="C644" s="17"/>
      <c r="D644" s="59"/>
      <c r="F644" s="17"/>
      <c r="G644" s="59"/>
    </row>
    <row r="645">
      <c r="B645" s="59"/>
      <c r="C645" s="17"/>
      <c r="D645" s="59"/>
      <c r="F645" s="17"/>
      <c r="G645" s="59"/>
    </row>
    <row r="646">
      <c r="B646" s="59"/>
      <c r="C646" s="17"/>
      <c r="D646" s="59"/>
      <c r="F646" s="17"/>
      <c r="G646" s="59"/>
    </row>
    <row r="647">
      <c r="B647" s="59"/>
      <c r="C647" s="17"/>
      <c r="D647" s="59"/>
      <c r="F647" s="17"/>
      <c r="G647" s="59"/>
    </row>
    <row r="648">
      <c r="B648" s="59"/>
      <c r="C648" s="17"/>
      <c r="D648" s="59"/>
      <c r="F648" s="17"/>
      <c r="G648" s="59"/>
    </row>
    <row r="649">
      <c r="B649" s="59"/>
      <c r="C649" s="17"/>
      <c r="D649" s="59"/>
      <c r="F649" s="17"/>
      <c r="G649" s="59"/>
    </row>
    <row r="650">
      <c r="B650" s="59"/>
      <c r="C650" s="17"/>
      <c r="D650" s="59"/>
      <c r="F650" s="17"/>
      <c r="G650" s="59"/>
    </row>
    <row r="651">
      <c r="B651" s="59"/>
      <c r="C651" s="17"/>
      <c r="D651" s="59"/>
      <c r="F651" s="17"/>
      <c r="G651" s="59"/>
    </row>
    <row r="652">
      <c r="B652" s="59"/>
      <c r="C652" s="17"/>
      <c r="D652" s="59"/>
      <c r="F652" s="17"/>
      <c r="G652" s="59"/>
    </row>
    <row r="653">
      <c r="B653" s="59"/>
      <c r="C653" s="17"/>
      <c r="D653" s="59"/>
      <c r="F653" s="17"/>
      <c r="G653" s="59"/>
    </row>
    <row r="654">
      <c r="B654" s="59"/>
      <c r="C654" s="17"/>
      <c r="D654" s="59"/>
      <c r="F654" s="17"/>
      <c r="G654" s="59"/>
    </row>
    <row r="655">
      <c r="B655" s="59"/>
      <c r="C655" s="17"/>
      <c r="D655" s="59"/>
      <c r="F655" s="17"/>
      <c r="G655" s="59"/>
    </row>
    <row r="656">
      <c r="B656" s="59"/>
      <c r="C656" s="17"/>
      <c r="D656" s="59"/>
      <c r="F656" s="17"/>
      <c r="G656" s="59"/>
    </row>
    <row r="657">
      <c r="B657" s="59"/>
      <c r="C657" s="17"/>
      <c r="D657" s="59"/>
      <c r="F657" s="17"/>
      <c r="G657" s="59"/>
    </row>
    <row r="658">
      <c r="B658" s="59"/>
      <c r="C658" s="17"/>
      <c r="D658" s="59"/>
      <c r="F658" s="17"/>
      <c r="G658" s="59"/>
    </row>
    <row r="659">
      <c r="B659" s="59"/>
      <c r="C659" s="17"/>
      <c r="D659" s="59"/>
      <c r="F659" s="17"/>
      <c r="G659" s="59"/>
    </row>
    <row r="660">
      <c r="B660" s="59"/>
      <c r="C660" s="17"/>
      <c r="D660" s="59"/>
      <c r="F660" s="17"/>
      <c r="G660" s="59"/>
    </row>
    <row r="661">
      <c r="B661" s="59"/>
      <c r="C661" s="17"/>
      <c r="D661" s="59"/>
      <c r="F661" s="17"/>
      <c r="G661" s="59"/>
    </row>
    <row r="662">
      <c r="B662" s="59"/>
      <c r="C662" s="17"/>
      <c r="D662" s="59"/>
      <c r="F662" s="17"/>
      <c r="G662" s="59"/>
    </row>
    <row r="663">
      <c r="B663" s="59"/>
      <c r="C663" s="17"/>
      <c r="D663" s="59"/>
      <c r="F663" s="17"/>
      <c r="G663" s="59"/>
    </row>
    <row r="664">
      <c r="B664" s="59"/>
      <c r="C664" s="17"/>
      <c r="D664" s="59"/>
      <c r="F664" s="17"/>
      <c r="G664" s="59"/>
    </row>
    <row r="665">
      <c r="B665" s="59"/>
      <c r="C665" s="17"/>
      <c r="D665" s="59"/>
      <c r="F665" s="17"/>
      <c r="G665" s="59"/>
    </row>
    <row r="666">
      <c r="B666" s="59"/>
      <c r="C666" s="17"/>
      <c r="D666" s="59"/>
      <c r="F666" s="17"/>
      <c r="G666" s="59"/>
    </row>
    <row r="667">
      <c r="B667" s="59"/>
      <c r="C667" s="17"/>
      <c r="D667" s="59"/>
      <c r="F667" s="17"/>
      <c r="G667" s="59"/>
    </row>
    <row r="668">
      <c r="B668" s="59"/>
      <c r="C668" s="17"/>
      <c r="D668" s="59"/>
      <c r="F668" s="17"/>
      <c r="G668" s="59"/>
    </row>
    <row r="669">
      <c r="B669" s="59"/>
      <c r="C669" s="17"/>
      <c r="D669" s="59"/>
      <c r="F669" s="17"/>
      <c r="G669" s="59"/>
    </row>
    <row r="670">
      <c r="B670" s="59"/>
      <c r="C670" s="17"/>
      <c r="D670" s="59"/>
      <c r="F670" s="17"/>
      <c r="G670" s="59"/>
    </row>
    <row r="671">
      <c r="B671" s="59"/>
      <c r="C671" s="17"/>
      <c r="D671" s="59"/>
      <c r="F671" s="17"/>
      <c r="G671" s="59"/>
    </row>
    <row r="672">
      <c r="B672" s="59"/>
      <c r="C672" s="17"/>
      <c r="D672" s="59"/>
      <c r="F672" s="17"/>
      <c r="G672" s="59"/>
    </row>
    <row r="673">
      <c r="B673" s="59"/>
      <c r="C673" s="17"/>
      <c r="D673" s="59"/>
      <c r="F673" s="17"/>
      <c r="G673" s="59"/>
    </row>
    <row r="674">
      <c r="B674" s="59"/>
      <c r="C674" s="17"/>
      <c r="D674" s="59"/>
      <c r="F674" s="17"/>
      <c r="G674" s="59"/>
    </row>
    <row r="675">
      <c r="B675" s="59"/>
      <c r="C675" s="17"/>
      <c r="D675" s="59"/>
      <c r="F675" s="17"/>
      <c r="G675" s="59"/>
    </row>
    <row r="676">
      <c r="B676" s="59"/>
      <c r="C676" s="17"/>
      <c r="D676" s="59"/>
      <c r="F676" s="17"/>
      <c r="G676" s="59"/>
    </row>
    <row r="677">
      <c r="B677" s="59"/>
      <c r="C677" s="17"/>
      <c r="D677" s="59"/>
      <c r="F677" s="17"/>
      <c r="G677" s="59"/>
    </row>
    <row r="678">
      <c r="B678" s="59"/>
      <c r="C678" s="17"/>
      <c r="D678" s="59"/>
      <c r="F678" s="17"/>
      <c r="G678" s="59"/>
    </row>
    <row r="679">
      <c r="B679" s="59"/>
      <c r="C679" s="17"/>
      <c r="D679" s="59"/>
      <c r="F679" s="17"/>
      <c r="G679" s="59"/>
    </row>
    <row r="680">
      <c r="B680" s="59"/>
      <c r="C680" s="17"/>
      <c r="D680" s="59"/>
      <c r="F680" s="17"/>
      <c r="G680" s="59"/>
    </row>
    <row r="681">
      <c r="B681" s="59"/>
      <c r="C681" s="17"/>
      <c r="D681" s="59"/>
      <c r="F681" s="17"/>
      <c r="G681" s="59"/>
    </row>
    <row r="682">
      <c r="B682" s="59"/>
      <c r="C682" s="17"/>
      <c r="D682" s="59"/>
      <c r="F682" s="17"/>
      <c r="G682" s="59"/>
    </row>
    <row r="683">
      <c r="B683" s="59"/>
      <c r="C683" s="17"/>
      <c r="D683" s="59"/>
      <c r="F683" s="17"/>
      <c r="G683" s="59"/>
    </row>
    <row r="684">
      <c r="B684" s="59"/>
      <c r="C684" s="17"/>
      <c r="D684" s="59"/>
      <c r="F684" s="17"/>
      <c r="G684" s="59"/>
    </row>
    <row r="685">
      <c r="B685" s="59"/>
      <c r="C685" s="17"/>
      <c r="D685" s="59"/>
      <c r="F685" s="17"/>
      <c r="G685" s="59"/>
    </row>
    <row r="686">
      <c r="B686" s="59"/>
      <c r="C686" s="17"/>
      <c r="D686" s="59"/>
      <c r="F686" s="17"/>
      <c r="G686" s="59"/>
    </row>
    <row r="687">
      <c r="B687" s="59"/>
      <c r="C687" s="17"/>
      <c r="D687" s="59"/>
      <c r="F687" s="17"/>
      <c r="G687" s="59"/>
    </row>
    <row r="688">
      <c r="B688" s="59"/>
      <c r="C688" s="17"/>
      <c r="D688" s="59"/>
      <c r="F688" s="17"/>
      <c r="G688" s="59"/>
    </row>
    <row r="689">
      <c r="B689" s="59"/>
      <c r="C689" s="17"/>
      <c r="D689" s="59"/>
      <c r="F689" s="17"/>
      <c r="G689" s="59"/>
    </row>
    <row r="690">
      <c r="B690" s="59"/>
      <c r="C690" s="17"/>
      <c r="D690" s="59"/>
      <c r="F690" s="17"/>
      <c r="G690" s="59"/>
    </row>
    <row r="691">
      <c r="B691" s="59"/>
      <c r="C691" s="17"/>
      <c r="D691" s="59"/>
      <c r="F691" s="17"/>
      <c r="G691" s="59"/>
    </row>
    <row r="692">
      <c r="B692" s="59"/>
      <c r="C692" s="17"/>
      <c r="D692" s="59"/>
      <c r="F692" s="17"/>
      <c r="G692" s="59"/>
    </row>
    <row r="693">
      <c r="B693" s="59"/>
      <c r="C693" s="17"/>
      <c r="D693" s="59"/>
      <c r="F693" s="17"/>
      <c r="G693" s="59"/>
    </row>
    <row r="694">
      <c r="B694" s="59"/>
      <c r="C694" s="17"/>
      <c r="D694" s="59"/>
      <c r="F694" s="17"/>
      <c r="G694" s="59"/>
    </row>
    <row r="695">
      <c r="B695" s="59"/>
      <c r="C695" s="17"/>
      <c r="D695" s="59"/>
      <c r="F695" s="17"/>
      <c r="G695" s="59"/>
    </row>
    <row r="696">
      <c r="B696" s="59"/>
      <c r="C696" s="17"/>
      <c r="D696" s="59"/>
      <c r="F696" s="17"/>
      <c r="G696" s="59"/>
    </row>
    <row r="697">
      <c r="B697" s="59"/>
      <c r="C697" s="17"/>
      <c r="D697" s="59"/>
      <c r="F697" s="17"/>
      <c r="G697" s="59"/>
    </row>
    <row r="698">
      <c r="B698" s="59"/>
      <c r="C698" s="17"/>
      <c r="D698" s="59"/>
      <c r="F698" s="17"/>
      <c r="G698" s="59"/>
    </row>
    <row r="699">
      <c r="B699" s="59"/>
      <c r="C699" s="17"/>
      <c r="D699" s="59"/>
      <c r="F699" s="17"/>
      <c r="G699" s="59"/>
    </row>
    <row r="700">
      <c r="B700" s="59"/>
      <c r="C700" s="17"/>
      <c r="D700" s="59"/>
      <c r="F700" s="17"/>
      <c r="G700" s="59"/>
    </row>
    <row r="701">
      <c r="B701" s="59"/>
      <c r="C701" s="17"/>
      <c r="D701" s="59"/>
      <c r="F701" s="17"/>
      <c r="G701" s="59"/>
    </row>
    <row r="702">
      <c r="B702" s="59"/>
      <c r="C702" s="17"/>
      <c r="D702" s="59"/>
      <c r="F702" s="17"/>
      <c r="G702" s="59"/>
    </row>
    <row r="703">
      <c r="B703" s="59"/>
      <c r="C703" s="17"/>
      <c r="D703" s="59"/>
      <c r="F703" s="17"/>
      <c r="G703" s="59"/>
    </row>
    <row r="704">
      <c r="B704" s="59"/>
      <c r="C704" s="17"/>
      <c r="D704" s="59"/>
      <c r="F704" s="17"/>
      <c r="G704" s="59"/>
    </row>
    <row r="705">
      <c r="B705" s="59"/>
      <c r="C705" s="17"/>
      <c r="D705" s="59"/>
      <c r="F705" s="17"/>
      <c r="G705" s="59"/>
    </row>
    <row r="706">
      <c r="B706" s="59"/>
      <c r="C706" s="17"/>
      <c r="D706" s="59"/>
      <c r="F706" s="17"/>
      <c r="G706" s="59"/>
    </row>
    <row r="707">
      <c r="B707" s="59"/>
      <c r="C707" s="17"/>
      <c r="D707" s="59"/>
      <c r="F707" s="17"/>
      <c r="G707" s="59"/>
    </row>
    <row r="708">
      <c r="B708" s="59"/>
      <c r="C708" s="17"/>
      <c r="D708" s="59"/>
      <c r="F708" s="17"/>
      <c r="G708" s="59"/>
    </row>
    <row r="709">
      <c r="B709" s="59"/>
      <c r="C709" s="17"/>
      <c r="D709" s="59"/>
      <c r="F709" s="17"/>
      <c r="G709" s="59"/>
    </row>
    <row r="710">
      <c r="B710" s="59"/>
      <c r="C710" s="17"/>
      <c r="D710" s="59"/>
      <c r="F710" s="17"/>
      <c r="G710" s="59"/>
    </row>
    <row r="711">
      <c r="B711" s="59"/>
      <c r="C711" s="17"/>
      <c r="D711" s="59"/>
      <c r="F711" s="17"/>
      <c r="G711" s="59"/>
    </row>
    <row r="712">
      <c r="B712" s="59"/>
      <c r="C712" s="17"/>
      <c r="D712" s="59"/>
      <c r="F712" s="17"/>
      <c r="G712" s="59"/>
    </row>
    <row r="713">
      <c r="B713" s="59"/>
      <c r="C713" s="17"/>
      <c r="D713" s="59"/>
      <c r="F713" s="17"/>
      <c r="G713" s="59"/>
    </row>
    <row r="714">
      <c r="B714" s="59"/>
      <c r="C714" s="17"/>
      <c r="D714" s="59"/>
      <c r="F714" s="17"/>
      <c r="G714" s="59"/>
    </row>
    <row r="715">
      <c r="B715" s="59"/>
      <c r="C715" s="17"/>
      <c r="D715" s="59"/>
      <c r="F715" s="17"/>
      <c r="G715" s="59"/>
    </row>
    <row r="716">
      <c r="B716" s="59"/>
      <c r="C716" s="17"/>
      <c r="D716" s="59"/>
      <c r="F716" s="17"/>
      <c r="G716" s="59"/>
    </row>
    <row r="717">
      <c r="B717" s="59"/>
      <c r="C717" s="17"/>
      <c r="D717" s="59"/>
      <c r="F717" s="17"/>
      <c r="G717" s="59"/>
    </row>
    <row r="718">
      <c r="B718" s="59"/>
      <c r="C718" s="17"/>
      <c r="D718" s="59"/>
      <c r="F718" s="17"/>
      <c r="G718" s="59"/>
    </row>
    <row r="719">
      <c r="B719" s="59"/>
      <c r="C719" s="17"/>
      <c r="D719" s="59"/>
      <c r="F719" s="17"/>
      <c r="G719" s="59"/>
    </row>
    <row r="720">
      <c r="B720" s="59"/>
      <c r="C720" s="17"/>
      <c r="D720" s="59"/>
      <c r="F720" s="17"/>
      <c r="G720" s="59"/>
    </row>
    <row r="721">
      <c r="B721" s="59"/>
      <c r="C721" s="17"/>
      <c r="D721" s="59"/>
      <c r="F721" s="17"/>
      <c r="G721" s="59"/>
    </row>
    <row r="722">
      <c r="B722" s="59"/>
      <c r="C722" s="17"/>
      <c r="D722" s="59"/>
      <c r="F722" s="17"/>
      <c r="G722" s="59"/>
    </row>
    <row r="723">
      <c r="B723" s="59"/>
      <c r="C723" s="17"/>
      <c r="D723" s="59"/>
      <c r="F723" s="17"/>
      <c r="G723" s="59"/>
    </row>
    <row r="724">
      <c r="B724" s="59"/>
      <c r="C724" s="17"/>
      <c r="D724" s="59"/>
      <c r="F724" s="17"/>
      <c r="G724" s="59"/>
    </row>
    <row r="725">
      <c r="B725" s="59"/>
      <c r="C725" s="17"/>
      <c r="D725" s="59"/>
      <c r="F725" s="17"/>
      <c r="G725" s="59"/>
    </row>
    <row r="726">
      <c r="B726" s="59"/>
      <c r="C726" s="17"/>
      <c r="D726" s="59"/>
      <c r="F726" s="17"/>
      <c r="G726" s="59"/>
    </row>
    <row r="727">
      <c r="B727" s="59"/>
      <c r="C727" s="17"/>
      <c r="D727" s="59"/>
      <c r="F727" s="17"/>
      <c r="G727" s="59"/>
    </row>
    <row r="728">
      <c r="B728" s="59"/>
      <c r="C728" s="17"/>
      <c r="D728" s="59"/>
      <c r="F728" s="17"/>
      <c r="G728" s="59"/>
    </row>
    <row r="729">
      <c r="B729" s="59"/>
      <c r="C729" s="17"/>
      <c r="D729" s="59"/>
      <c r="F729" s="17"/>
      <c r="G729" s="59"/>
    </row>
    <row r="730">
      <c r="B730" s="59"/>
      <c r="C730" s="17"/>
      <c r="D730" s="59"/>
      <c r="F730" s="17"/>
      <c r="G730" s="59"/>
    </row>
    <row r="731">
      <c r="B731" s="59"/>
      <c r="C731" s="17"/>
      <c r="D731" s="59"/>
      <c r="F731" s="17"/>
      <c r="G731" s="59"/>
    </row>
    <row r="732">
      <c r="B732" s="59"/>
      <c r="C732" s="17"/>
      <c r="D732" s="59"/>
      <c r="F732" s="17"/>
      <c r="G732" s="59"/>
    </row>
    <row r="733">
      <c r="B733" s="59"/>
      <c r="C733" s="17"/>
      <c r="D733" s="59"/>
      <c r="F733" s="17"/>
      <c r="G733" s="59"/>
    </row>
    <row r="734">
      <c r="B734" s="59"/>
      <c r="C734" s="17"/>
      <c r="D734" s="59"/>
      <c r="F734" s="17"/>
      <c r="G734" s="59"/>
    </row>
    <row r="735">
      <c r="B735" s="59"/>
      <c r="C735" s="17"/>
      <c r="D735" s="59"/>
      <c r="F735" s="17"/>
      <c r="G735" s="59"/>
    </row>
    <row r="736">
      <c r="B736" s="59"/>
      <c r="C736" s="17"/>
      <c r="D736" s="59"/>
      <c r="F736" s="17"/>
      <c r="G736" s="59"/>
    </row>
    <row r="737">
      <c r="B737" s="59"/>
      <c r="C737" s="17"/>
      <c r="D737" s="59"/>
      <c r="F737" s="17"/>
      <c r="G737" s="59"/>
    </row>
    <row r="738">
      <c r="B738" s="59"/>
      <c r="C738" s="17"/>
      <c r="D738" s="59"/>
      <c r="F738" s="17"/>
      <c r="G738" s="59"/>
    </row>
    <row r="739">
      <c r="B739" s="59"/>
      <c r="C739" s="17"/>
      <c r="D739" s="59"/>
      <c r="F739" s="17"/>
      <c r="G739" s="59"/>
    </row>
    <row r="740">
      <c r="B740" s="59"/>
      <c r="C740" s="17"/>
      <c r="D740" s="59"/>
      <c r="F740" s="17"/>
      <c r="G740" s="59"/>
    </row>
    <row r="741">
      <c r="B741" s="59"/>
      <c r="C741" s="17"/>
      <c r="D741" s="59"/>
      <c r="F741" s="17"/>
      <c r="G741" s="59"/>
    </row>
    <row r="742">
      <c r="B742" s="59"/>
      <c r="C742" s="17"/>
      <c r="D742" s="59"/>
      <c r="F742" s="17"/>
      <c r="G742" s="59"/>
    </row>
    <row r="743">
      <c r="B743" s="59"/>
      <c r="C743" s="17"/>
      <c r="D743" s="59"/>
      <c r="F743" s="17"/>
      <c r="G743" s="59"/>
    </row>
    <row r="744">
      <c r="B744" s="59"/>
      <c r="C744" s="17"/>
      <c r="D744" s="59"/>
      <c r="F744" s="17"/>
      <c r="G744" s="59"/>
    </row>
    <row r="745">
      <c r="B745" s="59"/>
      <c r="C745" s="17"/>
      <c r="D745" s="59"/>
      <c r="F745" s="17"/>
      <c r="G745" s="59"/>
    </row>
    <row r="746">
      <c r="B746" s="59"/>
      <c r="C746" s="17"/>
      <c r="D746" s="59"/>
      <c r="F746" s="17"/>
      <c r="G746" s="59"/>
    </row>
    <row r="747">
      <c r="B747" s="59"/>
      <c r="C747" s="17"/>
      <c r="D747" s="59"/>
      <c r="F747" s="17"/>
      <c r="G747" s="59"/>
    </row>
    <row r="748">
      <c r="B748" s="59"/>
      <c r="C748" s="17"/>
      <c r="D748" s="59"/>
      <c r="F748" s="17"/>
      <c r="G748" s="59"/>
    </row>
    <row r="749">
      <c r="B749" s="59"/>
      <c r="C749" s="17"/>
      <c r="D749" s="59"/>
      <c r="F749" s="17"/>
      <c r="G749" s="59"/>
    </row>
    <row r="750">
      <c r="B750" s="59"/>
      <c r="C750" s="17"/>
      <c r="D750" s="59"/>
      <c r="F750" s="17"/>
      <c r="G750" s="59"/>
    </row>
    <row r="751">
      <c r="B751" s="59"/>
      <c r="C751" s="17"/>
      <c r="D751" s="59"/>
      <c r="F751" s="17"/>
      <c r="G751" s="59"/>
    </row>
    <row r="752">
      <c r="B752" s="59"/>
      <c r="C752" s="17"/>
      <c r="D752" s="59"/>
      <c r="F752" s="17"/>
      <c r="G752" s="59"/>
    </row>
    <row r="753">
      <c r="B753" s="59"/>
      <c r="C753" s="17"/>
      <c r="D753" s="59"/>
      <c r="F753" s="17"/>
      <c r="G753" s="59"/>
    </row>
    <row r="754">
      <c r="B754" s="59"/>
      <c r="C754" s="17"/>
      <c r="D754" s="59"/>
      <c r="F754" s="17"/>
      <c r="G754" s="59"/>
    </row>
    <row r="755">
      <c r="B755" s="59"/>
      <c r="C755" s="17"/>
      <c r="D755" s="59"/>
      <c r="F755" s="17"/>
      <c r="G755" s="59"/>
    </row>
    <row r="756">
      <c r="B756" s="59"/>
      <c r="C756" s="17"/>
      <c r="D756" s="59"/>
      <c r="F756" s="17"/>
      <c r="G756" s="59"/>
    </row>
    <row r="757">
      <c r="B757" s="59"/>
      <c r="C757" s="17"/>
      <c r="D757" s="59"/>
      <c r="F757" s="17"/>
      <c r="G757" s="59"/>
    </row>
    <row r="758">
      <c r="B758" s="59"/>
      <c r="C758" s="17"/>
      <c r="D758" s="59"/>
      <c r="F758" s="17"/>
      <c r="G758" s="59"/>
    </row>
    <row r="759">
      <c r="B759" s="59"/>
      <c r="C759" s="17"/>
      <c r="D759" s="59"/>
      <c r="F759" s="17"/>
      <c r="G759" s="59"/>
    </row>
    <row r="760">
      <c r="B760" s="59"/>
      <c r="C760" s="17"/>
      <c r="D760" s="59"/>
      <c r="F760" s="17"/>
      <c r="G760" s="59"/>
    </row>
    <row r="761">
      <c r="B761" s="59"/>
      <c r="C761" s="17"/>
      <c r="D761" s="59"/>
      <c r="F761" s="17"/>
      <c r="G761" s="59"/>
    </row>
    <row r="762">
      <c r="B762" s="59"/>
      <c r="C762" s="17"/>
      <c r="D762" s="59"/>
      <c r="F762" s="17"/>
      <c r="G762" s="59"/>
    </row>
    <row r="763">
      <c r="B763" s="59"/>
      <c r="C763" s="17"/>
      <c r="D763" s="59"/>
      <c r="F763" s="17"/>
      <c r="G763" s="59"/>
    </row>
    <row r="764">
      <c r="B764" s="59"/>
      <c r="C764" s="17"/>
      <c r="D764" s="59"/>
      <c r="F764" s="17"/>
      <c r="G764" s="59"/>
    </row>
    <row r="765">
      <c r="B765" s="59"/>
      <c r="C765" s="17"/>
      <c r="D765" s="59"/>
      <c r="F765" s="17"/>
      <c r="G765" s="59"/>
    </row>
    <row r="766">
      <c r="B766" s="59"/>
      <c r="C766" s="17"/>
      <c r="D766" s="59"/>
      <c r="F766" s="17"/>
      <c r="G766" s="59"/>
    </row>
    <row r="767">
      <c r="B767" s="59"/>
      <c r="C767" s="17"/>
      <c r="D767" s="59"/>
      <c r="F767" s="17"/>
      <c r="G767" s="59"/>
    </row>
    <row r="768">
      <c r="B768" s="59"/>
      <c r="C768" s="17"/>
      <c r="D768" s="59"/>
      <c r="F768" s="17"/>
      <c r="G768" s="59"/>
    </row>
    <row r="769">
      <c r="B769" s="59"/>
      <c r="C769" s="17"/>
      <c r="D769" s="59"/>
      <c r="F769" s="17"/>
      <c r="G769" s="59"/>
    </row>
    <row r="770">
      <c r="B770" s="59"/>
      <c r="C770" s="17"/>
      <c r="D770" s="59"/>
      <c r="F770" s="17"/>
      <c r="G770" s="59"/>
    </row>
    <row r="771">
      <c r="B771" s="59"/>
      <c r="C771" s="17"/>
      <c r="D771" s="59"/>
      <c r="F771" s="17"/>
      <c r="G771" s="59"/>
    </row>
    <row r="772">
      <c r="B772" s="59"/>
      <c r="C772" s="17"/>
      <c r="D772" s="59"/>
      <c r="F772" s="17"/>
      <c r="G772" s="59"/>
    </row>
    <row r="773">
      <c r="B773" s="59"/>
      <c r="C773" s="17"/>
      <c r="D773" s="59"/>
      <c r="F773" s="17"/>
      <c r="G773" s="59"/>
    </row>
    <row r="774">
      <c r="B774" s="59"/>
      <c r="C774" s="17"/>
      <c r="D774" s="59"/>
      <c r="F774" s="17"/>
      <c r="G774" s="59"/>
    </row>
    <row r="775">
      <c r="B775" s="59"/>
      <c r="C775" s="17"/>
      <c r="D775" s="59"/>
      <c r="F775" s="17"/>
      <c r="G775" s="59"/>
    </row>
    <row r="776">
      <c r="B776" s="59"/>
      <c r="C776" s="17"/>
      <c r="D776" s="59"/>
      <c r="F776" s="17"/>
      <c r="G776" s="59"/>
    </row>
    <row r="777">
      <c r="B777" s="59"/>
      <c r="C777" s="17"/>
      <c r="D777" s="59"/>
      <c r="F777" s="17"/>
      <c r="G777" s="59"/>
    </row>
    <row r="778">
      <c r="B778" s="59"/>
      <c r="C778" s="17"/>
      <c r="D778" s="59"/>
      <c r="F778" s="17"/>
      <c r="G778" s="59"/>
    </row>
    <row r="779">
      <c r="B779" s="59"/>
      <c r="C779" s="17"/>
      <c r="D779" s="59"/>
      <c r="F779" s="17"/>
      <c r="G779" s="59"/>
    </row>
    <row r="780">
      <c r="B780" s="59"/>
      <c r="C780" s="17"/>
      <c r="D780" s="59"/>
      <c r="F780" s="17"/>
      <c r="G780" s="59"/>
    </row>
    <row r="781">
      <c r="B781" s="59"/>
      <c r="C781" s="17"/>
      <c r="D781" s="59"/>
      <c r="F781" s="17"/>
      <c r="G781" s="59"/>
    </row>
    <row r="782">
      <c r="B782" s="59"/>
      <c r="C782" s="17"/>
      <c r="D782" s="59"/>
      <c r="F782" s="17"/>
      <c r="G782" s="59"/>
    </row>
    <row r="783">
      <c r="B783" s="59"/>
      <c r="C783" s="17"/>
      <c r="D783" s="59"/>
      <c r="F783" s="17"/>
      <c r="G783" s="59"/>
    </row>
    <row r="784">
      <c r="B784" s="59"/>
      <c r="C784" s="17"/>
      <c r="D784" s="59"/>
      <c r="F784" s="17"/>
      <c r="G784" s="59"/>
    </row>
    <row r="785">
      <c r="B785" s="59"/>
      <c r="C785" s="17"/>
      <c r="D785" s="59"/>
      <c r="F785" s="17"/>
      <c r="G785" s="59"/>
    </row>
    <row r="786">
      <c r="B786" s="59"/>
      <c r="C786" s="17"/>
      <c r="D786" s="59"/>
      <c r="F786" s="17"/>
      <c r="G786" s="59"/>
    </row>
    <row r="787">
      <c r="B787" s="59"/>
      <c r="C787" s="17"/>
      <c r="D787" s="59"/>
      <c r="F787" s="17"/>
      <c r="G787" s="59"/>
    </row>
    <row r="788">
      <c r="B788" s="59"/>
      <c r="C788" s="17"/>
      <c r="D788" s="59"/>
      <c r="F788" s="17"/>
      <c r="G788" s="59"/>
    </row>
    <row r="789">
      <c r="B789" s="59"/>
      <c r="C789" s="17"/>
      <c r="D789" s="59"/>
      <c r="F789" s="17"/>
      <c r="G789" s="59"/>
    </row>
    <row r="790">
      <c r="B790" s="59"/>
      <c r="C790" s="17"/>
      <c r="D790" s="59"/>
      <c r="F790" s="17"/>
      <c r="G790" s="59"/>
    </row>
    <row r="791">
      <c r="B791" s="59"/>
      <c r="C791" s="17"/>
      <c r="D791" s="59"/>
      <c r="F791" s="17"/>
      <c r="G791" s="59"/>
    </row>
    <row r="792">
      <c r="B792" s="59"/>
      <c r="C792" s="17"/>
      <c r="D792" s="59"/>
      <c r="F792" s="17"/>
      <c r="G792" s="59"/>
    </row>
    <row r="793">
      <c r="B793" s="59"/>
      <c r="C793" s="17"/>
      <c r="D793" s="59"/>
      <c r="F793" s="17"/>
      <c r="G793" s="59"/>
    </row>
    <row r="794">
      <c r="B794" s="59"/>
      <c r="C794" s="17"/>
      <c r="D794" s="59"/>
      <c r="F794" s="17"/>
      <c r="G794" s="59"/>
    </row>
    <row r="795">
      <c r="B795" s="59"/>
      <c r="C795" s="17"/>
      <c r="D795" s="59"/>
      <c r="F795" s="17"/>
      <c r="G795" s="59"/>
    </row>
    <row r="796">
      <c r="B796" s="59"/>
      <c r="C796" s="17"/>
      <c r="D796" s="59"/>
      <c r="F796" s="17"/>
      <c r="G796" s="59"/>
    </row>
    <row r="797">
      <c r="B797" s="59"/>
      <c r="C797" s="17"/>
      <c r="D797" s="59"/>
      <c r="F797" s="17"/>
      <c r="G797" s="59"/>
    </row>
    <row r="798">
      <c r="B798" s="59"/>
      <c r="C798" s="17"/>
      <c r="D798" s="59"/>
      <c r="F798" s="17"/>
      <c r="G798" s="59"/>
    </row>
    <row r="799">
      <c r="B799" s="59"/>
      <c r="C799" s="17"/>
      <c r="D799" s="59"/>
      <c r="F799" s="17"/>
      <c r="G799" s="59"/>
    </row>
    <row r="800">
      <c r="B800" s="59"/>
      <c r="C800" s="17"/>
      <c r="D800" s="59"/>
      <c r="F800" s="17"/>
      <c r="G800" s="59"/>
    </row>
    <row r="801">
      <c r="B801" s="59"/>
      <c r="C801" s="17"/>
      <c r="D801" s="59"/>
      <c r="F801" s="17"/>
      <c r="G801" s="59"/>
    </row>
    <row r="802">
      <c r="B802" s="59"/>
      <c r="C802" s="17"/>
      <c r="D802" s="59"/>
      <c r="F802" s="17"/>
      <c r="G802" s="59"/>
    </row>
    <row r="803">
      <c r="B803" s="59"/>
      <c r="C803" s="17"/>
      <c r="D803" s="59"/>
      <c r="F803" s="17"/>
      <c r="G803" s="59"/>
    </row>
    <row r="804">
      <c r="B804" s="59"/>
      <c r="C804" s="17"/>
      <c r="D804" s="59"/>
      <c r="F804" s="17"/>
      <c r="G804" s="59"/>
    </row>
    <row r="805">
      <c r="B805" s="59"/>
      <c r="C805" s="17"/>
      <c r="D805" s="59"/>
      <c r="F805" s="17"/>
      <c r="G805" s="59"/>
    </row>
    <row r="806">
      <c r="B806" s="59"/>
      <c r="C806" s="17"/>
      <c r="D806" s="59"/>
      <c r="F806" s="17"/>
      <c r="G806" s="59"/>
    </row>
    <row r="807">
      <c r="B807" s="59"/>
      <c r="C807" s="17"/>
      <c r="D807" s="59"/>
      <c r="F807" s="17"/>
      <c r="G807" s="59"/>
    </row>
    <row r="808">
      <c r="B808" s="59"/>
      <c r="C808" s="17"/>
      <c r="D808" s="59"/>
      <c r="F808" s="17"/>
      <c r="G808" s="59"/>
    </row>
    <row r="809">
      <c r="B809" s="59"/>
      <c r="C809" s="17"/>
      <c r="D809" s="59"/>
      <c r="F809" s="17"/>
      <c r="G809" s="59"/>
    </row>
    <row r="810">
      <c r="B810" s="59"/>
      <c r="C810" s="17"/>
      <c r="D810" s="59"/>
      <c r="F810" s="17"/>
      <c r="G810" s="59"/>
    </row>
    <row r="811">
      <c r="B811" s="59"/>
      <c r="C811" s="17"/>
      <c r="D811" s="59"/>
      <c r="F811" s="17"/>
      <c r="G811" s="59"/>
    </row>
    <row r="812">
      <c r="B812" s="59"/>
      <c r="C812" s="17"/>
      <c r="D812" s="59"/>
      <c r="F812" s="17"/>
      <c r="G812" s="59"/>
    </row>
    <row r="813">
      <c r="B813" s="59"/>
      <c r="C813" s="17"/>
      <c r="D813" s="59"/>
      <c r="F813" s="17"/>
      <c r="G813" s="59"/>
    </row>
    <row r="814">
      <c r="B814" s="59"/>
      <c r="C814" s="17"/>
      <c r="D814" s="59"/>
      <c r="F814" s="17"/>
      <c r="G814" s="59"/>
    </row>
    <row r="815">
      <c r="B815" s="59"/>
      <c r="C815" s="17"/>
      <c r="D815" s="59"/>
      <c r="F815" s="17"/>
      <c r="G815" s="59"/>
    </row>
    <row r="816">
      <c r="B816" s="59"/>
      <c r="C816" s="17"/>
      <c r="D816" s="59"/>
      <c r="F816" s="17"/>
      <c r="G816" s="59"/>
    </row>
    <row r="817">
      <c r="B817" s="59"/>
      <c r="C817" s="17"/>
      <c r="D817" s="59"/>
      <c r="F817" s="17"/>
      <c r="G817" s="59"/>
    </row>
    <row r="818">
      <c r="B818" s="59"/>
      <c r="C818" s="17"/>
      <c r="D818" s="59"/>
      <c r="F818" s="17"/>
      <c r="G818" s="59"/>
    </row>
    <row r="819">
      <c r="B819" s="59"/>
      <c r="C819" s="17"/>
      <c r="D819" s="59"/>
      <c r="F819" s="17"/>
      <c r="G819" s="59"/>
    </row>
    <row r="820">
      <c r="B820" s="59"/>
      <c r="C820" s="17"/>
      <c r="D820" s="59"/>
      <c r="F820" s="17"/>
      <c r="G820" s="59"/>
    </row>
    <row r="821">
      <c r="B821" s="59"/>
      <c r="C821" s="17"/>
      <c r="D821" s="59"/>
      <c r="F821" s="17"/>
      <c r="G821" s="59"/>
    </row>
    <row r="822">
      <c r="B822" s="59"/>
      <c r="C822" s="17"/>
      <c r="D822" s="59"/>
      <c r="F822" s="17"/>
      <c r="G822" s="59"/>
    </row>
    <row r="823">
      <c r="B823" s="59"/>
      <c r="C823" s="17"/>
      <c r="D823" s="59"/>
      <c r="F823" s="17"/>
      <c r="G823" s="59"/>
    </row>
    <row r="824">
      <c r="B824" s="59"/>
      <c r="C824" s="17"/>
      <c r="D824" s="59"/>
      <c r="F824" s="17"/>
      <c r="G824" s="59"/>
    </row>
    <row r="825">
      <c r="B825" s="59"/>
      <c r="C825" s="17"/>
      <c r="D825" s="59"/>
      <c r="F825" s="17"/>
      <c r="G825" s="59"/>
    </row>
    <row r="826">
      <c r="B826" s="59"/>
      <c r="C826" s="17"/>
      <c r="D826" s="59"/>
      <c r="F826" s="17"/>
      <c r="G826" s="59"/>
    </row>
    <row r="827">
      <c r="B827" s="59"/>
      <c r="C827" s="17"/>
      <c r="D827" s="59"/>
      <c r="F827" s="17"/>
      <c r="G827" s="59"/>
    </row>
    <row r="828">
      <c r="B828" s="59"/>
      <c r="C828" s="17"/>
      <c r="D828" s="59"/>
      <c r="F828" s="17"/>
      <c r="G828" s="59"/>
    </row>
    <row r="829">
      <c r="B829" s="59"/>
      <c r="C829" s="17"/>
      <c r="D829" s="59"/>
      <c r="F829" s="17"/>
      <c r="G829" s="59"/>
    </row>
    <row r="830">
      <c r="B830" s="59"/>
      <c r="C830" s="17"/>
      <c r="D830" s="59"/>
      <c r="F830" s="17"/>
      <c r="G830" s="59"/>
    </row>
    <row r="831">
      <c r="B831" s="59"/>
      <c r="C831" s="17"/>
      <c r="D831" s="59"/>
      <c r="F831" s="17"/>
      <c r="G831" s="59"/>
    </row>
    <row r="832">
      <c r="B832" s="59"/>
      <c r="C832" s="17"/>
      <c r="D832" s="59"/>
      <c r="F832" s="17"/>
      <c r="G832" s="59"/>
    </row>
    <row r="833">
      <c r="B833" s="59"/>
      <c r="C833" s="17"/>
      <c r="D833" s="59"/>
      <c r="F833" s="17"/>
      <c r="G833" s="59"/>
    </row>
    <row r="834">
      <c r="B834" s="59"/>
      <c r="C834" s="17"/>
      <c r="D834" s="59"/>
      <c r="F834" s="17"/>
      <c r="G834" s="59"/>
    </row>
    <row r="835">
      <c r="B835" s="59"/>
      <c r="C835" s="17"/>
      <c r="D835" s="59"/>
      <c r="F835" s="17"/>
      <c r="G835" s="59"/>
    </row>
    <row r="836">
      <c r="B836" s="59"/>
      <c r="C836" s="17"/>
      <c r="D836" s="59"/>
      <c r="F836" s="17"/>
      <c r="G836" s="59"/>
    </row>
    <row r="837">
      <c r="B837" s="59"/>
      <c r="C837" s="17"/>
      <c r="D837" s="59"/>
      <c r="F837" s="17"/>
      <c r="G837" s="59"/>
    </row>
    <row r="838">
      <c r="B838" s="59"/>
      <c r="C838" s="17"/>
      <c r="D838" s="59"/>
      <c r="F838" s="17"/>
      <c r="G838" s="59"/>
    </row>
    <row r="839">
      <c r="B839" s="59"/>
      <c r="C839" s="17"/>
      <c r="D839" s="59"/>
      <c r="F839" s="17"/>
      <c r="G839" s="59"/>
    </row>
    <row r="840">
      <c r="B840" s="59"/>
      <c r="C840" s="17"/>
      <c r="D840" s="59"/>
      <c r="F840" s="17"/>
      <c r="G840" s="59"/>
    </row>
    <row r="841">
      <c r="B841" s="59"/>
      <c r="C841" s="17"/>
      <c r="D841" s="59"/>
      <c r="F841" s="17"/>
      <c r="G841" s="59"/>
    </row>
    <row r="842">
      <c r="B842" s="59"/>
      <c r="C842" s="17"/>
      <c r="D842" s="59"/>
      <c r="F842" s="17"/>
      <c r="G842" s="59"/>
    </row>
    <row r="843">
      <c r="B843" s="59"/>
      <c r="C843" s="17"/>
      <c r="D843" s="59"/>
      <c r="F843" s="17"/>
      <c r="G843" s="59"/>
    </row>
    <row r="844">
      <c r="B844" s="59"/>
      <c r="C844" s="17"/>
      <c r="D844" s="59"/>
      <c r="F844" s="17"/>
      <c r="G844" s="59"/>
    </row>
    <row r="845">
      <c r="B845" s="59"/>
      <c r="C845" s="17"/>
      <c r="D845" s="59"/>
      <c r="F845" s="17"/>
      <c r="G845" s="59"/>
    </row>
    <row r="846">
      <c r="B846" s="59"/>
      <c r="C846" s="17"/>
      <c r="D846" s="59"/>
      <c r="F846" s="17"/>
      <c r="G846" s="59"/>
    </row>
    <row r="847">
      <c r="B847" s="59"/>
      <c r="C847" s="17"/>
      <c r="D847" s="59"/>
      <c r="F847" s="17"/>
      <c r="G847" s="59"/>
    </row>
    <row r="848">
      <c r="B848" s="59"/>
      <c r="C848" s="17"/>
      <c r="D848" s="59"/>
      <c r="F848" s="17"/>
      <c r="G848" s="59"/>
    </row>
    <row r="849">
      <c r="B849" s="59"/>
      <c r="C849" s="17"/>
      <c r="D849" s="59"/>
      <c r="F849" s="17"/>
      <c r="G849" s="59"/>
    </row>
    <row r="850">
      <c r="B850" s="59"/>
      <c r="C850" s="17"/>
      <c r="D850" s="59"/>
      <c r="F850" s="17"/>
      <c r="G850" s="59"/>
    </row>
    <row r="851">
      <c r="B851" s="59"/>
      <c r="C851" s="17"/>
      <c r="D851" s="59"/>
      <c r="F851" s="17"/>
      <c r="G851" s="59"/>
    </row>
    <row r="852">
      <c r="B852" s="59"/>
      <c r="C852" s="17"/>
      <c r="D852" s="59"/>
      <c r="F852" s="17"/>
      <c r="G852" s="59"/>
    </row>
    <row r="853">
      <c r="B853" s="59"/>
      <c r="C853" s="17"/>
      <c r="D853" s="59"/>
      <c r="F853" s="17"/>
      <c r="G853" s="59"/>
    </row>
    <row r="854">
      <c r="B854" s="59"/>
      <c r="C854" s="17"/>
      <c r="D854" s="59"/>
      <c r="F854" s="17"/>
      <c r="G854" s="59"/>
    </row>
    <row r="855">
      <c r="B855" s="59"/>
      <c r="C855" s="17"/>
      <c r="D855" s="59"/>
      <c r="F855" s="17"/>
      <c r="G855" s="59"/>
    </row>
    <row r="856">
      <c r="B856" s="59"/>
      <c r="C856" s="17"/>
      <c r="D856" s="59"/>
      <c r="F856" s="17"/>
      <c r="G856" s="59"/>
    </row>
    <row r="857">
      <c r="B857" s="59"/>
      <c r="C857" s="17"/>
      <c r="D857" s="59"/>
      <c r="F857" s="17"/>
      <c r="G857" s="59"/>
    </row>
    <row r="858">
      <c r="B858" s="59"/>
      <c r="C858" s="17"/>
      <c r="D858" s="59"/>
      <c r="F858" s="17"/>
      <c r="G858" s="59"/>
    </row>
    <row r="859">
      <c r="B859" s="59"/>
      <c r="C859" s="17"/>
      <c r="D859" s="59"/>
      <c r="F859" s="17"/>
      <c r="G859" s="59"/>
    </row>
    <row r="860">
      <c r="B860" s="59"/>
      <c r="C860" s="17"/>
      <c r="D860" s="59"/>
      <c r="F860" s="17"/>
      <c r="G860" s="59"/>
    </row>
    <row r="861">
      <c r="B861" s="59"/>
      <c r="C861" s="17"/>
      <c r="D861" s="59"/>
      <c r="F861" s="17"/>
      <c r="G861" s="59"/>
    </row>
    <row r="862">
      <c r="B862" s="59"/>
      <c r="C862" s="17"/>
      <c r="D862" s="59"/>
      <c r="F862" s="17"/>
      <c r="G862" s="59"/>
    </row>
    <row r="863">
      <c r="B863" s="59"/>
      <c r="C863" s="17"/>
      <c r="D863" s="59"/>
      <c r="F863" s="17"/>
      <c r="G863" s="59"/>
    </row>
    <row r="864">
      <c r="B864" s="59"/>
      <c r="C864" s="17"/>
      <c r="D864" s="59"/>
      <c r="F864" s="17"/>
      <c r="G864" s="59"/>
    </row>
    <row r="865">
      <c r="B865" s="59"/>
      <c r="C865" s="17"/>
      <c r="D865" s="59"/>
      <c r="F865" s="17"/>
      <c r="G865" s="59"/>
    </row>
    <row r="866">
      <c r="B866" s="59"/>
      <c r="C866" s="17"/>
      <c r="D866" s="59"/>
      <c r="F866" s="17"/>
      <c r="G866" s="59"/>
    </row>
    <row r="867">
      <c r="B867" s="59"/>
      <c r="C867" s="17"/>
      <c r="D867" s="59"/>
      <c r="F867" s="17"/>
      <c r="G867" s="59"/>
    </row>
    <row r="868">
      <c r="B868" s="59"/>
      <c r="C868" s="17"/>
      <c r="D868" s="59"/>
      <c r="F868" s="17"/>
      <c r="G868" s="59"/>
    </row>
    <row r="869">
      <c r="B869" s="59"/>
      <c r="C869" s="17"/>
      <c r="D869" s="59"/>
      <c r="F869" s="17"/>
      <c r="G869" s="59"/>
    </row>
    <row r="870">
      <c r="B870" s="59"/>
      <c r="C870" s="17"/>
      <c r="D870" s="59"/>
      <c r="F870" s="17"/>
      <c r="G870" s="59"/>
    </row>
    <row r="871">
      <c r="B871" s="59"/>
      <c r="C871" s="17"/>
      <c r="D871" s="59"/>
      <c r="F871" s="17"/>
      <c r="G871" s="59"/>
    </row>
    <row r="872">
      <c r="B872" s="59"/>
      <c r="C872" s="17"/>
      <c r="D872" s="59"/>
      <c r="F872" s="17"/>
      <c r="G872" s="59"/>
    </row>
    <row r="873">
      <c r="B873" s="59"/>
      <c r="C873" s="17"/>
      <c r="D873" s="59"/>
      <c r="F873" s="17"/>
      <c r="G873" s="59"/>
    </row>
    <row r="874">
      <c r="B874" s="59"/>
      <c r="C874" s="17"/>
      <c r="D874" s="59"/>
      <c r="F874" s="17"/>
      <c r="G874" s="59"/>
    </row>
    <row r="875">
      <c r="B875" s="59"/>
      <c r="C875" s="17"/>
      <c r="D875" s="59"/>
      <c r="F875" s="17"/>
      <c r="G875" s="59"/>
    </row>
    <row r="876">
      <c r="B876" s="59"/>
      <c r="C876" s="17"/>
      <c r="D876" s="59"/>
      <c r="F876" s="17"/>
      <c r="G876" s="59"/>
    </row>
    <row r="877">
      <c r="B877" s="59"/>
      <c r="C877" s="17"/>
      <c r="D877" s="59"/>
      <c r="F877" s="17"/>
      <c r="G877" s="59"/>
    </row>
    <row r="878">
      <c r="B878" s="59"/>
      <c r="C878" s="17"/>
      <c r="D878" s="59"/>
      <c r="F878" s="17"/>
      <c r="G878" s="59"/>
    </row>
    <row r="879">
      <c r="B879" s="59"/>
      <c r="C879" s="17"/>
      <c r="D879" s="59"/>
      <c r="F879" s="17"/>
      <c r="G879" s="59"/>
    </row>
    <row r="880">
      <c r="B880" s="59"/>
      <c r="C880" s="17"/>
      <c r="D880" s="59"/>
      <c r="F880" s="17"/>
      <c r="G880" s="59"/>
    </row>
    <row r="881">
      <c r="B881" s="59"/>
      <c r="C881" s="17"/>
      <c r="D881" s="59"/>
      <c r="F881" s="17"/>
      <c r="G881" s="59"/>
    </row>
    <row r="882">
      <c r="B882" s="59"/>
      <c r="C882" s="17"/>
      <c r="D882" s="59"/>
      <c r="F882" s="17"/>
      <c r="G882" s="59"/>
    </row>
    <row r="883">
      <c r="B883" s="59"/>
      <c r="C883" s="17"/>
      <c r="D883" s="59"/>
      <c r="F883" s="17"/>
      <c r="G883" s="59"/>
    </row>
    <row r="884">
      <c r="B884" s="59"/>
      <c r="C884" s="17"/>
      <c r="D884" s="59"/>
      <c r="F884" s="17"/>
      <c r="G884" s="59"/>
    </row>
    <row r="885">
      <c r="B885" s="59"/>
      <c r="C885" s="17"/>
      <c r="D885" s="59"/>
      <c r="F885" s="17"/>
      <c r="G885" s="59"/>
    </row>
    <row r="886">
      <c r="B886" s="59"/>
      <c r="C886" s="17"/>
      <c r="D886" s="59"/>
      <c r="F886" s="17"/>
      <c r="G886" s="59"/>
    </row>
    <row r="887">
      <c r="B887" s="59"/>
      <c r="C887" s="17"/>
      <c r="D887" s="59"/>
      <c r="F887" s="17"/>
      <c r="G887" s="59"/>
    </row>
    <row r="888">
      <c r="B888" s="59"/>
      <c r="C888" s="17"/>
      <c r="D888" s="59"/>
      <c r="F888" s="17"/>
      <c r="G888" s="59"/>
    </row>
    <row r="889">
      <c r="B889" s="59"/>
      <c r="C889" s="17"/>
      <c r="D889" s="59"/>
      <c r="F889" s="17"/>
      <c r="G889" s="59"/>
    </row>
    <row r="890">
      <c r="B890" s="59"/>
      <c r="C890" s="17"/>
      <c r="D890" s="59"/>
      <c r="F890" s="17"/>
      <c r="G890" s="59"/>
    </row>
    <row r="891">
      <c r="B891" s="59"/>
      <c r="C891" s="17"/>
      <c r="D891" s="59"/>
      <c r="F891" s="17"/>
      <c r="G891" s="59"/>
    </row>
    <row r="892">
      <c r="B892" s="59"/>
      <c r="C892" s="17"/>
      <c r="D892" s="59"/>
      <c r="F892" s="17"/>
      <c r="G892" s="59"/>
    </row>
    <row r="893">
      <c r="B893" s="59"/>
      <c r="C893" s="17"/>
      <c r="D893" s="59"/>
      <c r="F893" s="17"/>
      <c r="G893" s="59"/>
    </row>
    <row r="894">
      <c r="B894" s="59"/>
      <c r="C894" s="17"/>
      <c r="D894" s="59"/>
      <c r="F894" s="17"/>
      <c r="G894" s="59"/>
    </row>
    <row r="895">
      <c r="B895" s="59"/>
      <c r="C895" s="17"/>
      <c r="D895" s="59"/>
      <c r="F895" s="17"/>
      <c r="G895" s="59"/>
    </row>
    <row r="896">
      <c r="B896" s="59"/>
      <c r="C896" s="17"/>
      <c r="D896" s="59"/>
      <c r="F896" s="17"/>
      <c r="G896" s="59"/>
    </row>
    <row r="897">
      <c r="B897" s="59"/>
      <c r="C897" s="17"/>
      <c r="D897" s="59"/>
      <c r="F897" s="17"/>
      <c r="G897" s="59"/>
    </row>
    <row r="898">
      <c r="B898" s="59"/>
      <c r="C898" s="17"/>
      <c r="D898" s="59"/>
      <c r="F898" s="17"/>
      <c r="G898" s="59"/>
    </row>
    <row r="899">
      <c r="B899" s="59"/>
      <c r="C899" s="17"/>
      <c r="D899" s="59"/>
      <c r="F899" s="17"/>
      <c r="G899" s="59"/>
    </row>
    <row r="900">
      <c r="B900" s="59"/>
      <c r="C900" s="17"/>
      <c r="D900" s="59"/>
      <c r="F900" s="17"/>
      <c r="G900" s="59"/>
    </row>
    <row r="901">
      <c r="B901" s="59"/>
      <c r="C901" s="17"/>
      <c r="D901" s="59"/>
      <c r="F901" s="17"/>
      <c r="G901" s="59"/>
    </row>
    <row r="902">
      <c r="B902" s="59"/>
      <c r="C902" s="17"/>
      <c r="D902" s="59"/>
      <c r="F902" s="17"/>
      <c r="G902" s="59"/>
    </row>
    <row r="903">
      <c r="B903" s="59"/>
      <c r="C903" s="17"/>
      <c r="D903" s="59"/>
      <c r="F903" s="17"/>
      <c r="G903" s="59"/>
    </row>
    <row r="904">
      <c r="B904" s="59"/>
      <c r="C904" s="17"/>
      <c r="D904" s="59"/>
      <c r="F904" s="17"/>
      <c r="G904" s="59"/>
    </row>
    <row r="905">
      <c r="B905" s="59"/>
      <c r="C905" s="17"/>
      <c r="D905" s="59"/>
      <c r="F905" s="17"/>
      <c r="G905" s="59"/>
    </row>
    <row r="906">
      <c r="B906" s="59"/>
      <c r="C906" s="17"/>
      <c r="D906" s="59"/>
      <c r="F906" s="17"/>
      <c r="G906" s="59"/>
    </row>
    <row r="907">
      <c r="B907" s="59"/>
      <c r="C907" s="17"/>
      <c r="D907" s="59"/>
      <c r="F907" s="17"/>
      <c r="G907" s="59"/>
    </row>
    <row r="908">
      <c r="B908" s="59"/>
      <c r="C908" s="17"/>
      <c r="D908" s="59"/>
      <c r="F908" s="17"/>
      <c r="G908" s="59"/>
    </row>
    <row r="909">
      <c r="B909" s="59"/>
      <c r="C909" s="17"/>
      <c r="D909" s="59"/>
      <c r="F909" s="17"/>
      <c r="G909" s="59"/>
    </row>
    <row r="910">
      <c r="B910" s="59"/>
      <c r="C910" s="17"/>
      <c r="D910" s="59"/>
      <c r="F910" s="17"/>
      <c r="G910" s="59"/>
    </row>
    <row r="911">
      <c r="B911" s="59"/>
      <c r="C911" s="17"/>
      <c r="D911" s="59"/>
      <c r="F911" s="17"/>
      <c r="G911" s="59"/>
    </row>
    <row r="912">
      <c r="B912" s="59"/>
      <c r="C912" s="17"/>
      <c r="D912" s="59"/>
      <c r="F912" s="17"/>
      <c r="G912" s="59"/>
    </row>
    <row r="913">
      <c r="B913" s="59"/>
      <c r="C913" s="17"/>
      <c r="D913" s="59"/>
      <c r="F913" s="17"/>
      <c r="G913" s="59"/>
    </row>
    <row r="914">
      <c r="B914" s="59"/>
      <c r="C914" s="17"/>
      <c r="D914" s="59"/>
      <c r="F914" s="17"/>
      <c r="G914" s="59"/>
    </row>
    <row r="915">
      <c r="B915" s="59"/>
      <c r="C915" s="17"/>
      <c r="D915" s="59"/>
      <c r="F915" s="17"/>
      <c r="G915" s="59"/>
    </row>
    <row r="916">
      <c r="B916" s="59"/>
      <c r="C916" s="17"/>
      <c r="D916" s="59"/>
      <c r="F916" s="17"/>
      <c r="G916" s="59"/>
    </row>
    <row r="917">
      <c r="B917" s="59"/>
      <c r="C917" s="17"/>
      <c r="D917" s="59"/>
      <c r="F917" s="17"/>
      <c r="G917" s="59"/>
    </row>
    <row r="918">
      <c r="B918" s="59"/>
      <c r="C918" s="17"/>
      <c r="D918" s="59"/>
      <c r="F918" s="17"/>
      <c r="G918" s="59"/>
    </row>
    <row r="919">
      <c r="B919" s="59"/>
      <c r="C919" s="17"/>
      <c r="D919" s="59"/>
      <c r="F919" s="17"/>
      <c r="G919" s="59"/>
    </row>
    <row r="920">
      <c r="B920" s="59"/>
      <c r="C920" s="17"/>
      <c r="D920" s="59"/>
      <c r="F920" s="17"/>
      <c r="G920" s="59"/>
    </row>
    <row r="921">
      <c r="B921" s="59"/>
      <c r="C921" s="17"/>
      <c r="D921" s="59"/>
      <c r="F921" s="17"/>
      <c r="G921" s="59"/>
    </row>
    <row r="922">
      <c r="B922" s="59"/>
      <c r="C922" s="17"/>
      <c r="D922" s="59"/>
      <c r="F922" s="17"/>
      <c r="G922" s="59"/>
    </row>
    <row r="923">
      <c r="B923" s="59"/>
      <c r="C923" s="17"/>
      <c r="D923" s="59"/>
      <c r="F923" s="17"/>
      <c r="G923" s="59"/>
    </row>
    <row r="924">
      <c r="B924" s="59"/>
      <c r="C924" s="17"/>
      <c r="D924" s="59"/>
      <c r="F924" s="17"/>
      <c r="G924" s="59"/>
    </row>
    <row r="925">
      <c r="B925" s="59"/>
      <c r="C925" s="17"/>
      <c r="D925" s="59"/>
      <c r="F925" s="17"/>
      <c r="G925" s="59"/>
    </row>
    <row r="926">
      <c r="B926" s="59"/>
      <c r="C926" s="17"/>
      <c r="D926" s="59"/>
      <c r="F926" s="17"/>
      <c r="G926" s="59"/>
    </row>
    <row r="927">
      <c r="B927" s="59"/>
      <c r="C927" s="17"/>
      <c r="D927" s="59"/>
      <c r="F927" s="17"/>
      <c r="G927" s="59"/>
    </row>
    <row r="928">
      <c r="B928" s="59"/>
      <c r="C928" s="17"/>
      <c r="D928" s="59"/>
      <c r="F928" s="17"/>
      <c r="G928" s="59"/>
    </row>
    <row r="929">
      <c r="B929" s="59"/>
      <c r="C929" s="17"/>
      <c r="D929" s="59"/>
      <c r="F929" s="17"/>
      <c r="G929" s="59"/>
    </row>
    <row r="930">
      <c r="B930" s="59"/>
      <c r="C930" s="17"/>
      <c r="D930" s="59"/>
      <c r="F930" s="17"/>
      <c r="G930" s="59"/>
    </row>
    <row r="931">
      <c r="B931" s="59"/>
      <c r="C931" s="17"/>
      <c r="D931" s="59"/>
      <c r="F931" s="17"/>
      <c r="G931" s="59"/>
    </row>
    <row r="932">
      <c r="B932" s="59"/>
      <c r="C932" s="17"/>
      <c r="D932" s="59"/>
      <c r="F932" s="17"/>
      <c r="G932" s="59"/>
    </row>
    <row r="933">
      <c r="B933" s="59"/>
      <c r="C933" s="17"/>
      <c r="D933" s="59"/>
      <c r="F933" s="17"/>
      <c r="G933" s="59"/>
    </row>
    <row r="934">
      <c r="B934" s="59"/>
      <c r="C934" s="17"/>
      <c r="D934" s="59"/>
      <c r="F934" s="17"/>
      <c r="G934" s="59"/>
    </row>
    <row r="935">
      <c r="B935" s="59"/>
      <c r="C935" s="17"/>
      <c r="D935" s="59"/>
      <c r="F935" s="17"/>
      <c r="G935" s="59"/>
    </row>
    <row r="936">
      <c r="B936" s="59"/>
      <c r="C936" s="17"/>
      <c r="D936" s="59"/>
      <c r="F936" s="17"/>
      <c r="G936" s="59"/>
    </row>
    <row r="937">
      <c r="B937" s="59"/>
      <c r="C937" s="17"/>
      <c r="D937" s="59"/>
      <c r="F937" s="17"/>
      <c r="G937" s="59"/>
    </row>
    <row r="938">
      <c r="B938" s="59"/>
      <c r="C938" s="17"/>
      <c r="D938" s="59"/>
      <c r="F938" s="17"/>
      <c r="G938" s="59"/>
    </row>
    <row r="939">
      <c r="B939" s="59"/>
      <c r="C939" s="17"/>
      <c r="D939" s="59"/>
      <c r="F939" s="17"/>
      <c r="G939" s="59"/>
    </row>
    <row r="940">
      <c r="B940" s="59"/>
      <c r="C940" s="17"/>
      <c r="D940" s="59"/>
      <c r="F940" s="17"/>
      <c r="G940" s="59"/>
    </row>
    <row r="941">
      <c r="B941" s="59"/>
      <c r="C941" s="17"/>
      <c r="D941" s="59"/>
      <c r="F941" s="17"/>
      <c r="G941" s="59"/>
    </row>
    <row r="942">
      <c r="B942" s="59"/>
      <c r="C942" s="17"/>
      <c r="D942" s="59"/>
      <c r="F942" s="17"/>
      <c r="G942" s="59"/>
    </row>
    <row r="943">
      <c r="B943" s="59"/>
      <c r="C943" s="17"/>
      <c r="D943" s="59"/>
      <c r="F943" s="17"/>
      <c r="G943" s="59"/>
    </row>
    <row r="944">
      <c r="B944" s="59"/>
      <c r="C944" s="17"/>
      <c r="D944" s="59"/>
      <c r="F944" s="17"/>
      <c r="G944" s="59"/>
    </row>
    <row r="945">
      <c r="B945" s="59"/>
      <c r="C945" s="17"/>
      <c r="D945" s="59"/>
      <c r="F945" s="17"/>
      <c r="G945" s="59"/>
    </row>
    <row r="946">
      <c r="B946" s="59"/>
      <c r="C946" s="17"/>
      <c r="D946" s="59"/>
      <c r="F946" s="17"/>
      <c r="G946" s="59"/>
    </row>
    <row r="947">
      <c r="B947" s="59"/>
      <c r="C947" s="17"/>
      <c r="D947" s="59"/>
      <c r="F947" s="17"/>
      <c r="G947" s="59"/>
    </row>
    <row r="948">
      <c r="B948" s="59"/>
      <c r="C948" s="17"/>
      <c r="D948" s="59"/>
      <c r="F948" s="17"/>
      <c r="G948" s="59"/>
    </row>
    <row r="949">
      <c r="B949" s="59"/>
      <c r="C949" s="17"/>
      <c r="D949" s="59"/>
      <c r="F949" s="17"/>
      <c r="G949" s="59"/>
    </row>
    <row r="950">
      <c r="B950" s="59"/>
      <c r="C950" s="17"/>
      <c r="D950" s="59"/>
      <c r="F950" s="17"/>
      <c r="G950" s="59"/>
    </row>
    <row r="951">
      <c r="B951" s="59"/>
      <c r="C951" s="17"/>
      <c r="D951" s="59"/>
      <c r="F951" s="17"/>
      <c r="G951" s="59"/>
    </row>
    <row r="952">
      <c r="B952" s="59"/>
      <c r="C952" s="17"/>
      <c r="D952" s="59"/>
      <c r="F952" s="17"/>
      <c r="G952" s="59"/>
    </row>
    <row r="953">
      <c r="B953" s="59"/>
      <c r="C953" s="17"/>
      <c r="D953" s="59"/>
      <c r="F953" s="17"/>
      <c r="G953" s="59"/>
    </row>
    <row r="954">
      <c r="B954" s="59"/>
      <c r="C954" s="17"/>
      <c r="D954" s="59"/>
      <c r="F954" s="17"/>
      <c r="G954" s="59"/>
    </row>
    <row r="955">
      <c r="B955" s="59"/>
      <c r="C955" s="17"/>
      <c r="D955" s="59"/>
      <c r="F955" s="17"/>
      <c r="G955" s="59"/>
    </row>
    <row r="956">
      <c r="B956" s="59"/>
      <c r="C956" s="17"/>
      <c r="D956" s="59"/>
      <c r="F956" s="17"/>
      <c r="G956" s="59"/>
    </row>
    <row r="957">
      <c r="B957" s="59"/>
      <c r="C957" s="17"/>
      <c r="D957" s="59"/>
      <c r="F957" s="17"/>
      <c r="G957" s="59"/>
    </row>
    <row r="958">
      <c r="B958" s="59"/>
      <c r="C958" s="17"/>
      <c r="D958" s="59"/>
      <c r="F958" s="17"/>
      <c r="G958" s="59"/>
    </row>
    <row r="959">
      <c r="B959" s="59"/>
      <c r="C959" s="17"/>
      <c r="D959" s="59"/>
      <c r="F959" s="17"/>
      <c r="G959" s="59"/>
    </row>
    <row r="960">
      <c r="B960" s="59"/>
      <c r="C960" s="17"/>
      <c r="D960" s="59"/>
      <c r="F960" s="17"/>
      <c r="G960" s="59"/>
    </row>
    <row r="961">
      <c r="B961" s="59"/>
      <c r="C961" s="17"/>
      <c r="D961" s="59"/>
      <c r="F961" s="17"/>
      <c r="G961" s="59"/>
    </row>
    <row r="962">
      <c r="B962" s="59"/>
      <c r="C962" s="17"/>
      <c r="D962" s="59"/>
      <c r="F962" s="17"/>
      <c r="G962" s="59"/>
    </row>
    <row r="963">
      <c r="B963" s="59"/>
      <c r="C963" s="17"/>
      <c r="D963" s="59"/>
      <c r="F963" s="17"/>
      <c r="G963" s="59"/>
    </row>
    <row r="964">
      <c r="B964" s="59"/>
      <c r="C964" s="17"/>
      <c r="D964" s="59"/>
      <c r="F964" s="17"/>
      <c r="G964" s="59"/>
    </row>
    <row r="965">
      <c r="B965" s="59"/>
      <c r="C965" s="17"/>
      <c r="D965" s="59"/>
      <c r="F965" s="17"/>
      <c r="G965" s="59"/>
    </row>
    <row r="966">
      <c r="B966" s="59"/>
      <c r="C966" s="17"/>
      <c r="D966" s="59"/>
      <c r="F966" s="17"/>
      <c r="G966" s="59"/>
    </row>
    <row r="967">
      <c r="B967" s="59"/>
      <c r="C967" s="17"/>
      <c r="D967" s="59"/>
      <c r="F967" s="17"/>
      <c r="G967" s="59"/>
    </row>
    <row r="968">
      <c r="B968" s="59"/>
      <c r="C968" s="17"/>
      <c r="D968" s="59"/>
      <c r="F968" s="17"/>
      <c r="G968" s="59"/>
    </row>
    <row r="969">
      <c r="B969" s="59"/>
      <c r="C969" s="17"/>
      <c r="D969" s="59"/>
      <c r="F969" s="17"/>
      <c r="G969" s="59"/>
    </row>
    <row r="970">
      <c r="B970" s="59"/>
      <c r="C970" s="17"/>
      <c r="D970" s="59"/>
      <c r="F970" s="17"/>
      <c r="G970" s="59"/>
    </row>
    <row r="971">
      <c r="B971" s="59"/>
      <c r="C971" s="17"/>
      <c r="D971" s="59"/>
      <c r="F971" s="17"/>
      <c r="G971" s="59"/>
    </row>
    <row r="972">
      <c r="B972" s="59"/>
      <c r="C972" s="17"/>
      <c r="D972" s="59"/>
      <c r="F972" s="17"/>
      <c r="G972" s="59"/>
    </row>
    <row r="973">
      <c r="B973" s="59"/>
      <c r="C973" s="17"/>
      <c r="D973" s="59"/>
      <c r="F973" s="17"/>
      <c r="G973" s="59"/>
    </row>
    <row r="974">
      <c r="B974" s="59"/>
      <c r="C974" s="17"/>
      <c r="D974" s="59"/>
      <c r="F974" s="17"/>
      <c r="G974" s="59"/>
    </row>
    <row r="975">
      <c r="B975" s="59"/>
      <c r="C975" s="17"/>
      <c r="D975" s="59"/>
      <c r="F975" s="17"/>
      <c r="G975" s="59"/>
    </row>
    <row r="976">
      <c r="B976" s="59"/>
      <c r="C976" s="17"/>
      <c r="D976" s="59"/>
      <c r="F976" s="17"/>
      <c r="G976" s="59"/>
    </row>
    <row r="977">
      <c r="B977" s="59"/>
      <c r="C977" s="17"/>
      <c r="D977" s="59"/>
      <c r="F977" s="17"/>
      <c r="G977" s="59"/>
    </row>
    <row r="978">
      <c r="B978" s="59"/>
      <c r="C978" s="17"/>
      <c r="D978" s="59"/>
      <c r="F978" s="17"/>
      <c r="G978" s="59"/>
    </row>
    <row r="979">
      <c r="B979" s="59"/>
      <c r="C979" s="17"/>
      <c r="D979" s="59"/>
      <c r="F979" s="17"/>
      <c r="G979" s="59"/>
    </row>
    <row r="980">
      <c r="B980" s="59"/>
      <c r="C980" s="17"/>
      <c r="D980" s="59"/>
      <c r="F980" s="17"/>
      <c r="G980" s="59"/>
    </row>
    <row r="981">
      <c r="B981" s="59"/>
      <c r="C981" s="17"/>
      <c r="D981" s="59"/>
      <c r="F981" s="17"/>
      <c r="G981" s="59"/>
    </row>
    <row r="982">
      <c r="B982" s="59"/>
      <c r="C982" s="17"/>
      <c r="D982" s="59"/>
      <c r="F982" s="17"/>
      <c r="G982" s="59"/>
    </row>
    <row r="983">
      <c r="B983" s="59"/>
      <c r="C983" s="17"/>
      <c r="D983" s="59"/>
      <c r="F983" s="17"/>
      <c r="G983" s="59"/>
    </row>
    <row r="984">
      <c r="B984" s="59"/>
      <c r="C984" s="17"/>
      <c r="D984" s="59"/>
      <c r="F984" s="17"/>
      <c r="G984" s="59"/>
    </row>
    <row r="985">
      <c r="B985" s="59"/>
      <c r="C985" s="17"/>
      <c r="D985" s="59"/>
      <c r="F985" s="17"/>
      <c r="G985" s="59"/>
    </row>
    <row r="986">
      <c r="B986" s="59"/>
      <c r="C986" s="17"/>
      <c r="D986" s="59"/>
      <c r="F986" s="17"/>
      <c r="G986" s="59"/>
    </row>
    <row r="987">
      <c r="B987" s="59"/>
      <c r="C987" s="17"/>
      <c r="D987" s="59"/>
      <c r="F987" s="17"/>
      <c r="G987" s="59"/>
    </row>
    <row r="988">
      <c r="B988" s="59"/>
      <c r="C988" s="17"/>
      <c r="D988" s="59"/>
      <c r="F988" s="17"/>
      <c r="G988" s="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4" t="s">
        <v>31</v>
      </c>
      <c r="B1" s="4">
        <v>0.791</v>
      </c>
    </row>
    <row r="2">
      <c r="A2" s="4" t="s">
        <v>70</v>
      </c>
      <c r="B2" s="4">
        <v>0.791</v>
      </c>
    </row>
    <row r="3">
      <c r="A3" s="4" t="s">
        <v>92</v>
      </c>
      <c r="B3" s="4">
        <v>0.566</v>
      </c>
    </row>
    <row r="4">
      <c r="A4" s="4" t="s">
        <v>110</v>
      </c>
      <c r="B4" s="4">
        <v>0.566</v>
      </c>
    </row>
    <row r="5">
      <c r="A5" s="4" t="s">
        <v>475</v>
      </c>
      <c r="B5" s="4">
        <v>0.23</v>
      </c>
    </row>
    <row r="6">
      <c r="A6" s="4" t="s">
        <v>127</v>
      </c>
      <c r="B6" s="4">
        <v>0.23</v>
      </c>
    </row>
    <row r="7">
      <c r="A7" s="4" t="s">
        <v>481</v>
      </c>
      <c r="B7" s="4">
        <v>0.676</v>
      </c>
    </row>
    <row r="8">
      <c r="A8" s="4" t="s">
        <v>483</v>
      </c>
      <c r="B8" s="4">
        <v>0.676</v>
      </c>
    </row>
    <row r="9">
      <c r="A9" s="4" t="s">
        <v>132</v>
      </c>
      <c r="B9" s="4">
        <v>0.676</v>
      </c>
    </row>
    <row r="10">
      <c r="A10" s="4" t="s">
        <v>487</v>
      </c>
      <c r="B10" s="4">
        <v>0.084</v>
      </c>
    </row>
    <row r="11">
      <c r="A11" s="4" t="s">
        <v>490</v>
      </c>
      <c r="B11" s="4">
        <v>0.18</v>
      </c>
    </row>
    <row r="12">
      <c r="A12" s="4" t="s">
        <v>494</v>
      </c>
      <c r="B12" s="4">
        <v>0.18</v>
      </c>
    </row>
    <row r="13">
      <c r="A13" s="4" t="s">
        <v>163</v>
      </c>
      <c r="B13" s="4">
        <v>0.11</v>
      </c>
    </row>
    <row r="14">
      <c r="A14" s="4" t="s">
        <v>501</v>
      </c>
      <c r="B14" s="4">
        <v>0.117</v>
      </c>
    </row>
    <row r="15">
      <c r="A15" s="4" t="s">
        <v>171</v>
      </c>
      <c r="B15" s="4">
        <v>0.026</v>
      </c>
    </row>
    <row r="16">
      <c r="A16" s="4" t="s">
        <v>174</v>
      </c>
      <c r="B16" s="4">
        <v>0.019</v>
      </c>
    </row>
    <row r="17">
      <c r="A17" s="4" t="s">
        <v>177</v>
      </c>
      <c r="B17" s="4">
        <v>0.057</v>
      </c>
    </row>
    <row r="18">
      <c r="A18" s="4" t="s">
        <v>180</v>
      </c>
      <c r="B18" s="4">
        <v>0.119</v>
      </c>
    </row>
    <row r="19">
      <c r="A19" s="4" t="s">
        <v>186</v>
      </c>
      <c r="B19" s="4">
        <v>0.184</v>
      </c>
    </row>
    <row r="20">
      <c r="A20" s="4" t="s">
        <v>517</v>
      </c>
      <c r="B20" s="4">
        <v>0.06</v>
      </c>
    </row>
    <row r="21">
      <c r="A21" s="4" t="s">
        <v>197</v>
      </c>
      <c r="B21" s="4">
        <v>0.114</v>
      </c>
    </row>
    <row r="22">
      <c r="A22" s="4" t="s">
        <v>201</v>
      </c>
      <c r="B22" s="4">
        <v>0.399</v>
      </c>
    </row>
    <row r="23">
      <c r="A23" s="44" t="s">
        <v>541</v>
      </c>
      <c r="B23" s="4">
        <v>0.027</v>
      </c>
    </row>
    <row r="24">
      <c r="A24" s="44" t="s">
        <v>550</v>
      </c>
      <c r="B24" s="4">
        <v>0.027</v>
      </c>
    </row>
    <row r="25">
      <c r="A25" s="44" t="s">
        <v>555</v>
      </c>
      <c r="B25" s="4">
        <v>0.56</v>
      </c>
    </row>
    <row r="26">
      <c r="A26" s="4" t="s">
        <v>209</v>
      </c>
      <c r="B26" s="4">
        <v>0.025</v>
      </c>
    </row>
    <row r="27">
      <c r="A27" s="4" t="s">
        <v>210</v>
      </c>
      <c r="B27" s="4">
        <v>0.02</v>
      </c>
    </row>
    <row r="28">
      <c r="A28" s="4" t="s">
        <v>212</v>
      </c>
      <c r="B28" s="4">
        <v>0.031</v>
      </c>
    </row>
    <row r="29">
      <c r="A29" s="4" t="s">
        <v>232</v>
      </c>
      <c r="B29" s="4">
        <v>0.001</v>
      </c>
    </row>
    <row r="30">
      <c r="A30" s="4" t="s">
        <v>235</v>
      </c>
      <c r="B30" s="4">
        <v>0.001</v>
      </c>
    </row>
    <row r="31">
      <c r="A31" s="4" t="s">
        <v>237</v>
      </c>
      <c r="B31" s="4">
        <v>0.001</v>
      </c>
    </row>
    <row r="32">
      <c r="A32" s="4" t="s">
        <v>239</v>
      </c>
      <c r="B32" s="4">
        <v>0.001</v>
      </c>
    </row>
    <row r="33">
      <c r="A33" s="4" t="s">
        <v>240</v>
      </c>
      <c r="B33" s="4">
        <v>0.001</v>
      </c>
    </row>
    <row r="34">
      <c r="A34" s="4" t="s">
        <v>242</v>
      </c>
      <c r="B34" s="4">
        <v>0.001</v>
      </c>
    </row>
    <row r="35">
      <c r="A35" s="4" t="s">
        <v>244</v>
      </c>
      <c r="B35" s="4">
        <v>0.001</v>
      </c>
    </row>
    <row r="36">
      <c r="A36" s="4" t="s">
        <v>245</v>
      </c>
      <c r="B36" s="4">
        <v>0.001</v>
      </c>
    </row>
    <row r="37">
      <c r="A37" s="4" t="s">
        <v>247</v>
      </c>
      <c r="B37" s="4">
        <v>0.001</v>
      </c>
    </row>
    <row r="38">
      <c r="A38" s="4" t="s">
        <v>250</v>
      </c>
      <c r="B38" s="4">
        <v>0.001</v>
      </c>
    </row>
    <row r="39">
      <c r="A39" s="4" t="s">
        <v>252</v>
      </c>
      <c r="B39" s="4">
        <v>0.001</v>
      </c>
    </row>
    <row r="40">
      <c r="A40" s="4" t="s">
        <v>254</v>
      </c>
      <c r="B40" s="4">
        <v>0.001</v>
      </c>
    </row>
    <row r="41">
      <c r="A41" s="4" t="s">
        <v>256</v>
      </c>
      <c r="B41" s="4">
        <v>0.001</v>
      </c>
    </row>
    <row r="42">
      <c r="A42" s="4" t="s">
        <v>258</v>
      </c>
      <c r="B42" s="4">
        <v>0.05</v>
      </c>
    </row>
    <row r="43">
      <c r="A43" s="4" t="s">
        <v>261</v>
      </c>
      <c r="B43" s="4">
        <v>0.025</v>
      </c>
    </row>
    <row r="44">
      <c r="A44" s="4" t="s">
        <v>263</v>
      </c>
      <c r="B44" s="4">
        <v>0.025</v>
      </c>
    </row>
    <row r="45">
      <c r="A45" s="4" t="s">
        <v>265</v>
      </c>
      <c r="B45" s="4">
        <v>0.025</v>
      </c>
    </row>
    <row r="46">
      <c r="A46" s="4" t="s">
        <v>267</v>
      </c>
      <c r="B46" s="4">
        <v>0.04</v>
      </c>
    </row>
    <row r="47">
      <c r="A47" s="4" t="s">
        <v>268</v>
      </c>
      <c r="B47" s="4">
        <v>0.04</v>
      </c>
    </row>
    <row r="48">
      <c r="A48" s="4" t="s">
        <v>271</v>
      </c>
      <c r="B48" s="4">
        <v>0.04</v>
      </c>
    </row>
    <row r="49">
      <c r="A49" s="4" t="s">
        <v>272</v>
      </c>
      <c r="B49" s="4">
        <v>0.04</v>
      </c>
    </row>
    <row r="50">
      <c r="A50" s="4" t="s">
        <v>275</v>
      </c>
      <c r="B50" s="4">
        <v>0.04</v>
      </c>
    </row>
    <row r="51">
      <c r="A51" s="4" t="s">
        <v>277</v>
      </c>
      <c r="B51" s="4">
        <v>0.04</v>
      </c>
    </row>
    <row r="52">
      <c r="A52" s="4" t="s">
        <v>279</v>
      </c>
      <c r="B52" s="4">
        <v>0.04</v>
      </c>
    </row>
    <row r="53">
      <c r="A53" s="4" t="s">
        <v>280</v>
      </c>
      <c r="B53" s="4">
        <v>0.04</v>
      </c>
    </row>
    <row r="54">
      <c r="A54" s="4" t="s">
        <v>282</v>
      </c>
      <c r="B54" s="4">
        <v>0.04</v>
      </c>
    </row>
    <row r="55">
      <c r="A55" s="4" t="s">
        <v>285</v>
      </c>
      <c r="B55" s="4">
        <v>0.04</v>
      </c>
    </row>
    <row r="56">
      <c r="A56" s="4" t="s">
        <v>286</v>
      </c>
      <c r="B56" s="4">
        <v>0.04</v>
      </c>
    </row>
    <row r="57">
      <c r="A57" s="4" t="s">
        <v>288</v>
      </c>
      <c r="B57" s="4">
        <v>0.04</v>
      </c>
    </row>
    <row r="58">
      <c r="A58" s="4" t="s">
        <v>290</v>
      </c>
      <c r="B58" s="4">
        <v>0.04</v>
      </c>
    </row>
    <row r="59">
      <c r="A59" s="4" t="s">
        <v>291</v>
      </c>
      <c r="B59" s="4">
        <v>0.04</v>
      </c>
    </row>
    <row r="60">
      <c r="A60" s="4" t="s">
        <v>295</v>
      </c>
      <c r="B60" s="4">
        <v>0.04</v>
      </c>
    </row>
    <row r="61">
      <c r="A61" s="4" t="s">
        <v>296</v>
      </c>
      <c r="B61" s="4">
        <v>0.04</v>
      </c>
    </row>
    <row r="62">
      <c r="A62" s="4" t="s">
        <v>297</v>
      </c>
      <c r="B62" s="4">
        <v>0.04</v>
      </c>
    </row>
    <row r="63">
      <c r="A63" s="4" t="s">
        <v>299</v>
      </c>
      <c r="B63" s="4">
        <v>0.04</v>
      </c>
    </row>
    <row r="64">
      <c r="A64" s="4" t="s">
        <v>302</v>
      </c>
      <c r="B64" s="4">
        <v>0.04</v>
      </c>
    </row>
    <row r="65">
      <c r="A65" s="4" t="s">
        <v>305</v>
      </c>
      <c r="B65" s="4">
        <v>0.04</v>
      </c>
    </row>
    <row r="66">
      <c r="A66" s="4" t="s">
        <v>792</v>
      </c>
      <c r="B66" s="4">
        <v>0.04</v>
      </c>
    </row>
    <row r="67">
      <c r="A67" s="4" t="s">
        <v>316</v>
      </c>
      <c r="B67" s="4">
        <v>0.04</v>
      </c>
    </row>
    <row r="68">
      <c r="A68" s="4" t="s">
        <v>318</v>
      </c>
      <c r="B68" s="4">
        <v>0.04</v>
      </c>
    </row>
    <row r="69">
      <c r="A69" s="4" t="s">
        <v>320</v>
      </c>
      <c r="B69" s="4">
        <v>0.04</v>
      </c>
    </row>
    <row r="70">
      <c r="A70" s="4" t="s">
        <v>323</v>
      </c>
      <c r="B70" s="4">
        <v>0.04</v>
      </c>
    </row>
    <row r="71">
      <c r="A71" s="4" t="s">
        <v>325</v>
      </c>
      <c r="B71" s="4">
        <v>0.04</v>
      </c>
    </row>
    <row r="72">
      <c r="A72" s="4" t="s">
        <v>326</v>
      </c>
      <c r="B72" s="4">
        <v>0.04</v>
      </c>
    </row>
    <row r="73">
      <c r="A73" s="4" t="s">
        <v>328</v>
      </c>
      <c r="B73" s="4">
        <v>0.04</v>
      </c>
    </row>
    <row r="74">
      <c r="A74" s="4" t="s">
        <v>828</v>
      </c>
      <c r="B74" s="4">
        <v>0.427</v>
      </c>
    </row>
    <row r="75">
      <c r="A75" s="4" t="s">
        <v>830</v>
      </c>
      <c r="B75" s="4">
        <v>0.03</v>
      </c>
    </row>
    <row r="76">
      <c r="A76" s="4" t="s">
        <v>834</v>
      </c>
      <c r="B76" s="4">
        <v>0.04</v>
      </c>
    </row>
    <row r="77">
      <c r="A77" s="4" t="s">
        <v>463</v>
      </c>
      <c r="B77" s="4">
        <v>0.06</v>
      </c>
    </row>
    <row r="78">
      <c r="A78" s="4" t="s">
        <v>464</v>
      </c>
      <c r="B78" s="4">
        <v>0.075</v>
      </c>
    </row>
    <row r="79">
      <c r="A79" s="4" t="s">
        <v>369</v>
      </c>
      <c r="B79" s="4">
        <v>0.24</v>
      </c>
    </row>
    <row r="80">
      <c r="A80" s="4" t="s">
        <v>373</v>
      </c>
      <c r="B80" s="4">
        <v>0.24</v>
      </c>
    </row>
    <row r="81">
      <c r="A81" s="4" t="s">
        <v>376</v>
      </c>
      <c r="B81" s="4">
        <v>0.24</v>
      </c>
    </row>
    <row r="82">
      <c r="A82" s="4" t="s">
        <v>380</v>
      </c>
      <c r="B82" s="4">
        <v>0.195</v>
      </c>
    </row>
    <row r="83">
      <c r="A83" s="4" t="s">
        <v>383</v>
      </c>
      <c r="B83" s="4">
        <v>0.195</v>
      </c>
    </row>
    <row r="84">
      <c r="A84" s="4" t="s">
        <v>384</v>
      </c>
      <c r="B84" s="4">
        <v>0.415</v>
      </c>
    </row>
    <row r="85">
      <c r="A85" s="4" t="s">
        <v>392</v>
      </c>
      <c r="B85" s="4">
        <v>0.235</v>
      </c>
    </row>
    <row r="86">
      <c r="A86" s="4" t="s">
        <v>397</v>
      </c>
      <c r="B86" s="4">
        <v>0.21</v>
      </c>
    </row>
    <row r="87">
      <c r="A87" s="4" t="s">
        <v>399</v>
      </c>
      <c r="B87" s="4">
        <v>0.185</v>
      </c>
    </row>
    <row r="88">
      <c r="A88" s="4" t="s">
        <v>402</v>
      </c>
      <c r="B88" s="4">
        <v>0.185</v>
      </c>
    </row>
    <row r="89">
      <c r="A89" s="4" t="s">
        <v>404</v>
      </c>
      <c r="B89" s="4">
        <v>0.29</v>
      </c>
    </row>
    <row r="90">
      <c r="A90" s="4" t="s">
        <v>413</v>
      </c>
      <c r="B90" s="4">
        <v>0.26</v>
      </c>
    </row>
    <row r="91">
      <c r="A91" s="4" t="s">
        <v>416</v>
      </c>
      <c r="B91" s="4">
        <v>0.205</v>
      </c>
    </row>
    <row r="92">
      <c r="A92" s="4" t="s">
        <v>426</v>
      </c>
      <c r="B92" s="4">
        <v>0.095</v>
      </c>
    </row>
    <row r="93">
      <c r="A93" s="4" t="s">
        <v>428</v>
      </c>
      <c r="B93" s="4">
        <v>0.09</v>
      </c>
    </row>
    <row r="94">
      <c r="A94" s="4" t="s">
        <v>434</v>
      </c>
      <c r="B94" s="4">
        <v>0.2</v>
      </c>
    </row>
    <row r="95">
      <c r="A95" s="1" t="s">
        <v>880</v>
      </c>
      <c r="B95" s="98">
        <v>1.528</v>
      </c>
    </row>
    <row r="96">
      <c r="A96" s="1" t="s">
        <v>892</v>
      </c>
      <c r="B96" s="98">
        <v>1.528</v>
      </c>
    </row>
    <row r="97">
      <c r="A97" s="1" t="s">
        <v>895</v>
      </c>
      <c r="B97" s="98">
        <v>1.528</v>
      </c>
    </row>
    <row r="98">
      <c r="A98" s="1" t="s">
        <v>900</v>
      </c>
      <c r="B98" s="98">
        <v>1.528</v>
      </c>
    </row>
    <row r="99">
      <c r="A99" s="1" t="s">
        <v>903</v>
      </c>
      <c r="B99" s="98">
        <v>0.791</v>
      </c>
    </row>
    <row r="100">
      <c r="A100" s="1" t="s">
        <v>905</v>
      </c>
      <c r="B100" s="98">
        <v>0.791</v>
      </c>
    </row>
    <row r="101">
      <c r="A101" s="1" t="s">
        <v>908</v>
      </c>
      <c r="B101" s="98">
        <v>0.183</v>
      </c>
    </row>
    <row r="102">
      <c r="A102" s="1" t="s">
        <v>910</v>
      </c>
      <c r="B102" s="98">
        <v>0.791</v>
      </c>
    </row>
    <row r="103">
      <c r="A103" s="1" t="s">
        <v>912</v>
      </c>
      <c r="B103" s="98">
        <v>0.791</v>
      </c>
    </row>
    <row r="104">
      <c r="A104" s="1" t="s">
        <v>915</v>
      </c>
      <c r="B104" s="98">
        <v>1.149</v>
      </c>
    </row>
    <row r="105">
      <c r="A105" s="1" t="s">
        <v>918</v>
      </c>
      <c r="B105" s="98">
        <v>1.127</v>
      </c>
    </row>
    <row r="106">
      <c r="A106" s="1" t="s">
        <v>920</v>
      </c>
      <c r="B106" s="98">
        <v>0.42</v>
      </c>
    </row>
    <row r="107">
      <c r="A107" s="1" t="s">
        <v>923</v>
      </c>
      <c r="B107" s="98">
        <v>0.1</v>
      </c>
    </row>
    <row r="108">
      <c r="A108" s="1" t="s">
        <v>926</v>
      </c>
      <c r="B108" s="98">
        <v>0.84</v>
      </c>
    </row>
    <row r="109">
      <c r="A109" s="1" t="s">
        <v>930</v>
      </c>
      <c r="B109" s="98">
        <v>0.19</v>
      </c>
    </row>
    <row r="110">
      <c r="A110" s="1" t="s">
        <v>933</v>
      </c>
      <c r="B110" s="98">
        <v>0.041</v>
      </c>
    </row>
    <row r="111">
      <c r="A111" s="4" t="s">
        <v>958</v>
      </c>
      <c r="B111" s="4">
        <v>0.373</v>
      </c>
    </row>
    <row r="112">
      <c r="A112" s="4" t="s">
        <v>961</v>
      </c>
      <c r="B112" s="4">
        <v>0.128</v>
      </c>
    </row>
    <row r="113">
      <c r="A113" s="4" t="s">
        <v>962</v>
      </c>
      <c r="B113" s="4">
        <v>0.064</v>
      </c>
    </row>
    <row r="114">
      <c r="A114" s="4" t="s">
        <v>962</v>
      </c>
      <c r="B114" s="4">
        <v>0.064</v>
      </c>
    </row>
    <row r="115">
      <c r="A115" s="14" t="s">
        <v>209</v>
      </c>
      <c r="B115" s="4">
        <v>0.025</v>
      </c>
    </row>
    <row r="116">
      <c r="A116" s="14" t="s">
        <v>210</v>
      </c>
      <c r="B116" s="4">
        <v>0.02</v>
      </c>
    </row>
    <row r="117">
      <c r="A117" s="14" t="s">
        <v>212</v>
      </c>
      <c r="B117" s="4">
        <v>0.031</v>
      </c>
    </row>
    <row r="118">
      <c r="A118" s="14" t="s">
        <v>258</v>
      </c>
      <c r="B118" s="4">
        <v>0.928</v>
      </c>
    </row>
    <row r="119">
      <c r="A119" s="14" t="s">
        <v>260</v>
      </c>
      <c r="B119" s="4">
        <v>0.828</v>
      </c>
    </row>
    <row r="120">
      <c r="A120" s="14" t="s">
        <v>970</v>
      </c>
      <c r="B120" s="4">
        <v>0.025</v>
      </c>
    </row>
    <row r="121">
      <c r="A121" s="14" t="s">
        <v>972</v>
      </c>
      <c r="B121" s="4">
        <v>0.025</v>
      </c>
    </row>
    <row r="122">
      <c r="A122" s="14" t="s">
        <v>267</v>
      </c>
      <c r="B122" s="4">
        <v>0.04</v>
      </c>
    </row>
    <row r="123">
      <c r="A123" s="14" t="s">
        <v>268</v>
      </c>
      <c r="B123" s="4">
        <v>0.04</v>
      </c>
    </row>
    <row r="124">
      <c r="A124" s="14" t="s">
        <v>271</v>
      </c>
      <c r="B124" s="4">
        <v>0.04</v>
      </c>
    </row>
    <row r="125">
      <c r="A125" s="14" t="s">
        <v>973</v>
      </c>
      <c r="B125" s="4">
        <v>0.04</v>
      </c>
    </row>
    <row r="126">
      <c r="A126" s="14" t="s">
        <v>975</v>
      </c>
      <c r="B126" s="4">
        <v>0.04</v>
      </c>
    </row>
    <row r="127">
      <c r="A127" s="14" t="s">
        <v>977</v>
      </c>
      <c r="B127" s="4">
        <v>0.04</v>
      </c>
    </row>
    <row r="128">
      <c r="A128" s="14" t="s">
        <v>979</v>
      </c>
      <c r="B128" s="4">
        <v>0.04</v>
      </c>
    </row>
    <row r="129">
      <c r="A129" s="14" t="s">
        <v>981</v>
      </c>
      <c r="B129" s="4">
        <v>0.04</v>
      </c>
    </row>
    <row r="130">
      <c r="A130" s="14" t="s">
        <v>983</v>
      </c>
      <c r="B130" s="4">
        <v>0.04</v>
      </c>
    </row>
    <row r="131">
      <c r="A131" s="14" t="s">
        <v>985</v>
      </c>
      <c r="B131" s="4">
        <v>0.04</v>
      </c>
    </row>
    <row r="132">
      <c r="A132" s="14" t="s">
        <v>987</v>
      </c>
      <c r="B132" s="4">
        <v>0.04</v>
      </c>
    </row>
    <row r="133">
      <c r="A133" s="14" t="s">
        <v>988</v>
      </c>
      <c r="B133" s="4">
        <v>0.04</v>
      </c>
    </row>
    <row r="134">
      <c r="A134" s="14" t="s">
        <v>989</v>
      </c>
      <c r="B134" s="4">
        <v>0.04</v>
      </c>
    </row>
    <row r="135">
      <c r="A135" s="14" t="s">
        <v>326</v>
      </c>
      <c r="B135" s="4">
        <v>0.04</v>
      </c>
    </row>
    <row r="136">
      <c r="A136" s="14" t="s">
        <v>328</v>
      </c>
      <c r="B136" s="4">
        <v>0.04</v>
      </c>
    </row>
    <row r="137">
      <c r="A137" s="14" t="s">
        <v>991</v>
      </c>
      <c r="B137" s="4">
        <v>0.025</v>
      </c>
    </row>
    <row r="138">
      <c r="A138" s="14" t="s">
        <v>993</v>
      </c>
      <c r="B138" s="4">
        <v>0.04</v>
      </c>
    </row>
    <row r="139">
      <c r="A139" s="14" t="s">
        <v>426</v>
      </c>
      <c r="B139" s="4">
        <v>0.095</v>
      </c>
    </row>
    <row r="140">
      <c r="A140" s="14" t="s">
        <v>422</v>
      </c>
      <c r="B140" s="4">
        <v>0.183</v>
      </c>
    </row>
    <row r="141">
      <c r="A141" s="14" t="s">
        <v>997</v>
      </c>
      <c r="B141" s="4">
        <v>0.107</v>
      </c>
    </row>
    <row r="142">
      <c r="A142" s="14" t="s">
        <v>406</v>
      </c>
      <c r="B142" s="4">
        <v>0.295</v>
      </c>
    </row>
    <row r="143">
      <c r="A143" s="14" t="s">
        <v>384</v>
      </c>
      <c r="B143" s="4">
        <v>0.379</v>
      </c>
    </row>
    <row r="144">
      <c r="A144" s="14" t="s">
        <v>408</v>
      </c>
      <c r="B144" s="4">
        <v>0.379</v>
      </c>
    </row>
    <row r="145">
      <c r="A145" s="14" t="s">
        <v>999</v>
      </c>
      <c r="B145" s="4">
        <v>0.021</v>
      </c>
    </row>
    <row r="146">
      <c r="A146" s="14" t="s">
        <v>351</v>
      </c>
      <c r="B146" s="4">
        <v>0.039</v>
      </c>
    </row>
    <row r="147">
      <c r="A147" s="14" t="s">
        <v>356</v>
      </c>
      <c r="B147" s="4">
        <v>0.039</v>
      </c>
    </row>
    <row r="148">
      <c r="A148" s="14" t="s">
        <v>359</v>
      </c>
      <c r="B148" s="4">
        <v>0.039</v>
      </c>
    </row>
    <row r="149">
      <c r="A149" s="14" t="s">
        <v>414</v>
      </c>
      <c r="B149" s="4">
        <v>0.232</v>
      </c>
    </row>
    <row r="150">
      <c r="A150" s="14" t="s">
        <v>409</v>
      </c>
      <c r="B150" s="4">
        <v>0.323</v>
      </c>
    </row>
    <row r="151">
      <c r="A151" s="14" t="s">
        <v>411</v>
      </c>
      <c r="B151" s="4">
        <v>0.331</v>
      </c>
    </row>
    <row r="152">
      <c r="A152" s="14" t="s">
        <v>472</v>
      </c>
      <c r="B152" s="4">
        <v>0.086</v>
      </c>
    </row>
    <row r="153">
      <c r="A153" s="14" t="s">
        <v>417</v>
      </c>
      <c r="B153" s="4">
        <v>0.193</v>
      </c>
    </row>
    <row r="154">
      <c r="A154" s="14" t="s">
        <v>1002</v>
      </c>
      <c r="B154" s="4">
        <v>0.205</v>
      </c>
    </row>
    <row r="155">
      <c r="A155" s="14" t="s">
        <v>419</v>
      </c>
      <c r="B155" s="4">
        <v>0.237</v>
      </c>
    </row>
    <row r="156">
      <c r="A156" s="14" t="s">
        <v>422</v>
      </c>
      <c r="B156" s="4">
        <v>0.183</v>
      </c>
    </row>
    <row r="157">
      <c r="A157" s="14" t="s">
        <v>424</v>
      </c>
      <c r="B157" s="4">
        <v>0.232</v>
      </c>
    </row>
    <row r="158">
      <c r="A158" s="14" t="s">
        <v>1004</v>
      </c>
      <c r="B158" s="4">
        <v>0.185</v>
      </c>
    </row>
    <row r="159">
      <c r="A159" s="14" t="s">
        <v>397</v>
      </c>
      <c r="B159" s="4">
        <v>0.216</v>
      </c>
    </row>
    <row r="160">
      <c r="A160" s="14" t="s">
        <v>1006</v>
      </c>
      <c r="B160" s="4">
        <v>0.03</v>
      </c>
    </row>
    <row r="161">
      <c r="A161" s="14" t="s">
        <v>1007</v>
      </c>
      <c r="B161" s="4">
        <v>0.067</v>
      </c>
    </row>
    <row r="162">
      <c r="A162" s="14" t="s">
        <v>373</v>
      </c>
      <c r="B162" s="4">
        <v>0.227</v>
      </c>
    </row>
    <row r="163">
      <c r="A163" s="14" t="s">
        <v>1008</v>
      </c>
      <c r="B163" s="4">
        <v>0.193</v>
      </c>
    </row>
    <row r="164">
      <c r="A164" s="14" t="s">
        <v>376</v>
      </c>
      <c r="B164" s="4">
        <v>0.227</v>
      </c>
    </row>
    <row r="165">
      <c r="A165" s="14" t="s">
        <v>363</v>
      </c>
      <c r="B165" s="4">
        <v>0.027</v>
      </c>
    </row>
    <row r="166">
      <c r="A166" s="14" t="s">
        <v>369</v>
      </c>
      <c r="B166" s="4">
        <v>0.227</v>
      </c>
    </row>
    <row r="167">
      <c r="A167" s="14" t="s">
        <v>380</v>
      </c>
      <c r="B167" s="4">
        <v>0.185</v>
      </c>
    </row>
    <row r="168">
      <c r="A168" s="14" t="s">
        <v>386</v>
      </c>
      <c r="B168" s="4">
        <v>0.223</v>
      </c>
    </row>
    <row r="169">
      <c r="A169" s="14" t="s">
        <v>389</v>
      </c>
      <c r="B169" s="4">
        <v>0.264</v>
      </c>
    </row>
    <row r="170">
      <c r="A170" s="14" t="s">
        <v>392</v>
      </c>
      <c r="B170" s="4">
        <v>0.227</v>
      </c>
    </row>
    <row r="171">
      <c r="A171" s="14" t="s">
        <v>394</v>
      </c>
      <c r="B171" s="4">
        <v>0.179</v>
      </c>
    </row>
    <row r="172">
      <c r="A172" s="14" t="s">
        <v>1011</v>
      </c>
      <c r="B172" s="4">
        <v>0.216</v>
      </c>
    </row>
    <row r="173">
      <c r="A173" s="14" t="s">
        <v>399</v>
      </c>
      <c r="B173" s="4">
        <v>0.193</v>
      </c>
    </row>
    <row r="174">
      <c r="A174" s="14" t="s">
        <v>404</v>
      </c>
      <c r="B174" s="4">
        <v>0.323</v>
      </c>
    </row>
    <row r="175">
      <c r="A175" s="14" t="s">
        <v>413</v>
      </c>
      <c r="B175" s="4">
        <v>0.262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7" max="7" width="18.38"/>
    <col customWidth="1" min="8" max="8" width="26.25"/>
    <col customWidth="1" min="9" max="9" width="27.88"/>
    <col customWidth="1" min="10" max="10" width="23.63"/>
  </cols>
  <sheetData>
    <row r="1">
      <c r="A1" s="4" t="s">
        <v>3</v>
      </c>
      <c r="B1" s="4" t="s">
        <v>1024</v>
      </c>
      <c r="C1" s="4" t="s">
        <v>13</v>
      </c>
      <c r="D1" s="4" t="s">
        <v>1026</v>
      </c>
      <c r="E1" s="4" t="s">
        <v>1027</v>
      </c>
      <c r="F1" s="9" t="s">
        <v>1028</v>
      </c>
      <c r="H1" s="4" t="s">
        <v>1029</v>
      </c>
      <c r="I1" s="4" t="s">
        <v>1030</v>
      </c>
      <c r="J1" s="102" t="s">
        <v>1031</v>
      </c>
      <c r="N1" s="4" t="s">
        <v>3</v>
      </c>
      <c r="O1" s="4" t="s">
        <v>1034</v>
      </c>
    </row>
    <row r="2">
      <c r="A2" s="103">
        <v>46062.0</v>
      </c>
      <c r="D2" s="104">
        <v>6750.0</v>
      </c>
      <c r="E2" s="104">
        <v>6750.0</v>
      </c>
      <c r="F2" s="17"/>
      <c r="J2" s="105"/>
      <c r="M2" s="4" t="s">
        <v>1035</v>
      </c>
    </row>
    <row r="3">
      <c r="A3" s="10"/>
      <c r="B3" s="4" t="s">
        <v>1036</v>
      </c>
      <c r="F3" s="9" t="s">
        <v>1037</v>
      </c>
      <c r="G3" s="4" t="s">
        <v>1038</v>
      </c>
      <c r="J3" s="102">
        <v>4940.0</v>
      </c>
      <c r="M3" s="4" t="s">
        <v>60</v>
      </c>
    </row>
    <row r="4">
      <c r="B4" s="4" t="s">
        <v>1036</v>
      </c>
      <c r="F4" s="9" t="s">
        <v>1039</v>
      </c>
      <c r="G4" s="4" t="s">
        <v>1040</v>
      </c>
      <c r="J4" s="105"/>
      <c r="M4" s="4" t="s">
        <v>1041</v>
      </c>
    </row>
    <row r="5">
      <c r="A5" s="103">
        <v>46063.0</v>
      </c>
      <c r="B5" s="4" t="s">
        <v>1042</v>
      </c>
      <c r="F5" s="9">
        <v>2150.0</v>
      </c>
      <c r="G5" s="4" t="s">
        <v>1043</v>
      </c>
      <c r="J5" s="102">
        <v>304.0</v>
      </c>
      <c r="M5" s="4" t="s">
        <v>1044</v>
      </c>
    </row>
    <row r="6">
      <c r="A6" s="103">
        <v>46066.0</v>
      </c>
      <c r="B6" s="4" t="s">
        <v>1045</v>
      </c>
      <c r="F6" s="9" t="s">
        <v>1046</v>
      </c>
      <c r="G6" s="4" t="s">
        <v>1047</v>
      </c>
      <c r="H6" s="4">
        <v>2424.91</v>
      </c>
      <c r="J6" s="102">
        <v>532.0</v>
      </c>
      <c r="M6" s="4" t="s">
        <v>1048</v>
      </c>
    </row>
    <row r="7">
      <c r="A7" s="103">
        <v>46063.0</v>
      </c>
      <c r="B7" s="4" t="s">
        <v>1036</v>
      </c>
      <c r="F7" s="9">
        <v>1776.0</v>
      </c>
      <c r="G7" s="4" t="s">
        <v>1050</v>
      </c>
      <c r="J7" s="105"/>
      <c r="M7" s="4" t="s">
        <v>1051</v>
      </c>
    </row>
    <row r="8">
      <c r="A8" s="103">
        <v>46066.0</v>
      </c>
      <c r="B8" s="4" t="s">
        <v>1036</v>
      </c>
      <c r="F8" s="9" t="s">
        <v>1053</v>
      </c>
      <c r="G8" s="4" t="s">
        <v>1055</v>
      </c>
      <c r="J8" s="102">
        <v>304.0</v>
      </c>
      <c r="M8" s="4" t="s">
        <v>54</v>
      </c>
    </row>
    <row r="9">
      <c r="B9" s="4" t="s">
        <v>1056</v>
      </c>
      <c r="F9" s="9">
        <v>3118.78</v>
      </c>
      <c r="H9" s="4">
        <v>3118.78</v>
      </c>
      <c r="J9" s="105"/>
      <c r="M9" s="4" t="s">
        <v>48</v>
      </c>
    </row>
    <row r="10">
      <c r="B10" s="4" t="s">
        <v>1062</v>
      </c>
      <c r="F10" s="17"/>
      <c r="J10" s="105"/>
    </row>
    <row r="11">
      <c r="B11" s="4" t="s">
        <v>1065</v>
      </c>
      <c r="F11" s="9">
        <v>2973.81</v>
      </c>
      <c r="J11" s="105"/>
    </row>
    <row r="12">
      <c r="B12" s="4" t="s">
        <v>1067</v>
      </c>
      <c r="F12" s="9">
        <v>353.0</v>
      </c>
      <c r="J12" s="102">
        <v>275.0</v>
      </c>
      <c r="L12" s="4" t="s">
        <v>1069</v>
      </c>
    </row>
    <row r="13">
      <c r="B13" s="4" t="s">
        <v>1071</v>
      </c>
      <c r="F13" s="9">
        <v>253.0</v>
      </c>
      <c r="H13" s="4">
        <v>253.0</v>
      </c>
      <c r="J13" s="105"/>
      <c r="L13" s="4" t="s">
        <v>1072</v>
      </c>
    </row>
    <row r="14">
      <c r="B14" s="4" t="s">
        <v>1036</v>
      </c>
      <c r="F14" s="9">
        <v>540.0</v>
      </c>
    </row>
    <row r="15">
      <c r="B15" s="4" t="s">
        <v>1036</v>
      </c>
      <c r="F15" s="9">
        <v>16116.0</v>
      </c>
    </row>
    <row r="16">
      <c r="B16" s="4" t="s">
        <v>1073</v>
      </c>
      <c r="F16" s="9">
        <v>2710.0</v>
      </c>
    </row>
    <row r="17">
      <c r="B17" s="4" t="s">
        <v>1074</v>
      </c>
      <c r="F17" s="9">
        <v>3497.5</v>
      </c>
    </row>
    <row r="18">
      <c r="B18" s="4" t="s">
        <v>1075</v>
      </c>
      <c r="F18" s="9">
        <v>10470.0</v>
      </c>
    </row>
    <row r="19">
      <c r="F19" s="17"/>
    </row>
    <row r="20">
      <c r="F20" s="17"/>
    </row>
    <row r="21">
      <c r="F21" s="17"/>
    </row>
    <row r="22">
      <c r="F22" s="17"/>
    </row>
    <row r="23">
      <c r="F23" s="17"/>
    </row>
    <row r="24">
      <c r="F24" s="17"/>
    </row>
    <row r="25">
      <c r="E25" s="110"/>
      <c r="F25" s="17"/>
    </row>
    <row r="26">
      <c r="F26" s="17"/>
    </row>
    <row r="27">
      <c r="F27" s="17"/>
    </row>
    <row r="28">
      <c r="F28" s="17"/>
    </row>
    <row r="29">
      <c r="F29" s="17"/>
    </row>
    <row r="30">
      <c r="F30" s="17"/>
    </row>
    <row r="31">
      <c r="F31" s="17"/>
    </row>
    <row r="32">
      <c r="F32" s="17"/>
    </row>
    <row r="33">
      <c r="F33" s="17"/>
    </row>
    <row r="34">
      <c r="F34" s="17"/>
    </row>
    <row r="35">
      <c r="F35" s="17"/>
    </row>
    <row r="36">
      <c r="F36" s="17"/>
    </row>
    <row r="37">
      <c r="F37" s="17"/>
    </row>
    <row r="38">
      <c r="F38" s="17"/>
    </row>
    <row r="39">
      <c r="F39" s="17"/>
    </row>
    <row r="40">
      <c r="F40" s="17"/>
    </row>
    <row r="41">
      <c r="F41" s="17"/>
    </row>
    <row r="42">
      <c r="F42" s="17"/>
    </row>
    <row r="43">
      <c r="F43" s="17"/>
    </row>
    <row r="44">
      <c r="F44" s="17"/>
    </row>
    <row r="45">
      <c r="F45" s="17"/>
    </row>
    <row r="46">
      <c r="F46" s="17"/>
    </row>
    <row r="47">
      <c r="F47" s="17"/>
    </row>
    <row r="48">
      <c r="F48" s="17"/>
    </row>
    <row r="49">
      <c r="F49" s="17"/>
    </row>
    <row r="50">
      <c r="F50" s="17"/>
    </row>
    <row r="51">
      <c r="F51" s="17"/>
    </row>
    <row r="52">
      <c r="F52" s="17"/>
    </row>
    <row r="53">
      <c r="F53" s="17"/>
    </row>
    <row r="54">
      <c r="F54" s="17"/>
    </row>
    <row r="55">
      <c r="F55" s="17"/>
    </row>
    <row r="56">
      <c r="F56" s="17"/>
    </row>
    <row r="57">
      <c r="F57" s="17"/>
    </row>
    <row r="58">
      <c r="F58" s="17"/>
    </row>
    <row r="59">
      <c r="F59" s="17"/>
    </row>
    <row r="60">
      <c r="F60" s="17"/>
    </row>
    <row r="61">
      <c r="F61" s="17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  <row r="1001">
      <c r="F1001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8.88"/>
    <col customWidth="1" min="3" max="3" width="14.5"/>
    <col customWidth="1" min="4" max="4" width="12.0"/>
    <col customWidth="1" min="5" max="5" width="12.88"/>
    <col customWidth="1" min="6" max="6" width="62.5"/>
    <col customWidth="1" min="7" max="7" width="15.63"/>
    <col customWidth="1" min="8" max="8" width="3.13"/>
    <col customWidth="1" min="9" max="9" width="9.38"/>
    <col customWidth="1" min="10" max="10" width="26.38"/>
    <col customWidth="1" min="11" max="11" width="9.0"/>
    <col customWidth="1" min="12" max="12" width="9.38"/>
    <col customWidth="1" min="13" max="13" width="14.13"/>
    <col customWidth="1" min="15" max="15" width="57.25"/>
  </cols>
  <sheetData>
    <row r="1">
      <c r="A1" s="4" t="s">
        <v>1085</v>
      </c>
      <c r="B1" s="4" t="s">
        <v>1086</v>
      </c>
      <c r="C1" s="7" t="s">
        <v>1087</v>
      </c>
      <c r="E1" s="4" t="s">
        <v>1088</v>
      </c>
      <c r="F1" s="4" t="s">
        <v>1089</v>
      </c>
      <c r="G1" s="9" t="s">
        <v>1090</v>
      </c>
      <c r="I1" s="121" t="s">
        <v>1091</v>
      </c>
      <c r="J1" s="4" t="s">
        <v>1092</v>
      </c>
      <c r="K1" s="7" t="s">
        <v>1093</v>
      </c>
      <c r="L1" s="7" t="s">
        <v>1094</v>
      </c>
      <c r="M1" s="7" t="s">
        <v>1095</v>
      </c>
    </row>
    <row r="2">
      <c r="A2" s="122">
        <v>46062.0</v>
      </c>
      <c r="B2" s="4" t="s">
        <v>1096</v>
      </c>
      <c r="C2" s="7">
        <v>6750.0</v>
      </c>
      <c r="E2" s="122">
        <v>46063.0</v>
      </c>
      <c r="F2" s="4" t="s">
        <v>1097</v>
      </c>
      <c r="G2" s="9">
        <v>4940.0</v>
      </c>
      <c r="I2" s="123">
        <f>IFERROR(__xludf.DUMMYFUNCTION("SORT(FILTER(VSTACK(
   IFNA(FILTER(HSTACK(A2:A1000, ""Ingreso: ""&amp;B2:B1000, C2:C1000, IF(ROW(A2:A1000),0)), (A2:A1000&lt;&gt;"""")+(B2:B1000&lt;&gt;"""")+(C2:C1000&lt;&gt;"""")), HSTACK("""","""",0,0)),
   IFNA(FILTER(HSTACK(E2:E1000, ""Gasto: ""&amp;F2:F1000, IF(ROW(E2:E1000)"&amp;",0), G2:G1000), (E2:E1000&lt;&gt;"""")+(F2:F1000&lt;&gt;"""")+(G2:G1000&lt;&gt;"""")), HSTACK("""","""",0,0)),
   IFNA(FILTER(HSTACK('CTA CTE COLO'!B2:B1000, ""Colo: ""&amp;'CTA CTE COLO'!A2:A1000, IF('CTA CTE COLO'!F2:F1000&gt;0, 'CTA CTE COLO'!F2:F1000, 0), IF('CTA CTE COLO'!F2"&amp;":F1000&lt;0, ABS('CTA CTE COLO'!F2:F1000), 0)), ISNUMBER('CTA CTE COLO'!F2:F1000)*('CTA CTE COLO'!F2:F1000&lt;&gt;0)), HSTACK("""","""",0,0))
), INDEX(VSTACK(
   IFNA(FILTER(A2:A1000, (A2:A1000&lt;&gt;"""")+(B2:B1000&lt;&gt;"""")+(C2:C1000&lt;&gt;"""")), """"),
   IFNA(FILTER(E2:E1"&amp;"000, (E2:E1000&lt;&gt;"""")+(F2:F1000&lt;&gt;"""")+(G2:G1000&lt;&gt;"""")), """"),
   IFNA(FILTER('CTA CTE COLO'!B2:B1000, ISNUMBER('CTA CTE COLO'!F2:F1000)*('CTA CTE COLO'!F2:F1000&lt;&gt;0)), """")
), 0, 1)&lt;&gt;""""), 1, TRUE)"),46032.0)</f>
        <v>46032</v>
      </c>
      <c r="J2" s="21" t="str">
        <f>IFERROR(__xludf.DUMMYFUNCTION("""COMPUTED_VALUE"""),"Colo: ANTERIOR")</f>
        <v>Colo: ANTERIOR</v>
      </c>
      <c r="K2" s="12">
        <f>IFERROR(__xludf.DUMMYFUNCTION("""COMPUTED_VALUE"""),1158.0)</f>
        <v>1158</v>
      </c>
      <c r="L2" s="12">
        <f>IFERROR(__xludf.DUMMYFUNCTION("""COMPUTED_VALUE"""),0.0)</f>
        <v>0</v>
      </c>
      <c r="M2" s="12">
        <f t="array" ref="M2:M1000">IF(I2:I1000="", "", SCAN(0, N(K2:K1000) - N(L2:L1000), LAMBDA(acumulado, diferencia, acumulado + diferencia)))</f>
        <v>1158</v>
      </c>
    </row>
    <row r="3">
      <c r="A3" s="122">
        <v>46062.0</v>
      </c>
      <c r="B3" s="4" t="s">
        <v>1098</v>
      </c>
      <c r="C3" s="7">
        <v>6750.0</v>
      </c>
      <c r="E3" s="122">
        <v>46063.0</v>
      </c>
      <c r="F3" s="4" t="s">
        <v>1099</v>
      </c>
      <c r="G3" s="9">
        <v>304.0</v>
      </c>
      <c r="I3" s="123">
        <f>IFERROR(__xludf.DUMMYFUNCTION("""COMPUTED_VALUE"""),46053.0)</f>
        <v>46053</v>
      </c>
      <c r="J3" s="21" t="str">
        <f>IFERROR(__xludf.DUMMYFUNCTION("""COMPUTED_VALUE"""),"Colo: The press Club")</f>
        <v>Colo: The press Club</v>
      </c>
      <c r="K3" s="12">
        <f>IFERROR(__xludf.DUMMYFUNCTION("""COMPUTED_VALUE"""),0.0)</f>
        <v>0</v>
      </c>
      <c r="L3" s="12">
        <f>IFERROR(__xludf.DUMMYFUNCTION("""COMPUTED_VALUE"""),2180.0)</f>
        <v>2180</v>
      </c>
      <c r="M3" s="12">
        <v>-1022.0</v>
      </c>
    </row>
    <row r="4">
      <c r="A4" s="122"/>
      <c r="C4" s="7"/>
      <c r="E4" s="122">
        <v>46065.0</v>
      </c>
      <c r="F4" s="4" t="s">
        <v>1100</v>
      </c>
      <c r="G4" s="9">
        <v>304.0</v>
      </c>
      <c r="I4" s="123">
        <f>IFERROR(__xludf.DUMMYFUNCTION("""COMPUTED_VALUE"""),46058.0)</f>
        <v>46058</v>
      </c>
      <c r="J4" s="21" t="str">
        <f>IFERROR(__xludf.DUMMYFUNCTION("""COMPUTED_VALUE"""),"Colo: ANTERIOR")</f>
        <v>Colo: ANTERIOR</v>
      </c>
      <c r="K4" s="12">
        <f>IFERROR(__xludf.DUMMYFUNCTION("""COMPUTED_VALUE"""),386.0)</f>
        <v>386</v>
      </c>
      <c r="L4" s="12">
        <f>IFERROR(__xludf.DUMMYFUNCTION("""COMPUTED_VALUE"""),0.0)</f>
        <v>0</v>
      </c>
      <c r="M4" s="12">
        <v>-636.0</v>
      </c>
    </row>
    <row r="5">
      <c r="A5" s="122"/>
      <c r="C5" s="7"/>
      <c r="E5" s="122">
        <v>46065.0</v>
      </c>
      <c r="F5" s="4" t="s">
        <v>1101</v>
      </c>
      <c r="G5" s="9">
        <v>275.0</v>
      </c>
      <c r="I5" s="123">
        <f>IFERROR(__xludf.DUMMYFUNCTION("""COMPUTED_VALUE"""),46062.0)</f>
        <v>46062</v>
      </c>
      <c r="J5" s="21" t="str">
        <f>IFERROR(__xludf.DUMMYFUNCTION("""COMPUTED_VALUE"""),"Ingreso: Lucas")</f>
        <v>Ingreso: Lucas</v>
      </c>
      <c r="K5" s="12">
        <f>IFERROR(__xludf.DUMMYFUNCTION("""COMPUTED_VALUE"""),6750.0)</f>
        <v>6750</v>
      </c>
      <c r="L5" s="12">
        <f>IFERROR(__xludf.DUMMYFUNCTION("""COMPUTED_VALUE"""),0.0)</f>
        <v>0</v>
      </c>
      <c r="M5" s="12">
        <v>6114.0</v>
      </c>
    </row>
    <row r="6">
      <c r="A6" s="122"/>
      <c r="C6" s="7"/>
      <c r="E6" s="122">
        <v>46080.0</v>
      </c>
      <c r="F6" s="4" t="s">
        <v>1102</v>
      </c>
      <c r="G6" s="9">
        <v>1216.0</v>
      </c>
      <c r="I6" s="123">
        <f>IFERROR(__xludf.DUMMYFUNCTION("""COMPUTED_VALUE"""),46062.0)</f>
        <v>46062</v>
      </c>
      <c r="J6" s="21" t="str">
        <f>IFERROR(__xludf.DUMMYFUNCTION("""COMPUTED_VALUE"""),"Ingreso: German")</f>
        <v>Ingreso: German</v>
      </c>
      <c r="K6" s="12">
        <f>IFERROR(__xludf.DUMMYFUNCTION("""COMPUTED_VALUE"""),6750.0)</f>
        <v>6750</v>
      </c>
      <c r="L6" s="12">
        <f>IFERROR(__xludf.DUMMYFUNCTION("""COMPUTED_VALUE"""),0.0)</f>
        <v>0</v>
      </c>
      <c r="M6" s="12">
        <v>12864.0</v>
      </c>
    </row>
    <row r="7">
      <c r="C7" s="12"/>
      <c r="E7" s="122">
        <v>46083.0</v>
      </c>
      <c r="F7" s="4" t="s">
        <v>1103</v>
      </c>
      <c r="G7" s="9">
        <v>532.0</v>
      </c>
      <c r="I7" s="123">
        <f>IFERROR(__xludf.DUMMYFUNCTION("""COMPUTED_VALUE"""),46063.0)</f>
        <v>46063</v>
      </c>
      <c r="J7" s="21" t="str">
        <f>IFERROR(__xludf.DUMMYFUNCTION("""COMPUTED_VALUE"""),"Gasto: Sixstar Puffco 1")</f>
        <v>Gasto: Sixstar Puffco 1</v>
      </c>
      <c r="K7" s="12">
        <f>IFERROR(__xludf.DUMMYFUNCTION("""COMPUTED_VALUE"""),0.0)</f>
        <v>0</v>
      </c>
      <c r="L7" s="12">
        <f>IFERROR(__xludf.DUMMYFUNCTION("""COMPUTED_VALUE"""),4940.0)</f>
        <v>4940</v>
      </c>
      <c r="M7" s="12">
        <v>7924.0</v>
      </c>
    </row>
    <row r="8">
      <c r="C8" s="12"/>
      <c r="E8" s="122">
        <v>46090.0</v>
      </c>
      <c r="F8" s="4" t="s">
        <v>1104</v>
      </c>
      <c r="G8" s="9">
        <v>4750.0</v>
      </c>
      <c r="I8" s="123">
        <f>IFERROR(__xludf.DUMMYFUNCTION("""COMPUTED_VALUE"""),46063.0)</f>
        <v>46063</v>
      </c>
      <c r="J8" s="21" t="str">
        <f>IFERROR(__xludf.DUMMYFUNCTION("""COMPUTED_VALUE"""),"Gasto: Sixstar Press club")</f>
        <v>Gasto: Sixstar Press club</v>
      </c>
      <c r="K8" s="12">
        <f>IFERROR(__xludf.DUMMYFUNCTION("""COMPUTED_VALUE"""),0.0)</f>
        <v>0</v>
      </c>
      <c r="L8" s="12">
        <f>IFERROR(__xludf.DUMMYFUNCTION("""COMPUTED_VALUE"""),304.0)</f>
        <v>304</v>
      </c>
      <c r="M8" s="12">
        <v>7620.0</v>
      </c>
    </row>
    <row r="9">
      <c r="C9" s="12"/>
      <c r="E9" s="124">
        <v>46091.0</v>
      </c>
      <c r="F9" s="4" t="s">
        <v>1105</v>
      </c>
      <c r="G9" s="9">
        <v>2546.0</v>
      </c>
      <c r="I9" s="123">
        <f>IFERROR(__xludf.DUMMYFUNCTION("""COMPUTED_VALUE"""),46064.0)</f>
        <v>46064</v>
      </c>
      <c r="J9" s="21" t="str">
        <f>IFERROR(__xludf.DUMMYFUNCTION("""COMPUTED_VALUE"""),"Colo: PAGO PUFFCO")</f>
        <v>Colo: PAGO PUFFCO</v>
      </c>
      <c r="K9" s="12">
        <f>IFERROR(__xludf.DUMMYFUNCTION("""COMPUTED_VALUE"""),0.0)</f>
        <v>0</v>
      </c>
      <c r="L9" s="12">
        <f>IFERROR(__xludf.DUMMYFUNCTION("""COMPUTED_VALUE"""),4162.0)</f>
        <v>4162</v>
      </c>
      <c r="M9" s="12">
        <v>3458.0</v>
      </c>
    </row>
    <row r="10">
      <c r="C10" s="12"/>
      <c r="E10" s="122">
        <v>46086.0</v>
      </c>
      <c r="F10" s="4" t="s">
        <v>1106</v>
      </c>
      <c r="G10" s="9">
        <v>282.69</v>
      </c>
      <c r="I10" s="123">
        <f>IFERROR(__xludf.DUMMYFUNCTION("""COMPUTED_VALUE"""),46064.0)</f>
        <v>46064</v>
      </c>
      <c r="J10" s="21" t="str">
        <f>IFERROR(__xludf.DUMMYFUNCTION("""COMPUTED_VALUE"""),"Colo: INGRESO LUCAS")</f>
        <v>Colo: INGRESO LUCAS</v>
      </c>
      <c r="K10" s="12">
        <f>IFERROR(__xludf.DUMMYFUNCTION("""COMPUTED_VALUE"""),4000.0)</f>
        <v>4000</v>
      </c>
      <c r="L10" s="12">
        <f>IFERROR(__xludf.DUMMYFUNCTION("""COMPUTED_VALUE"""),0.0)</f>
        <v>0</v>
      </c>
      <c r="M10" s="12">
        <v>7458.0</v>
      </c>
    </row>
    <row r="11">
      <c r="C11" s="12"/>
      <c r="E11" s="122">
        <v>46086.0</v>
      </c>
      <c r="F11" s="4" t="s">
        <v>1107</v>
      </c>
      <c r="G11" s="9">
        <v>240.28</v>
      </c>
      <c r="I11" s="123">
        <f>IFERROR(__xludf.DUMMYFUNCTION("""COMPUTED_VALUE"""),46065.0)</f>
        <v>46065</v>
      </c>
      <c r="J11" s="21" t="str">
        <f>IFERROR(__xludf.DUMMYFUNCTION("""COMPUTED_VALUE"""),"Gasto: Sixstar Puffco 2")</f>
        <v>Gasto: Sixstar Puffco 2</v>
      </c>
      <c r="K11" s="12">
        <f>IFERROR(__xludf.DUMMYFUNCTION("""COMPUTED_VALUE"""),0.0)</f>
        <v>0</v>
      </c>
      <c r="L11" s="12">
        <f>IFERROR(__xludf.DUMMYFUNCTION("""COMPUTED_VALUE"""),304.0)</f>
        <v>304</v>
      </c>
      <c r="M11" s="12">
        <v>7154.0</v>
      </c>
    </row>
    <row r="12">
      <c r="E12" s="122">
        <v>46094.0</v>
      </c>
      <c r="F12" s="4" t="s">
        <v>1108</v>
      </c>
      <c r="G12" s="9">
        <v>1140.0</v>
      </c>
      <c r="I12" s="123">
        <f>IFERROR(__xludf.DUMMYFUNCTION("""COMPUTED_VALUE"""),46065.0)</f>
        <v>46065</v>
      </c>
      <c r="J12" s="21" t="str">
        <f>IFERROR(__xludf.DUMMYFUNCTION("""COMPUTED_VALUE"""),"Gasto: Sixstar Reynols")</f>
        <v>Gasto: Sixstar Reynols</v>
      </c>
      <c r="K12" s="12">
        <f>IFERROR(__xludf.DUMMYFUNCTION("""COMPUTED_VALUE"""),0.0)</f>
        <v>0</v>
      </c>
      <c r="L12" s="12">
        <f>IFERROR(__xludf.DUMMYFUNCTION("""COMPUTED_VALUE"""),275.0)</f>
        <v>275</v>
      </c>
      <c r="M12" s="12">
        <v>6879.0</v>
      </c>
      <c r="O12" s="4" t="s">
        <v>1109</v>
      </c>
      <c r="Q12" s="12"/>
    </row>
    <row r="13">
      <c r="E13" s="52">
        <v>46099.0</v>
      </c>
      <c r="F13" s="19" t="s">
        <v>1110</v>
      </c>
      <c r="G13" s="125">
        <v>418.0</v>
      </c>
      <c r="I13" s="123">
        <f>IFERROR(__xludf.DUMMYFUNCTION("""COMPUTED_VALUE"""),46067.0)</f>
        <v>46067</v>
      </c>
      <c r="J13" s="21" t="str">
        <f>IFERROR(__xludf.DUMMYFUNCTION("""COMPUTED_VALUE"""),"Colo: PAGO MEDUSA")</f>
        <v>Colo: PAGO MEDUSA</v>
      </c>
      <c r="K13" s="12">
        <f>IFERROR(__xludf.DUMMYFUNCTION("""COMPUTED_VALUE"""),0.0)</f>
        <v>0</v>
      </c>
      <c r="L13" s="12">
        <f>IFERROR(__xludf.DUMMYFUNCTION("""COMPUTED_VALUE"""),2349.0)</f>
        <v>2349</v>
      </c>
      <c r="M13" s="12">
        <v>4530.0</v>
      </c>
      <c r="O13" s="19" t="s">
        <v>1111</v>
      </c>
      <c r="P13" s="22"/>
      <c r="Q13" s="48"/>
      <c r="R13" s="22"/>
    </row>
    <row r="14">
      <c r="E14" s="52">
        <v>46100.0</v>
      </c>
      <c r="F14" s="19" t="s">
        <v>1112</v>
      </c>
      <c r="G14" s="125">
        <v>400.0</v>
      </c>
      <c r="I14" s="123">
        <f>IFERROR(__xludf.DUMMYFUNCTION("""COMPUTED_VALUE"""),46070.0)</f>
        <v>46070</v>
      </c>
      <c r="J14" s="21" t="str">
        <f>IFERROR(__xludf.DUMMYFUNCTION("""COMPUTED_VALUE"""),"Colo: Facundo Millan")</f>
        <v>Colo: Facundo Millan</v>
      </c>
      <c r="K14" s="12">
        <f>IFERROR(__xludf.DUMMYFUNCTION("""COMPUTED_VALUE"""),4542.0)</f>
        <v>4542</v>
      </c>
      <c r="L14" s="12">
        <f>IFERROR(__xludf.DUMMYFUNCTION("""COMPUTED_VALUE"""),0.0)</f>
        <v>0</v>
      </c>
      <c r="M14" s="12">
        <v>9072.0</v>
      </c>
      <c r="O14" s="19" t="s">
        <v>1113</v>
      </c>
      <c r="P14" s="22"/>
      <c r="Q14" s="48"/>
      <c r="R14" s="22"/>
    </row>
    <row r="15">
      <c r="E15" s="52">
        <v>46101.0</v>
      </c>
      <c r="F15" s="19" t="s">
        <v>1114</v>
      </c>
      <c r="G15" s="125">
        <v>1102.0</v>
      </c>
      <c r="I15" s="123">
        <f>IFERROR(__xludf.DUMMYFUNCTION("""COMPUTED_VALUE"""),46071.0)</f>
        <v>46071</v>
      </c>
      <c r="J15" s="21" t="str">
        <f>IFERROR(__xludf.DUMMYFUNCTION("""COMPUTED_VALUE"""),"Colo: PAGO MININAIL")</f>
        <v>Colo: PAGO MININAIL</v>
      </c>
      <c r="K15" s="12">
        <f>IFERROR(__xludf.DUMMYFUNCTION("""COMPUTED_VALUE"""),0.0)</f>
        <v>0</v>
      </c>
      <c r="L15" s="12">
        <f>IFERROR(__xludf.DUMMYFUNCTION("""COMPUTED_VALUE"""),3043.0)</f>
        <v>3043</v>
      </c>
      <c r="M15" s="12">
        <v>6029.0</v>
      </c>
      <c r="O15" s="19" t="s">
        <v>1115</v>
      </c>
      <c r="P15" s="22"/>
      <c r="Q15" s="48"/>
      <c r="R15" s="22"/>
    </row>
    <row r="16">
      <c r="E16" s="52">
        <v>46105.0</v>
      </c>
      <c r="F16" s="19" t="s">
        <v>1116</v>
      </c>
      <c r="G16" s="125">
        <v>120.0</v>
      </c>
      <c r="I16" s="123">
        <f>IFERROR(__xludf.DUMMYFUNCTION("""COMPUTED_VALUE"""),46072.0)</f>
        <v>46072</v>
      </c>
      <c r="J16" s="21" t="str">
        <f>IFERROR(__xludf.DUMMYFUNCTION("""COMPUTED_VALUE"""),"Colo: Nachito")</f>
        <v>Colo: Nachito</v>
      </c>
      <c r="K16" s="12">
        <f>IFERROR(__xludf.DUMMYFUNCTION("""COMPUTED_VALUE"""),694.0)</f>
        <v>694</v>
      </c>
      <c r="L16" s="12">
        <f>IFERROR(__xludf.DUMMYFUNCTION("""COMPUTED_VALUE"""),0.0)</f>
        <v>0</v>
      </c>
      <c r="M16" s="12">
        <v>6723.0</v>
      </c>
      <c r="O16" s="19" t="s">
        <v>1117</v>
      </c>
      <c r="P16" s="22"/>
      <c r="Q16" s="48"/>
      <c r="R16" s="22"/>
    </row>
    <row r="17">
      <c r="C17" s="12"/>
      <c r="E17" s="122">
        <v>46111.0</v>
      </c>
      <c r="F17" s="4" t="s">
        <v>1118</v>
      </c>
      <c r="G17" s="9">
        <v>2451.0</v>
      </c>
      <c r="I17" s="123">
        <f>IFERROR(__xludf.DUMMYFUNCTION("""COMPUTED_VALUE"""),46072.0)</f>
        <v>46072</v>
      </c>
      <c r="J17" s="21" t="str">
        <f>IFERROR(__xludf.DUMMYFUNCTION("""COMPUTED_VALUE"""),"Colo: Nachito")</f>
        <v>Colo: Nachito</v>
      </c>
      <c r="K17" s="12">
        <f>IFERROR(__xludf.DUMMYFUNCTION("""COMPUTED_VALUE"""),1740.0)</f>
        <v>1740</v>
      </c>
      <c r="L17" s="12">
        <f>IFERROR(__xludf.DUMMYFUNCTION("""COMPUTED_VALUE"""),0.0)</f>
        <v>0</v>
      </c>
      <c r="M17" s="12">
        <v>8463.0</v>
      </c>
      <c r="O17" s="4" t="s">
        <v>1119</v>
      </c>
    </row>
    <row r="18">
      <c r="C18" s="12"/>
      <c r="E18" s="122">
        <v>46114.0</v>
      </c>
      <c r="F18" s="4" t="s">
        <v>1120</v>
      </c>
      <c r="G18" s="9">
        <v>1209.0</v>
      </c>
      <c r="I18" s="123">
        <f>IFERROR(__xludf.DUMMYFUNCTION("""COMPUTED_VALUE"""),46072.0)</f>
        <v>46072</v>
      </c>
      <c r="J18" s="21" t="str">
        <f>IFERROR(__xludf.DUMMYFUNCTION("""COMPUTED_VALUE"""),"Colo: PAGO REYNOLS")</f>
        <v>Colo: PAGO REYNOLS</v>
      </c>
      <c r="K18" s="12">
        <f>IFERROR(__xludf.DUMMYFUNCTION("""COMPUTED_VALUE"""),0.0)</f>
        <v>0</v>
      </c>
      <c r="L18" s="12">
        <f>IFERROR(__xludf.DUMMYFUNCTION("""COMPUTED_VALUE"""),304.0)</f>
        <v>304</v>
      </c>
      <c r="M18" s="12">
        <v>8159.0</v>
      </c>
      <c r="O18" s="4" t="s">
        <v>1121</v>
      </c>
    </row>
    <row r="19">
      <c r="C19" s="12"/>
      <c r="E19" s="122">
        <v>46127.0</v>
      </c>
      <c r="F19" s="4" t="s">
        <v>1122</v>
      </c>
      <c r="G19" s="9">
        <v>532.0</v>
      </c>
      <c r="I19" s="123">
        <f>IFERROR(__xludf.DUMMYFUNCTION("""COMPUTED_VALUE"""),46072.0)</f>
        <v>46072</v>
      </c>
      <c r="J19" s="21" t="str">
        <f>IFERROR(__xludf.DUMMYFUNCTION("""COMPUTED_VALUE"""),"Colo: CARGO POR USD")</f>
        <v>Colo: CARGO POR USD</v>
      </c>
      <c r="K19" s="12">
        <f>IFERROR(__xludf.DUMMYFUNCTION("""COMPUTED_VALUE"""),0.0)</f>
        <v>0</v>
      </c>
      <c r="L19" s="12">
        <f>IFERROR(__xludf.DUMMYFUNCTION("""COMPUTED_VALUE"""),35.0)</f>
        <v>35</v>
      </c>
      <c r="M19" s="12">
        <v>8124.0</v>
      </c>
    </row>
    <row r="20">
      <c r="C20" s="12"/>
      <c r="E20" s="122">
        <v>46127.0</v>
      </c>
      <c r="F20" s="4" t="s">
        <v>1123</v>
      </c>
      <c r="G20" s="9">
        <v>627.0</v>
      </c>
      <c r="I20" s="123">
        <f>IFERROR(__xludf.DUMMYFUNCTION("""COMPUTED_VALUE"""),46072.0)</f>
        <v>46072</v>
      </c>
      <c r="J20" s="21" t="str">
        <f>IFERROR(__xludf.DUMMYFUNCTION("""COMPUTED_VALUE"""),"Colo: Nachito")</f>
        <v>Colo: Nachito</v>
      </c>
      <c r="K20" s="12">
        <f>IFERROR(__xludf.DUMMYFUNCTION("""COMPUTED_VALUE"""),5900.0)</f>
        <v>5900</v>
      </c>
      <c r="L20" s="12">
        <f>IFERROR(__xludf.DUMMYFUNCTION("""COMPUTED_VALUE"""),0.0)</f>
        <v>0</v>
      </c>
      <c r="M20" s="12">
        <v>14024.0</v>
      </c>
    </row>
    <row r="21">
      <c r="C21" s="12"/>
      <c r="E21" s="122">
        <v>46128.0</v>
      </c>
      <c r="F21" s="4" t="s">
        <v>1110</v>
      </c>
      <c r="G21" s="9">
        <v>400.0</v>
      </c>
      <c r="I21" s="123">
        <f>IFERROR(__xludf.DUMMYFUNCTION("""COMPUTED_VALUE"""),46075.0)</f>
        <v>46075</v>
      </c>
      <c r="J21" s="21" t="str">
        <f>IFERROR(__xludf.DUMMYFUNCTION("""COMPUTED_VALUE"""),"Colo: Abril Barbaria")</f>
        <v>Colo: Abril Barbaria</v>
      </c>
      <c r="K21" s="12">
        <f>IFERROR(__xludf.DUMMYFUNCTION("""COMPUTED_VALUE"""),3001.0)</f>
        <v>3001</v>
      </c>
      <c r="L21" s="12">
        <f>IFERROR(__xludf.DUMMYFUNCTION("""COMPUTED_VALUE"""),0.0)</f>
        <v>0</v>
      </c>
      <c r="M21" s="12">
        <v>17025.0</v>
      </c>
    </row>
    <row r="22">
      <c r="C22" s="12"/>
      <c r="E22" s="122">
        <v>46128.0</v>
      </c>
      <c r="F22" s="4" t="s">
        <v>1124</v>
      </c>
      <c r="G22" s="9">
        <v>320.0</v>
      </c>
      <c r="I22" s="123">
        <f>IFERROR(__xludf.DUMMYFUNCTION("""COMPUTED_VALUE"""),46077.0)</f>
        <v>46077</v>
      </c>
      <c r="J22" s="21" t="str">
        <f>IFERROR(__xludf.DUMMYFUNCTION("""COMPUTED_VALUE"""),"Colo: PAGO PUFCO")</f>
        <v>Colo: PAGO PUFCO</v>
      </c>
      <c r="K22" s="12">
        <f>IFERROR(__xludf.DUMMYFUNCTION("""COMPUTED_VALUE"""),0.0)</f>
        <v>0</v>
      </c>
      <c r="L22" s="12">
        <f>IFERROR(__xludf.DUMMYFUNCTION("""COMPUTED_VALUE"""),7190.0)</f>
        <v>7190</v>
      </c>
      <c r="M22" s="12">
        <v>9835.0</v>
      </c>
    </row>
    <row r="23">
      <c r="C23" s="12"/>
      <c r="E23" s="122">
        <v>46134.0</v>
      </c>
      <c r="F23" s="4" t="s">
        <v>1125</v>
      </c>
      <c r="G23" s="9">
        <v>874.0</v>
      </c>
      <c r="I23" s="123">
        <f>IFERROR(__xludf.DUMMYFUNCTION("""COMPUTED_VALUE"""),46077.0)</f>
        <v>46077</v>
      </c>
      <c r="J23" s="21" t="str">
        <f>IFERROR(__xludf.DUMMYFUNCTION("""COMPUTED_VALUE"""),"Colo: PAGO TIN UY")</f>
        <v>Colo: PAGO TIN UY</v>
      </c>
      <c r="K23" s="12">
        <f>IFERROR(__xludf.DUMMYFUNCTION("""COMPUTED_VALUE"""),2000.0)</f>
        <v>2000</v>
      </c>
      <c r="L23" s="12">
        <f>IFERROR(__xludf.DUMMYFUNCTION("""COMPUTED_VALUE"""),0.0)</f>
        <v>0</v>
      </c>
      <c r="M23" s="12">
        <v>11835.0</v>
      </c>
    </row>
    <row r="24">
      <c r="C24" s="12"/>
      <c r="E24" s="122">
        <v>46148.0</v>
      </c>
      <c r="F24" s="4" t="s">
        <v>1126</v>
      </c>
      <c r="G24" s="9">
        <v>478.0</v>
      </c>
      <c r="I24" s="123">
        <f>IFERROR(__xludf.DUMMYFUNCTION("""COMPUTED_VALUE"""),46077.0)</f>
        <v>46077</v>
      </c>
      <c r="J24" s="21" t="str">
        <f>IFERROR(__xludf.DUMMYFUNCTION("""COMPUTED_VALUE"""),"Colo: BUBBLE BAG")</f>
        <v>Colo: BUBBLE BAG</v>
      </c>
      <c r="K24" s="12">
        <f>IFERROR(__xludf.DUMMYFUNCTION("""COMPUTED_VALUE"""),0.0)</f>
        <v>0</v>
      </c>
      <c r="L24" s="12">
        <f>IFERROR(__xludf.DUMMYFUNCTION("""COMPUTED_VALUE"""),3243.0)</f>
        <v>3243</v>
      </c>
      <c r="M24" s="12">
        <v>8592.0</v>
      </c>
      <c r="O24" s="4" t="s">
        <v>1127</v>
      </c>
    </row>
    <row r="25">
      <c r="C25" s="12"/>
      <c r="E25" s="122">
        <v>46148.0</v>
      </c>
      <c r="F25" s="4" t="s">
        <v>1128</v>
      </c>
      <c r="G25" s="9">
        <v>485.0</v>
      </c>
      <c r="I25" s="123">
        <f>IFERROR(__xludf.DUMMYFUNCTION("""COMPUTED_VALUE"""),46077.0)</f>
        <v>46077</v>
      </c>
      <c r="J25" s="21" t="str">
        <f>IFERROR(__xludf.DUMMYFUNCTION("""COMPUTED_VALUE"""),"Colo: Formula 420")</f>
        <v>Colo: Formula 420</v>
      </c>
      <c r="K25" s="12">
        <f>IFERROR(__xludf.DUMMYFUNCTION("""COMPUTED_VALUE"""),0.0)</f>
        <v>0</v>
      </c>
      <c r="L25" s="12">
        <f>IFERROR(__xludf.DUMMYFUNCTION("""COMPUTED_VALUE"""),3048.0)</f>
        <v>3048</v>
      </c>
      <c r="M25" s="12">
        <v>5544.0</v>
      </c>
    </row>
    <row r="26">
      <c r="C26" s="12"/>
      <c r="E26" s="122">
        <v>46151.0</v>
      </c>
      <c r="F26" s="4" t="s">
        <v>1110</v>
      </c>
      <c r="G26" s="9">
        <v>470.0</v>
      </c>
      <c r="I26" s="123">
        <f>IFERROR(__xludf.DUMMYFUNCTION("""COMPUTED_VALUE"""),46077.0)</f>
        <v>46077</v>
      </c>
      <c r="J26" s="21" t="str">
        <f>IFERROR(__xludf.DUMMYFUNCTION("""COMPUTED_VALUE"""),"Colo: The press club")</f>
        <v>Colo: The press club</v>
      </c>
      <c r="K26" s="12">
        <f>IFERROR(__xludf.DUMMYFUNCTION("""COMPUTED_VALUE"""),0.0)</f>
        <v>0</v>
      </c>
      <c r="L26" s="12">
        <f>IFERROR(__xludf.DUMMYFUNCTION("""COMPUTED_VALUE"""),2785.0)</f>
        <v>2785</v>
      </c>
      <c r="M26" s="12">
        <v>2759.0</v>
      </c>
    </row>
    <row r="27">
      <c r="C27" s="12"/>
      <c r="E27" s="122">
        <v>46153.0</v>
      </c>
      <c r="F27" s="4" t="s">
        <v>1129</v>
      </c>
      <c r="G27" s="9">
        <v>900.0</v>
      </c>
      <c r="I27" s="123">
        <f>IFERROR(__xludf.DUMMYFUNCTION("""COMPUTED_VALUE"""),46077.0)</f>
        <v>46077</v>
      </c>
      <c r="J27" s="21" t="str">
        <f>IFERROR(__xludf.DUMMYFUNCTION("""COMPUTED_VALUE"""),"Colo: Formula 420")</f>
        <v>Colo: Formula 420</v>
      </c>
      <c r="K27" s="12">
        <f>IFERROR(__xludf.DUMMYFUNCTION("""COMPUTED_VALUE"""),0.0)</f>
        <v>0</v>
      </c>
      <c r="L27" s="12">
        <f>IFERROR(__xludf.DUMMYFUNCTION("""COMPUTED_VALUE"""),3572.0)</f>
        <v>3572</v>
      </c>
      <c r="M27" s="12">
        <v>-813.0</v>
      </c>
    </row>
    <row r="28">
      <c r="C28" s="12"/>
      <c r="E28" s="122">
        <v>46153.0</v>
      </c>
      <c r="F28" s="4" t="s">
        <v>1130</v>
      </c>
      <c r="G28" s="9">
        <v>230.0</v>
      </c>
      <c r="I28" s="123">
        <f>IFERROR(__xludf.DUMMYFUNCTION("""COMPUTED_VALUE"""),46078.0)</f>
        <v>46078</v>
      </c>
      <c r="J28" s="21" t="str">
        <f>IFERROR(__xludf.DUMMYFUNCTION("""COMPUTED_VALUE"""),"Colo: Rodrigo Orellano")</f>
        <v>Colo: Rodrigo Orellano</v>
      </c>
      <c r="K28" s="12">
        <f>IFERROR(__xludf.DUMMYFUNCTION("""COMPUTED_VALUE"""),1481.0)</f>
        <v>1481</v>
      </c>
      <c r="L28" s="12">
        <f>IFERROR(__xludf.DUMMYFUNCTION("""COMPUTED_VALUE"""),0.0)</f>
        <v>0</v>
      </c>
      <c r="M28" s="12">
        <v>668.0</v>
      </c>
    </row>
    <row r="29">
      <c r="C29" s="12"/>
      <c r="E29" s="122">
        <v>46157.0</v>
      </c>
      <c r="F29" s="4" t="s">
        <v>1131</v>
      </c>
      <c r="G29" s="9">
        <v>1748.0</v>
      </c>
      <c r="I29" s="123">
        <f>IFERROR(__xludf.DUMMYFUNCTION("""COMPUTED_VALUE"""),46080.0)</f>
        <v>46080</v>
      </c>
      <c r="J29" s="21" t="str">
        <f>IFERROR(__xludf.DUMMYFUNCTION("""COMPUTED_VALUE"""),"Gasto: Sixstar Puffco 3")</f>
        <v>Gasto: Sixstar Puffco 3</v>
      </c>
      <c r="K29" s="12">
        <f>IFERROR(__xludf.DUMMYFUNCTION("""COMPUTED_VALUE"""),0.0)</f>
        <v>0</v>
      </c>
      <c r="L29" s="12">
        <f>IFERROR(__xludf.DUMMYFUNCTION("""COMPUTED_VALUE"""),1216.0)</f>
        <v>1216</v>
      </c>
      <c r="M29" s="12">
        <v>-548.0</v>
      </c>
    </row>
    <row r="30">
      <c r="C30" s="12"/>
      <c r="E30" s="122">
        <v>46161.0</v>
      </c>
      <c r="F30" s="4" t="s">
        <v>1132</v>
      </c>
      <c r="G30" s="9">
        <v>3534.0</v>
      </c>
      <c r="I30" s="123">
        <f>IFERROR(__xludf.DUMMYFUNCTION("""COMPUTED_VALUE"""),46080.0)</f>
        <v>46080</v>
      </c>
      <c r="J30" s="21" t="str">
        <f>IFERROR(__xludf.DUMMYFUNCTION("""COMPUTED_VALUE"""),"Colo: Nuñez Agustin")</f>
        <v>Colo: Nuñez Agustin</v>
      </c>
      <c r="K30" s="12">
        <f>IFERROR(__xludf.DUMMYFUNCTION("""COMPUTED_VALUE"""),609.0)</f>
        <v>609</v>
      </c>
      <c r="L30" s="12">
        <f>IFERROR(__xludf.DUMMYFUNCTION("""COMPUTED_VALUE"""),0.0)</f>
        <v>0</v>
      </c>
      <c r="M30" s="12">
        <v>61.0</v>
      </c>
    </row>
    <row r="31">
      <c r="C31" s="12"/>
      <c r="E31" s="126">
        <v>46176.0</v>
      </c>
      <c r="F31" s="4" t="s">
        <v>1133</v>
      </c>
      <c r="G31" s="9">
        <v>6720.0</v>
      </c>
      <c r="I31" s="123">
        <f>IFERROR(__xludf.DUMMYFUNCTION("""COMPUTED_VALUE"""),46083.0)</f>
        <v>46083</v>
      </c>
      <c r="J31" s="21" t="str">
        <f>IFERROR(__xludf.DUMMYFUNCTION("""COMPUTED_VALUE"""),"Gasto: Sixstar MJ ARSENAL")</f>
        <v>Gasto: Sixstar MJ ARSENAL</v>
      </c>
      <c r="K31" s="12">
        <f>IFERROR(__xludf.DUMMYFUNCTION("""COMPUTED_VALUE"""),0.0)</f>
        <v>0</v>
      </c>
      <c r="L31" s="12">
        <f>IFERROR(__xludf.DUMMYFUNCTION("""COMPUTED_VALUE"""),532.0)</f>
        <v>532</v>
      </c>
      <c r="M31" s="12">
        <v>-471.0</v>
      </c>
    </row>
    <row r="32">
      <c r="C32" s="12"/>
      <c r="E32" s="122">
        <v>46181.0</v>
      </c>
      <c r="F32" s="4" t="s">
        <v>1134</v>
      </c>
      <c r="G32" s="9">
        <v>874.0</v>
      </c>
      <c r="I32" s="123">
        <f>IFERROR(__xludf.DUMMYFUNCTION("""COMPUTED_VALUE"""),46086.0)</f>
        <v>46086</v>
      </c>
      <c r="J32" s="21" t="str">
        <f>IFERROR(__xludf.DUMMYFUNCTION("""COMPUTED_VALUE"""),"Gasto: Nacho")</f>
        <v>Gasto: Nacho</v>
      </c>
      <c r="K32" s="12">
        <f>IFERROR(__xludf.DUMMYFUNCTION("""COMPUTED_VALUE"""),0.0)</f>
        <v>0</v>
      </c>
      <c r="L32" s="12">
        <f>IFERROR(__xludf.DUMMYFUNCTION("""COMPUTED_VALUE"""),282.69)</f>
        <v>282.69</v>
      </c>
      <c r="M32" s="12">
        <v>-753.69</v>
      </c>
    </row>
    <row r="33">
      <c r="C33" s="12"/>
      <c r="E33" s="122">
        <v>46182.0</v>
      </c>
      <c r="F33" s="4" t="s">
        <v>1135</v>
      </c>
      <c r="G33" s="9">
        <v>1045.0</v>
      </c>
      <c r="I33" s="123">
        <f>IFERROR(__xludf.DUMMYFUNCTION("""COMPUTED_VALUE"""),46086.0)</f>
        <v>46086</v>
      </c>
      <c r="J33" s="21" t="str">
        <f>IFERROR(__xludf.DUMMYFUNCTION("""COMPUTED_VALUE"""),"Gasto: Coca")</f>
        <v>Gasto: Coca</v>
      </c>
      <c r="K33" s="12">
        <f>IFERROR(__xludf.DUMMYFUNCTION("""COMPUTED_VALUE"""),0.0)</f>
        <v>0</v>
      </c>
      <c r="L33" s="12">
        <f>IFERROR(__xludf.DUMMYFUNCTION("""COMPUTED_VALUE"""),240.28)</f>
        <v>240.28</v>
      </c>
      <c r="M33" s="12">
        <v>-993.97</v>
      </c>
    </row>
    <row r="34">
      <c r="C34" s="12"/>
      <c r="E34" s="122">
        <v>46191.0</v>
      </c>
      <c r="F34" s="4" t="s">
        <v>1136</v>
      </c>
      <c r="G34" s="9">
        <v>200.0</v>
      </c>
      <c r="I34" s="123">
        <f>IFERROR(__xludf.DUMMYFUNCTION("""COMPUTED_VALUE"""),46087.0)</f>
        <v>46087</v>
      </c>
      <c r="J34" s="21" t="str">
        <f>IFERROR(__xludf.DUMMYFUNCTION("""COMPUTED_VALUE"""),"Colo: Barbaria Abril")</f>
        <v>Colo: Barbaria Abril</v>
      </c>
      <c r="K34" s="12">
        <f>IFERROR(__xludf.DUMMYFUNCTION("""COMPUTED_VALUE"""),1786.0)</f>
        <v>1786</v>
      </c>
      <c r="L34" s="12">
        <f>IFERROR(__xludf.DUMMYFUNCTION("""COMPUTED_VALUE"""),0.0)</f>
        <v>0</v>
      </c>
      <c r="M34" s="12">
        <v>792.03</v>
      </c>
    </row>
    <row r="35">
      <c r="C35" s="12"/>
      <c r="E35" s="122">
        <v>46192.0</v>
      </c>
      <c r="F35" s="4" t="s">
        <v>1137</v>
      </c>
      <c r="G35" s="9">
        <v>235.0</v>
      </c>
      <c r="I35" s="123">
        <f>IFERROR(__xludf.DUMMYFUNCTION("""COMPUTED_VALUE"""),46090.0)</f>
        <v>46090</v>
      </c>
      <c r="J35" s="21" t="str">
        <f>IFERROR(__xludf.DUMMYFUNCTION("""COMPUTED_VALUE"""),"Gasto: Sixstar Mininail/bubble")</f>
        <v>Gasto: Sixstar Mininail/bubble</v>
      </c>
      <c r="K35" s="12">
        <f>IFERROR(__xludf.DUMMYFUNCTION("""COMPUTED_VALUE"""),0.0)</f>
        <v>0</v>
      </c>
      <c r="L35" s="12">
        <f>IFERROR(__xludf.DUMMYFUNCTION("""COMPUTED_VALUE"""),4750.0)</f>
        <v>4750</v>
      </c>
      <c r="M35" s="12">
        <v>-3957.9700000000003</v>
      </c>
    </row>
    <row r="36">
      <c r="C36" s="12"/>
      <c r="E36" s="122">
        <v>46192.0</v>
      </c>
      <c r="F36" s="4" t="s">
        <v>1138</v>
      </c>
      <c r="G36" s="9">
        <v>340.0</v>
      </c>
      <c r="I36" s="123">
        <f>IFERROR(__xludf.DUMMYFUNCTION("""COMPUTED_VALUE"""),46091.0)</f>
        <v>46091</v>
      </c>
      <c r="J36" s="21" t="str">
        <f>IFERROR(__xludf.DUMMYFUNCTION("""COMPUTED_VALUE"""),"Gasto: Sixstar puffco 4")</f>
        <v>Gasto: Sixstar puffco 4</v>
      </c>
      <c r="K36" s="12">
        <f>IFERROR(__xludf.DUMMYFUNCTION("""COMPUTED_VALUE"""),0.0)</f>
        <v>0</v>
      </c>
      <c r="L36" s="12">
        <f>IFERROR(__xludf.DUMMYFUNCTION("""COMPUTED_VALUE"""),2546.0)</f>
        <v>2546</v>
      </c>
      <c r="M36" s="12">
        <v>-6503.97</v>
      </c>
    </row>
    <row r="37">
      <c r="C37" s="12"/>
      <c r="E37" s="122">
        <v>46202.0</v>
      </c>
      <c r="F37" s="4" t="s">
        <v>1139</v>
      </c>
      <c r="G37" s="9">
        <v>2698.0</v>
      </c>
      <c r="I37" s="123">
        <f>IFERROR(__xludf.DUMMYFUNCTION("""COMPUTED_VALUE"""),46093.0)</f>
        <v>46093</v>
      </c>
      <c r="J37" s="21" t="str">
        <f>IFERROR(__xludf.DUMMYFUNCTION("""COMPUTED_VALUE"""),"Colo: Nachito")</f>
        <v>Colo: Nachito</v>
      </c>
      <c r="K37" s="12">
        <f>IFERROR(__xludf.DUMMYFUNCTION("""COMPUTED_VALUE"""),3680.0)</f>
        <v>3680</v>
      </c>
      <c r="L37" s="12">
        <f>IFERROR(__xludf.DUMMYFUNCTION("""COMPUTED_VALUE"""),0.0)</f>
        <v>0</v>
      </c>
      <c r="M37" s="12">
        <v>-2823.9700000000003</v>
      </c>
    </row>
    <row r="38">
      <c r="C38" s="12"/>
      <c r="E38" s="122">
        <v>46205.0</v>
      </c>
      <c r="F38" s="4" t="s">
        <v>1140</v>
      </c>
      <c r="G38" s="9">
        <v>240.0</v>
      </c>
      <c r="I38" s="123">
        <f>IFERROR(__xludf.DUMMYFUNCTION("""COMPUTED_VALUE"""),46094.0)</f>
        <v>46094</v>
      </c>
      <c r="J38" s="21" t="str">
        <f>IFERROR(__xludf.DUMMYFUNCTION("""COMPUTED_VALUE"""),"Gasto: Sistar puffco 5 (proxy core)")</f>
        <v>Gasto: Sistar puffco 5 (proxy core)</v>
      </c>
      <c r="K38" s="12">
        <f>IFERROR(__xludf.DUMMYFUNCTION("""COMPUTED_VALUE"""),0.0)</f>
        <v>0</v>
      </c>
      <c r="L38" s="12">
        <f>IFERROR(__xludf.DUMMYFUNCTION("""COMPUTED_VALUE"""),1140.0)</f>
        <v>1140</v>
      </c>
      <c r="M38" s="12">
        <v>-3963.9700000000003</v>
      </c>
    </row>
    <row r="39">
      <c r="C39" s="12"/>
      <c r="E39" s="122">
        <v>46213.0</v>
      </c>
      <c r="F39" s="4" t="s">
        <v>1141</v>
      </c>
      <c r="G39" s="9">
        <v>300.0</v>
      </c>
      <c r="I39" s="123">
        <f>IFERROR(__xludf.DUMMYFUNCTION("""COMPUTED_VALUE"""),46097.0)</f>
        <v>46097</v>
      </c>
      <c r="J39" s="21" t="str">
        <f>IFERROR(__xludf.DUMMYFUNCTION("""COMPUTED_VALUE"""),"Colo: Carranza Alejandro")</f>
        <v>Colo: Carranza Alejandro</v>
      </c>
      <c r="K39" s="12">
        <f>IFERROR(__xludf.DUMMYFUNCTION("""COMPUTED_VALUE"""),3215.0)</f>
        <v>3215</v>
      </c>
      <c r="L39" s="12">
        <f>IFERROR(__xludf.DUMMYFUNCTION("""COMPUTED_VALUE"""),0.0)</f>
        <v>0</v>
      </c>
      <c r="M39" s="12">
        <v>-748.9700000000003</v>
      </c>
    </row>
    <row r="40">
      <c r="C40" s="12"/>
      <c r="E40" s="122">
        <v>46216.0</v>
      </c>
      <c r="F40" s="4" t="s">
        <v>1142</v>
      </c>
      <c r="G40" s="9">
        <v>900.0</v>
      </c>
      <c r="I40" s="123">
        <f>IFERROR(__xludf.DUMMYFUNCTION("""COMPUTED_VALUE"""),46098.0)</f>
        <v>46098</v>
      </c>
      <c r="J40" s="21" t="str">
        <f>IFERROR(__xludf.DUMMYFUNCTION("""COMPUTED_VALUE"""),"Colo: PAGO PUFCO")</f>
        <v>Colo: PAGO PUFCO</v>
      </c>
      <c r="K40" s="12">
        <f>IFERROR(__xludf.DUMMYFUNCTION("""COMPUTED_VALUE"""),0.0)</f>
        <v>0</v>
      </c>
      <c r="L40" s="12">
        <f>IFERROR(__xludf.DUMMYFUNCTION("""COMPUTED_VALUE"""),5175.0)</f>
        <v>5175</v>
      </c>
      <c r="M40" s="12">
        <v>-5923.97</v>
      </c>
      <c r="O40" s="4" t="s">
        <v>1143</v>
      </c>
    </row>
    <row r="41">
      <c r="C41" s="12"/>
      <c r="E41" s="122">
        <v>46219.0</v>
      </c>
      <c r="F41" s="4" t="s">
        <v>1144</v>
      </c>
      <c r="G41" s="9">
        <v>235.0</v>
      </c>
      <c r="I41" s="123">
        <f>IFERROR(__xludf.DUMMYFUNCTION("""COMPUTED_VALUE"""),46098.0)</f>
        <v>46098</v>
      </c>
      <c r="J41" s="21" t="str">
        <f>IFERROR(__xludf.DUMMYFUNCTION("""COMPUTED_VALUE"""),"Colo: VANDERVERG")</f>
        <v>Colo: VANDERVERG</v>
      </c>
      <c r="K41" s="12">
        <f>IFERROR(__xludf.DUMMYFUNCTION("""COMPUTED_VALUE"""),0.0)</f>
        <v>0</v>
      </c>
      <c r="L41" s="12">
        <f>IFERROR(__xludf.DUMMYFUNCTION("""COMPUTED_VALUE"""),13665.0)</f>
        <v>13665</v>
      </c>
      <c r="M41" s="12">
        <v>-19588.97</v>
      </c>
    </row>
    <row r="42">
      <c r="C42" s="12"/>
      <c r="E42" s="122">
        <v>46219.0</v>
      </c>
      <c r="F42" s="4" t="s">
        <v>1145</v>
      </c>
      <c r="G42" s="9">
        <v>560.0</v>
      </c>
      <c r="I42" s="123">
        <f>IFERROR(__xludf.DUMMYFUNCTION("""COMPUTED_VALUE"""),46099.0)</f>
        <v>46099</v>
      </c>
      <c r="J42" s="21" t="str">
        <f>IFERROR(__xludf.DUMMYFUNCTION("""COMPUTED_VALUE"""),"Gasto: nachito al dia")</f>
        <v>Gasto: nachito al dia</v>
      </c>
      <c r="K42" s="12">
        <f>IFERROR(__xludf.DUMMYFUNCTION("""COMPUTED_VALUE"""),0.0)</f>
        <v>0</v>
      </c>
      <c r="L42" s="12">
        <f>IFERROR(__xludf.DUMMYFUNCTION("""COMPUTED_VALUE"""),418.0)</f>
        <v>418</v>
      </c>
      <c r="M42" s="12">
        <v>-20006.97</v>
      </c>
    </row>
    <row r="43">
      <c r="C43" s="12"/>
      <c r="E43" s="122">
        <v>46220.0</v>
      </c>
      <c r="F43" s="4" t="s">
        <v>1146</v>
      </c>
      <c r="G43" s="9">
        <v>650.0</v>
      </c>
      <c r="I43" s="123">
        <f>IFERROR(__xludf.DUMMYFUNCTION("""COMPUTED_VALUE"""),46100.0)</f>
        <v>46100</v>
      </c>
      <c r="J43" s="21" t="str">
        <f>IFERROR(__xludf.DUMMYFUNCTION("""COMPUTED_VALUE"""),"Gasto: reserva oficina Leloir")</f>
        <v>Gasto: reserva oficina Leloir</v>
      </c>
      <c r="K43" s="12">
        <f>IFERROR(__xludf.DUMMYFUNCTION("""COMPUTED_VALUE"""),0.0)</f>
        <v>0</v>
      </c>
      <c r="L43" s="12">
        <f>IFERROR(__xludf.DUMMYFUNCTION("""COMPUTED_VALUE"""),400.0)</f>
        <v>400</v>
      </c>
      <c r="M43" s="12">
        <v>-20406.97</v>
      </c>
    </row>
    <row r="44">
      <c r="C44" s="12"/>
      <c r="E44" s="122">
        <v>46220.0</v>
      </c>
      <c r="F44" s="4" t="s">
        <v>1147</v>
      </c>
      <c r="G44" s="9">
        <v>550.0</v>
      </c>
      <c r="I44" s="123">
        <f>IFERROR(__xludf.DUMMYFUNCTION("""COMPUTED_VALUE"""),46100.0)</f>
        <v>46100</v>
      </c>
      <c r="J44" s="21" t="str">
        <f>IFERROR(__xludf.DUMMYFUNCTION("""COMPUTED_VALUE"""),"Colo: Aquino Ignacio")</f>
        <v>Colo: Aquino Ignacio</v>
      </c>
      <c r="K44" s="12">
        <f>IFERROR(__xludf.DUMMYFUNCTION("""COMPUTED_VALUE"""),6946.0)</f>
        <v>6946</v>
      </c>
      <c r="L44" s="12">
        <f>IFERROR(__xludf.DUMMYFUNCTION("""COMPUTED_VALUE"""),0.0)</f>
        <v>0</v>
      </c>
      <c r="M44" s="12">
        <v>-13460.970000000001</v>
      </c>
    </row>
    <row r="45">
      <c r="C45" s="12"/>
      <c r="E45" s="122">
        <v>46221.0</v>
      </c>
      <c r="F45" s="4" t="s">
        <v>1148</v>
      </c>
      <c r="G45" s="9">
        <v>200.0</v>
      </c>
      <c r="I45" s="123">
        <f>IFERROR(__xludf.DUMMYFUNCTION("""COMPUTED_VALUE"""),46101.0)</f>
        <v>46101</v>
      </c>
      <c r="J45" s="21" t="str">
        <f>IFERROR(__xludf.DUMMYFUNCTION("""COMPUTED_VALUE"""),"Gasto: Sixstar MJ ARSENAL 2 29kg")</f>
        <v>Gasto: Sixstar MJ ARSENAL 2 29kg</v>
      </c>
      <c r="K45" s="12">
        <f>IFERROR(__xludf.DUMMYFUNCTION("""COMPUTED_VALUE"""),0.0)</f>
        <v>0</v>
      </c>
      <c r="L45" s="12">
        <f>IFERROR(__xludf.DUMMYFUNCTION("""COMPUTED_VALUE"""),1102.0)</f>
        <v>1102</v>
      </c>
      <c r="M45" s="12">
        <v>-14562.970000000001</v>
      </c>
    </row>
    <row r="46">
      <c r="C46" s="12"/>
      <c r="E46" s="122">
        <v>46223.0</v>
      </c>
      <c r="F46" s="4" t="s">
        <v>1149</v>
      </c>
      <c r="G46" s="9">
        <v>5700.0</v>
      </c>
      <c r="I46" s="123">
        <f>IFERROR(__xludf.DUMMYFUNCTION("""COMPUTED_VALUE"""),46105.0)</f>
        <v>46105</v>
      </c>
      <c r="J46" s="21" t="str">
        <f>IFERROR(__xludf.DUMMYFUNCTION("""COMPUTED_VALUE"""),"Gasto: pago bolsas la despensa")</f>
        <v>Gasto: pago bolsas la despensa</v>
      </c>
      <c r="K46" s="12">
        <f>IFERROR(__xludf.DUMMYFUNCTION("""COMPUTED_VALUE"""),0.0)</f>
        <v>0</v>
      </c>
      <c r="L46" s="12">
        <f>IFERROR(__xludf.DUMMYFUNCTION("""COMPUTED_VALUE"""),120.0)</f>
        <v>120</v>
      </c>
      <c r="M46" s="12">
        <v>-14682.970000000001</v>
      </c>
    </row>
    <row r="47">
      <c r="C47" s="12"/>
      <c r="E47" s="122">
        <v>46226.0</v>
      </c>
      <c r="F47" s="4" t="s">
        <v>1152</v>
      </c>
      <c r="G47" s="9">
        <v>3610.0</v>
      </c>
      <c r="I47" s="123">
        <f>IFERROR(__xludf.DUMMYFUNCTION("""COMPUTED_VALUE"""),46105.0)</f>
        <v>46105</v>
      </c>
      <c r="J47" s="21" t="str">
        <f>IFERROR(__xludf.DUMMYFUNCTION("""COMPUTED_VALUE"""),"Colo: Farias Sergio")</f>
        <v>Colo: Farias Sergio</v>
      </c>
      <c r="K47" s="12">
        <f>IFERROR(__xludf.DUMMYFUNCTION("""COMPUTED_VALUE"""),1378.0)</f>
        <v>1378</v>
      </c>
      <c r="L47" s="12">
        <f>IFERROR(__xludf.DUMMYFUNCTION("""COMPUTED_VALUE"""),0.0)</f>
        <v>0</v>
      </c>
      <c r="M47" s="12">
        <v>-13304.970000000001</v>
      </c>
    </row>
    <row r="48">
      <c r="C48" s="12"/>
      <c r="E48" s="122">
        <v>46246.0</v>
      </c>
      <c r="F48" s="4" t="s">
        <v>1155</v>
      </c>
      <c r="G48" s="9">
        <v>2394.0</v>
      </c>
      <c r="I48" s="123">
        <f>IFERROR(__xludf.DUMMYFUNCTION("""COMPUTED_VALUE"""),46106.0)</f>
        <v>46106</v>
      </c>
      <c r="J48" s="21" t="str">
        <f>IFERROR(__xludf.DUMMYFUNCTION("""COMPUTED_VALUE"""),"Colo: Nachito")</f>
        <v>Colo: Nachito</v>
      </c>
      <c r="K48" s="12">
        <f>IFERROR(__xludf.DUMMYFUNCTION("""COMPUTED_VALUE"""),7000.0)</f>
        <v>7000</v>
      </c>
      <c r="L48" s="12">
        <f>IFERROR(__xludf.DUMMYFUNCTION("""COMPUTED_VALUE"""),0.0)</f>
        <v>0</v>
      </c>
      <c r="M48" s="12">
        <v>-6304.970000000001</v>
      </c>
    </row>
    <row r="49">
      <c r="C49" s="12"/>
      <c r="E49" s="122">
        <v>46246.0</v>
      </c>
      <c r="F49" s="4" t="s">
        <v>1144</v>
      </c>
      <c r="G49" s="9">
        <v>235.0</v>
      </c>
      <c r="I49" s="123">
        <f>IFERROR(__xludf.DUMMYFUNCTION("""COMPUTED_VALUE"""),46108.0)</f>
        <v>46108</v>
      </c>
      <c r="J49" s="21" t="str">
        <f>IFERROR(__xludf.DUMMYFUNCTION("""COMPUTED_VALUE"""),"Colo: ")</f>
        <v>Colo: </v>
      </c>
      <c r="K49" s="12">
        <f>IFERROR(__xludf.DUMMYFUNCTION("""COMPUTED_VALUE"""),2399.0)</f>
        <v>2399</v>
      </c>
      <c r="L49" s="12">
        <f>IFERROR(__xludf.DUMMYFUNCTION("""COMPUTED_VALUE"""),0.0)</f>
        <v>0</v>
      </c>
      <c r="M49" s="12">
        <v>-3905.970000000001</v>
      </c>
    </row>
    <row r="50">
      <c r="C50" s="12"/>
      <c r="E50" s="122">
        <v>46246.0</v>
      </c>
      <c r="F50" s="4" t="s">
        <v>1158</v>
      </c>
      <c r="G50" s="9">
        <v>360.0</v>
      </c>
      <c r="I50" s="123">
        <f>IFERROR(__xludf.DUMMYFUNCTION("""COMPUTED_VALUE"""),46111.0)</f>
        <v>46111</v>
      </c>
      <c r="J50" s="21" t="str">
        <f>IFERROR(__xludf.DUMMYFUNCTION("""COMPUTED_VALUE"""),"Gasto: Sixtar puffco 6 (pro proxy) 64,5kg")</f>
        <v>Gasto: Sixtar puffco 6 (pro proxy) 64,5kg</v>
      </c>
      <c r="K50" s="12">
        <f>IFERROR(__xludf.DUMMYFUNCTION("""COMPUTED_VALUE"""),0.0)</f>
        <v>0</v>
      </c>
      <c r="L50" s="12">
        <f>IFERROR(__xludf.DUMMYFUNCTION("""COMPUTED_VALUE"""),2451.0)</f>
        <v>2451</v>
      </c>
      <c r="M50" s="12">
        <v>-6356.970000000001</v>
      </c>
    </row>
    <row r="51">
      <c r="C51" s="12"/>
      <c r="E51" s="122">
        <v>46253.0</v>
      </c>
      <c r="F51" s="4" t="s">
        <v>1160</v>
      </c>
      <c r="G51" s="9">
        <v>1634.0</v>
      </c>
      <c r="I51" s="123">
        <f>IFERROR(__xludf.DUMMYFUNCTION("""COMPUTED_VALUE"""),46111.0)</f>
        <v>46111</v>
      </c>
      <c r="J51" s="21" t="str">
        <f>IFERROR(__xludf.DUMMYFUNCTION("""COMPUTED_VALUE"""),"Colo: PUFFCO")</f>
        <v>Colo: PUFFCO</v>
      </c>
      <c r="K51" s="12">
        <f>IFERROR(__xludf.DUMMYFUNCTION("""COMPUTED_VALUE"""),0.0)</f>
        <v>0</v>
      </c>
      <c r="L51" s="12">
        <f>IFERROR(__xludf.DUMMYFUNCTION("""COMPUTED_VALUE"""),15450.0)</f>
        <v>15450</v>
      </c>
      <c r="M51" s="12">
        <v>-21806.97</v>
      </c>
    </row>
    <row r="52">
      <c r="C52" s="12"/>
      <c r="E52" s="122">
        <v>46261.0</v>
      </c>
      <c r="F52" s="4" t="s">
        <v>1161</v>
      </c>
      <c r="G52" s="9">
        <v>7394.0</v>
      </c>
      <c r="I52" s="123">
        <f>IFERROR(__xludf.DUMMYFUNCTION("""COMPUTED_VALUE"""),46114.0)</f>
        <v>46114</v>
      </c>
      <c r="J52" s="21" t="str">
        <f>IFERROR(__xludf.DUMMYFUNCTION("""COMPUTED_VALUE"""),"Gasto: oficina leloir (deposito 500 + honorarios 570+ alquiler 50dls (400 fueron de reserva)")</f>
        <v>Gasto: oficina leloir (deposito 500 + honorarios 570+ alquiler 50dls (400 fueron de reserva)</v>
      </c>
      <c r="K52" s="12">
        <f>IFERROR(__xludf.DUMMYFUNCTION("""COMPUTED_VALUE"""),0.0)</f>
        <v>0</v>
      </c>
      <c r="L52" s="12">
        <f>IFERROR(__xludf.DUMMYFUNCTION("""COMPUTED_VALUE"""),1209.0)</f>
        <v>1209</v>
      </c>
      <c r="M52" s="12">
        <v>-23015.97</v>
      </c>
    </row>
    <row r="53">
      <c r="C53" s="12"/>
      <c r="E53" s="124">
        <v>46266.0</v>
      </c>
      <c r="F53" s="4" t="s">
        <v>1162</v>
      </c>
      <c r="G53" s="9">
        <v>4180.0</v>
      </c>
      <c r="I53" s="123">
        <f>IFERROR(__xludf.DUMMYFUNCTION("""COMPUTED_VALUE"""),46115.0)</f>
        <v>46115</v>
      </c>
      <c r="J53" s="21" t="str">
        <f>IFERROR(__xludf.DUMMYFUNCTION("""COMPUTED_VALUE"""),"Colo: Nuñez Lucas")</f>
        <v>Colo: Nuñez Lucas</v>
      </c>
      <c r="K53" s="12">
        <f>IFERROR(__xludf.DUMMYFUNCTION("""COMPUTED_VALUE"""),4003.0)</f>
        <v>4003</v>
      </c>
      <c r="L53" s="12">
        <f>IFERROR(__xludf.DUMMYFUNCTION("""COMPUTED_VALUE"""),0.0)</f>
        <v>0</v>
      </c>
      <c r="M53" s="12">
        <v>-19012.97</v>
      </c>
    </row>
    <row r="54">
      <c r="C54" s="12"/>
      <c r="E54" s="122">
        <v>46267.0</v>
      </c>
      <c r="F54" s="4" t="s">
        <v>1163</v>
      </c>
      <c r="G54" s="9">
        <v>300.0</v>
      </c>
      <c r="I54" s="123">
        <f>IFERROR(__xludf.DUMMYFUNCTION("""COMPUTED_VALUE"""),46122.0)</f>
        <v>46122</v>
      </c>
      <c r="J54" s="21" t="str">
        <f>IFERROR(__xludf.DUMMYFUNCTION("""COMPUTED_VALUE"""),"Colo: ")</f>
        <v>Colo: </v>
      </c>
      <c r="K54" s="12">
        <f>IFERROR(__xludf.DUMMYFUNCTION("""COMPUTED_VALUE"""),2049.0)</f>
        <v>2049</v>
      </c>
      <c r="L54" s="12">
        <f>IFERROR(__xludf.DUMMYFUNCTION("""COMPUTED_VALUE"""),0.0)</f>
        <v>0</v>
      </c>
      <c r="M54" s="12">
        <v>-16963.97</v>
      </c>
    </row>
    <row r="55">
      <c r="C55" s="12"/>
      <c r="E55" s="122">
        <v>46267.0</v>
      </c>
      <c r="F55" s="4" t="s">
        <v>1110</v>
      </c>
      <c r="G55" s="9">
        <v>500.0</v>
      </c>
      <c r="I55" s="123">
        <f>IFERROR(__xludf.DUMMYFUNCTION("""COMPUTED_VALUE"""),46127.0)</f>
        <v>46127</v>
      </c>
      <c r="J55" s="21" t="str">
        <f>IFERROR(__xludf.DUMMYFUNCTION("""COMPUTED_VALUE"""),"Gasto: puffco 7 (core + hot +acc) 14kg")</f>
        <v>Gasto: puffco 7 (core + hot +acc) 14kg</v>
      </c>
      <c r="K55" s="12">
        <f>IFERROR(__xludf.DUMMYFUNCTION("""COMPUTED_VALUE"""),0.0)</f>
        <v>0</v>
      </c>
      <c r="L55" s="12">
        <f>IFERROR(__xludf.DUMMYFUNCTION("""COMPUTED_VALUE"""),532.0)</f>
        <v>532</v>
      </c>
      <c r="M55" s="12">
        <v>-17495.97</v>
      </c>
    </row>
    <row r="56">
      <c r="C56" s="12"/>
      <c r="E56" s="122">
        <v>46268.0</v>
      </c>
      <c r="F56" s="4" t="s">
        <v>1165</v>
      </c>
      <c r="G56" s="9">
        <v>900.0</v>
      </c>
      <c r="I56" s="123">
        <f>IFERROR(__xludf.DUMMYFUNCTION("""COMPUTED_VALUE"""),46127.0)</f>
        <v>46127</v>
      </c>
      <c r="J56" s="21" t="str">
        <f>IFERROR(__xludf.DUMMYFUNCTION("""COMPUTED_VALUE"""),"Gasto: mallas press club 16,5 kg")</f>
        <v>Gasto: mallas press club 16,5 kg</v>
      </c>
      <c r="K56" s="12">
        <f>IFERROR(__xludf.DUMMYFUNCTION("""COMPUTED_VALUE"""),0.0)</f>
        <v>0</v>
      </c>
      <c r="L56" s="12">
        <f>IFERROR(__xludf.DUMMYFUNCTION("""COMPUTED_VALUE"""),627.0)</f>
        <v>627</v>
      </c>
      <c r="M56" s="12">
        <v>-18122.97</v>
      </c>
    </row>
    <row r="57">
      <c r="C57" s="12"/>
      <c r="E57" s="122">
        <v>46269.0</v>
      </c>
      <c r="F57" s="4" t="s">
        <v>1166</v>
      </c>
      <c r="G57" s="9">
        <v>800.0</v>
      </c>
      <c r="I57" s="123">
        <f>IFERROR(__xludf.DUMMYFUNCTION("""COMPUTED_VALUE"""),46128.0)</f>
        <v>46128</v>
      </c>
      <c r="J57" s="21" t="str">
        <f>IFERROR(__xludf.DUMMYFUNCTION("""COMPUTED_VALUE"""),"Gasto: nachito al dia")</f>
        <v>Gasto: nachito al dia</v>
      </c>
      <c r="K57" s="12">
        <f>IFERROR(__xludf.DUMMYFUNCTION("""COMPUTED_VALUE"""),0.0)</f>
        <v>0</v>
      </c>
      <c r="L57" s="12">
        <f>IFERROR(__xludf.DUMMYFUNCTION("""COMPUTED_VALUE"""),400.0)</f>
        <v>400</v>
      </c>
      <c r="M57" s="12">
        <v>-18522.97</v>
      </c>
    </row>
    <row r="58">
      <c r="C58" s="12"/>
      <c r="E58" s="122">
        <v>46280.0</v>
      </c>
      <c r="F58" s="4" t="s">
        <v>1167</v>
      </c>
      <c r="G58" s="9">
        <v>235.0</v>
      </c>
      <c r="I58" s="123">
        <f>IFERROR(__xludf.DUMMYFUNCTION("""COMPUTED_VALUE"""),46128.0)</f>
        <v>46128</v>
      </c>
      <c r="J58" s="21" t="str">
        <f>IFERROR(__xludf.DUMMYFUNCTION("""COMPUTED_VALUE"""),"Gasto: Puesta a punto oficina insumos electricidad LED")</f>
        <v>Gasto: Puesta a punto oficina insumos electricidad LED</v>
      </c>
      <c r="K58" s="12">
        <f>IFERROR(__xludf.DUMMYFUNCTION("""COMPUTED_VALUE"""),0.0)</f>
        <v>0</v>
      </c>
      <c r="L58" s="12">
        <f>IFERROR(__xludf.DUMMYFUNCTION("""COMPUTED_VALUE"""),320.0)</f>
        <v>320</v>
      </c>
      <c r="M58" s="12">
        <v>-18842.97</v>
      </c>
    </row>
    <row r="59">
      <c r="C59" s="12"/>
      <c r="E59" s="122">
        <v>46280.0</v>
      </c>
      <c r="F59" s="4" t="s">
        <v>1138</v>
      </c>
      <c r="G59" s="9">
        <v>250.0</v>
      </c>
      <c r="I59" s="123">
        <f>IFERROR(__xludf.DUMMYFUNCTION("""COMPUTED_VALUE"""),46128.0)</f>
        <v>46128</v>
      </c>
      <c r="J59" s="21" t="str">
        <f>IFERROR(__xludf.DUMMYFUNCTION("""COMPUTED_VALUE"""),"Colo: Quilaleo Nicolas")</f>
        <v>Colo: Quilaleo Nicolas</v>
      </c>
      <c r="K59" s="12">
        <f>IFERROR(__xludf.DUMMYFUNCTION("""COMPUTED_VALUE"""),2516.0)</f>
        <v>2516</v>
      </c>
      <c r="L59" s="12">
        <f>IFERROR(__xludf.DUMMYFUNCTION("""COMPUTED_VALUE"""),0.0)</f>
        <v>0</v>
      </c>
      <c r="M59" s="12">
        <v>-16326.970000000001</v>
      </c>
    </row>
    <row r="60">
      <c r="C60" s="12"/>
      <c r="E60" s="122">
        <v>46281.0</v>
      </c>
      <c r="F60" s="4" t="s">
        <v>1168</v>
      </c>
      <c r="G60" s="9">
        <v>80.0</v>
      </c>
      <c r="I60" s="123">
        <f>IFERROR(__xludf.DUMMYFUNCTION("""COMPUTED_VALUE"""),46134.0)</f>
        <v>46134</v>
      </c>
      <c r="J60" s="21" t="str">
        <f>IFERROR(__xludf.DUMMYFUNCTION("""COMPUTED_VALUE"""),"Gasto: puffco 8 (proxy v2, pro hot")</f>
        <v>Gasto: puffco 8 (proxy v2, pro hot</v>
      </c>
      <c r="K60" s="12">
        <f>IFERROR(__xludf.DUMMYFUNCTION("""COMPUTED_VALUE"""),0.0)</f>
        <v>0</v>
      </c>
      <c r="L60" s="12">
        <f>IFERROR(__xludf.DUMMYFUNCTION("""COMPUTED_VALUE"""),874.0)</f>
        <v>874</v>
      </c>
      <c r="M60" s="12">
        <v>-17200.97</v>
      </c>
    </row>
    <row r="61">
      <c r="C61" s="12"/>
      <c r="E61" s="122">
        <v>46295.0</v>
      </c>
      <c r="F61" s="4" t="s">
        <v>1169</v>
      </c>
      <c r="G61" s="9">
        <v>803.0</v>
      </c>
      <c r="I61" s="123">
        <f>IFERROR(__xludf.DUMMYFUNCTION("""COMPUTED_VALUE"""),46135.0)</f>
        <v>46135</v>
      </c>
      <c r="J61" s="21" t="str">
        <f>IFERROR(__xludf.DUMMYFUNCTION("""COMPUTED_VALUE"""),"Colo: ")</f>
        <v>Colo: </v>
      </c>
      <c r="K61" s="12">
        <f>IFERROR(__xludf.DUMMYFUNCTION("""COMPUTED_VALUE"""),2888.0)</f>
        <v>2888</v>
      </c>
      <c r="L61" s="12">
        <f>IFERROR(__xludf.DUMMYFUNCTION("""COMPUTED_VALUE"""),0.0)</f>
        <v>0</v>
      </c>
      <c r="M61" s="12">
        <v>-14312.970000000001</v>
      </c>
    </row>
    <row r="62">
      <c r="C62" s="12"/>
      <c r="G62" s="17"/>
      <c r="I62" s="123">
        <f>IFERROR(__xludf.DUMMYFUNCTION("""COMPUTED_VALUE"""),46136.0)</f>
        <v>46136</v>
      </c>
      <c r="J62" s="21" t="str">
        <f>IFERROR(__xludf.DUMMYFUNCTION("""COMPUTED_VALUE"""),"Colo: PUFFCO")</f>
        <v>Colo: PUFFCO</v>
      </c>
      <c r="K62" s="12">
        <f>IFERROR(__xludf.DUMMYFUNCTION("""COMPUTED_VALUE"""),0.0)</f>
        <v>0</v>
      </c>
      <c r="L62" s="12">
        <f>IFERROR(__xludf.DUMMYFUNCTION("""COMPUTED_VALUE"""),7400.0)</f>
        <v>7400</v>
      </c>
      <c r="M62" s="12">
        <v>-21712.97</v>
      </c>
    </row>
    <row r="63">
      <c r="C63" s="12"/>
      <c r="G63" s="17"/>
      <c r="I63" s="123">
        <f>IFERROR(__xludf.DUMMYFUNCTION("""COMPUTED_VALUE"""),46139.0)</f>
        <v>46139</v>
      </c>
      <c r="J63" s="21" t="str">
        <f>IFERROR(__xludf.DUMMYFUNCTION("""COMPUTED_VALUE"""),"Colo: Nachito")</f>
        <v>Colo: Nachito</v>
      </c>
      <c r="K63" s="12">
        <f>IFERROR(__xludf.DUMMYFUNCTION("""COMPUTED_VALUE"""),4950.0)</f>
        <v>4950</v>
      </c>
      <c r="L63" s="12">
        <f>IFERROR(__xludf.DUMMYFUNCTION("""COMPUTED_VALUE"""),0.0)</f>
        <v>0</v>
      </c>
      <c r="M63" s="12">
        <v>-16762.97</v>
      </c>
    </row>
    <row r="64">
      <c r="C64" s="12"/>
      <c r="G64" s="17"/>
      <c r="I64" s="123">
        <f>IFERROR(__xludf.DUMMYFUNCTION("""COMPUTED_VALUE"""),46146.0)</f>
        <v>46146</v>
      </c>
      <c r="J64" s="21" t="str">
        <f>IFERROR(__xludf.DUMMYFUNCTION("""COMPUTED_VALUE"""),"Colo: PUFFCO")</f>
        <v>Colo: PUFFCO</v>
      </c>
      <c r="K64" s="12">
        <f>IFERROR(__xludf.DUMMYFUNCTION("""COMPUTED_VALUE"""),0.0)</f>
        <v>0</v>
      </c>
      <c r="L64" s="12">
        <f>IFERROR(__xludf.DUMMYFUNCTION("""COMPUTED_VALUE"""),8350.0)</f>
        <v>8350</v>
      </c>
      <c r="M64" s="12">
        <v>-25112.97</v>
      </c>
    </row>
    <row r="65">
      <c r="C65" s="12"/>
      <c r="G65" s="17"/>
      <c r="I65" s="123">
        <f>IFERROR(__xludf.DUMMYFUNCTION("""COMPUTED_VALUE"""),46147.0)</f>
        <v>46147</v>
      </c>
      <c r="J65" s="21" t="str">
        <f>IFERROR(__xludf.DUMMYFUNCTION("""COMPUTED_VALUE"""),"Colo: Singlau Leandro")</f>
        <v>Colo: Singlau Leandro</v>
      </c>
      <c r="K65" s="12">
        <f>IFERROR(__xludf.DUMMYFUNCTION("""COMPUTED_VALUE"""),1490.0)</f>
        <v>1490</v>
      </c>
      <c r="L65" s="12">
        <f>IFERROR(__xludf.DUMMYFUNCTION("""COMPUTED_VALUE"""),0.0)</f>
        <v>0</v>
      </c>
      <c r="M65" s="12">
        <v>-23622.97</v>
      </c>
    </row>
    <row r="66">
      <c r="C66" s="12"/>
      <c r="G66" s="17"/>
      <c r="I66" s="123">
        <f>IFERROR(__xludf.DUMMYFUNCTION("""COMPUTED_VALUE"""),46148.0)</f>
        <v>46148</v>
      </c>
      <c r="J66" s="21" t="str">
        <f>IFERROR(__xludf.DUMMYFUNCTION("""COMPUTED_VALUE"""),"Gasto: cortinas oficina")</f>
        <v>Gasto: cortinas oficina</v>
      </c>
      <c r="K66" s="12">
        <f>IFERROR(__xludf.DUMMYFUNCTION("""COMPUTED_VALUE"""),0.0)</f>
        <v>0</v>
      </c>
      <c r="L66" s="12">
        <f>IFERROR(__xludf.DUMMYFUNCTION("""COMPUTED_VALUE"""),478.0)</f>
        <v>478</v>
      </c>
      <c r="M66" s="12">
        <v>-24100.97</v>
      </c>
    </row>
    <row r="67">
      <c r="C67" s="12"/>
      <c r="G67" s="17"/>
      <c r="I67" s="123">
        <f>IFERROR(__xludf.DUMMYFUNCTION("""COMPUTED_VALUE"""),46148.0)</f>
        <v>46148</v>
      </c>
      <c r="J67" s="21" t="str">
        <f>IFERROR(__xludf.DUMMYFUNCTION("""COMPUTED_VALUE"""),"Gasto: coca abril y mayo")</f>
        <v>Gasto: coca abril y mayo</v>
      </c>
      <c r="K67" s="12">
        <f>IFERROR(__xludf.DUMMYFUNCTION("""COMPUTED_VALUE"""),0.0)</f>
        <v>0</v>
      </c>
      <c r="L67" s="12">
        <f>IFERROR(__xludf.DUMMYFUNCTION("""COMPUTED_VALUE"""),485.0)</f>
        <v>485</v>
      </c>
      <c r="M67" s="12">
        <v>-24585.97</v>
      </c>
    </row>
    <row r="68">
      <c r="C68" s="12"/>
      <c r="G68" s="17"/>
      <c r="I68" s="123">
        <f>IFERROR(__xludf.DUMMYFUNCTION("""COMPUTED_VALUE"""),46148.0)</f>
        <v>46148</v>
      </c>
      <c r="J68" s="21" t="str">
        <f>IFERROR(__xludf.DUMMYFUNCTION("""COMPUTED_VALUE"""),"Colo: Brusco Emiliano")</f>
        <v>Colo: Brusco Emiliano</v>
      </c>
      <c r="K68" s="12">
        <f>IFERROR(__xludf.DUMMYFUNCTION("""COMPUTED_VALUE"""),12264.0)</f>
        <v>12264</v>
      </c>
      <c r="L68" s="12">
        <f>IFERROR(__xludf.DUMMYFUNCTION("""COMPUTED_VALUE"""),0.0)</f>
        <v>0</v>
      </c>
      <c r="M68" s="12">
        <v>-12321.970000000001</v>
      </c>
    </row>
    <row r="69">
      <c r="C69" s="12"/>
      <c r="G69" s="17"/>
      <c r="I69" s="123">
        <f>IFERROR(__xludf.DUMMYFUNCTION("""COMPUTED_VALUE"""),46150.0)</f>
        <v>46150</v>
      </c>
      <c r="J69" s="21" t="str">
        <f>IFERROR(__xludf.DUMMYFUNCTION("""COMPUTED_VALUE"""),"Colo: PUFFCO")</f>
        <v>Colo: PUFFCO</v>
      </c>
      <c r="K69" s="12">
        <f>IFERROR(__xludf.DUMMYFUNCTION("""COMPUTED_VALUE"""),0.0)</f>
        <v>0</v>
      </c>
      <c r="L69" s="12">
        <f>IFERROR(__xludf.DUMMYFUNCTION("""COMPUTED_VALUE"""),5175.0)</f>
        <v>5175</v>
      </c>
      <c r="M69" s="12">
        <v>-17496.97</v>
      </c>
    </row>
    <row r="70">
      <c r="C70" s="12"/>
      <c r="G70" s="17"/>
      <c r="I70" s="123">
        <f>IFERROR(__xludf.DUMMYFUNCTION("""COMPUTED_VALUE"""),46150.0)</f>
        <v>46150</v>
      </c>
      <c r="J70" s="21" t="str">
        <f>IFERROR(__xludf.DUMMYFUNCTION("""COMPUTED_VALUE"""),"Colo: MEDUSA")</f>
        <v>Colo: MEDUSA</v>
      </c>
      <c r="K70" s="12">
        <f>IFERROR(__xludf.DUMMYFUNCTION("""COMPUTED_VALUE"""),0.0)</f>
        <v>0</v>
      </c>
      <c r="L70" s="12">
        <f>IFERROR(__xludf.DUMMYFUNCTION("""COMPUTED_VALUE"""),2778.0)</f>
        <v>2778</v>
      </c>
      <c r="M70" s="12">
        <v>-20274.97</v>
      </c>
    </row>
    <row r="71">
      <c r="C71" s="12"/>
      <c r="G71" s="17"/>
      <c r="I71" s="123">
        <f>IFERROR(__xludf.DUMMYFUNCTION("""COMPUTED_VALUE"""),46151.0)</f>
        <v>46151</v>
      </c>
      <c r="J71" s="21" t="str">
        <f>IFERROR(__xludf.DUMMYFUNCTION("""COMPUTED_VALUE"""),"Gasto: nachito al dia")</f>
        <v>Gasto: nachito al dia</v>
      </c>
      <c r="K71" s="12">
        <f>IFERROR(__xludf.DUMMYFUNCTION("""COMPUTED_VALUE"""),0.0)</f>
        <v>0</v>
      </c>
      <c r="L71" s="12">
        <f>IFERROR(__xludf.DUMMYFUNCTION("""COMPUTED_VALUE"""),470.0)</f>
        <v>470</v>
      </c>
      <c r="M71" s="12">
        <v>-20744.97</v>
      </c>
    </row>
    <row r="72">
      <c r="C72" s="12"/>
      <c r="G72" s="17"/>
      <c r="I72" s="123">
        <f>IFERROR(__xludf.DUMMYFUNCTION("""COMPUTED_VALUE"""),46153.0)</f>
        <v>46153</v>
      </c>
      <c r="J72" s="21" t="str">
        <f>IFERROR(__xludf.DUMMYFUNCTION("""COMPUTED_VALUE"""),"Gasto: Alquiler Mayo y Junio")</f>
        <v>Gasto: Alquiler Mayo y Junio</v>
      </c>
      <c r="K72" s="12">
        <f>IFERROR(__xludf.DUMMYFUNCTION("""COMPUTED_VALUE"""),0.0)</f>
        <v>0</v>
      </c>
      <c r="L72" s="12">
        <f>IFERROR(__xludf.DUMMYFUNCTION("""COMPUTED_VALUE"""),900.0)</f>
        <v>900</v>
      </c>
      <c r="M72" s="12">
        <v>-21644.97</v>
      </c>
    </row>
    <row r="73">
      <c r="C73" s="12"/>
      <c r="G73" s="17"/>
      <c r="I73" s="123">
        <f>IFERROR(__xludf.DUMMYFUNCTION("""COMPUTED_VALUE"""),46153.0)</f>
        <v>46153</v>
      </c>
      <c r="J73" s="21" t="str">
        <f>IFERROR(__xludf.DUMMYFUNCTION("""COMPUTED_VALUE"""),"Gasto: expensas e impuestos ver")</f>
        <v>Gasto: expensas e impuestos ver</v>
      </c>
      <c r="K73" s="12">
        <f>IFERROR(__xludf.DUMMYFUNCTION("""COMPUTED_VALUE"""),0.0)</f>
        <v>0</v>
      </c>
      <c r="L73" s="12">
        <f>IFERROR(__xludf.DUMMYFUNCTION("""COMPUTED_VALUE"""),230.0)</f>
        <v>230</v>
      </c>
      <c r="M73" s="12">
        <v>-21874.97</v>
      </c>
    </row>
    <row r="74">
      <c r="C74" s="12"/>
      <c r="G74" s="17"/>
      <c r="I74" s="123">
        <f>IFERROR(__xludf.DUMMYFUNCTION("""COMPUTED_VALUE"""),46153.0)</f>
        <v>46153</v>
      </c>
      <c r="J74" s="21" t="str">
        <f>IFERROR(__xludf.DUMMYFUNCTION("""COMPUTED_VALUE"""),"Colo: PUFFCO")</f>
        <v>Colo: PUFFCO</v>
      </c>
      <c r="K74" s="12">
        <f>IFERROR(__xludf.DUMMYFUNCTION("""COMPUTED_VALUE"""),0.0)</f>
        <v>0</v>
      </c>
      <c r="L74" s="12">
        <f>IFERROR(__xludf.DUMMYFUNCTION("""COMPUTED_VALUE"""),5175.0)</f>
        <v>5175</v>
      </c>
      <c r="M74" s="12">
        <v>-27049.97</v>
      </c>
    </row>
    <row r="75">
      <c r="C75" s="12"/>
      <c r="G75" s="17"/>
      <c r="I75" s="123">
        <f>IFERROR(__xludf.DUMMYFUNCTION("""COMPUTED_VALUE"""),46154.0)</f>
        <v>46154</v>
      </c>
      <c r="J75" s="21" t="str">
        <f>IFERROR(__xludf.DUMMYFUNCTION("""COMPUTED_VALUE"""),"Colo: ")</f>
        <v>Colo: </v>
      </c>
      <c r="K75" s="12">
        <f>IFERROR(__xludf.DUMMYFUNCTION("""COMPUTED_VALUE"""),4668.0)</f>
        <v>4668</v>
      </c>
      <c r="L75" s="12">
        <f>IFERROR(__xludf.DUMMYFUNCTION("""COMPUTED_VALUE"""),0.0)</f>
        <v>0</v>
      </c>
      <c r="M75" s="12">
        <v>-22381.97</v>
      </c>
    </row>
    <row r="76">
      <c r="C76" s="12"/>
      <c r="G76" s="17"/>
      <c r="I76" s="123">
        <f>IFERROR(__xludf.DUMMYFUNCTION("""COMPUTED_VALUE"""),46157.0)</f>
        <v>46157</v>
      </c>
      <c r="J76" s="21" t="str">
        <f>IFERROR(__xludf.DUMMYFUNCTION("""COMPUTED_VALUE"""),"Gasto: puffco 9 reestoc 46kg")</f>
        <v>Gasto: puffco 9 reestoc 46kg</v>
      </c>
      <c r="K76" s="12">
        <f>IFERROR(__xludf.DUMMYFUNCTION("""COMPUTED_VALUE"""),0.0)</f>
        <v>0</v>
      </c>
      <c r="L76" s="12">
        <f>IFERROR(__xludf.DUMMYFUNCTION("""COMPUTED_VALUE"""),1748.0)</f>
        <v>1748</v>
      </c>
      <c r="M76" s="12">
        <v>-24129.97</v>
      </c>
    </row>
    <row r="77">
      <c r="C77" s="12"/>
      <c r="G77" s="17"/>
      <c r="I77" s="123">
        <f>IFERROR(__xludf.DUMMYFUNCTION("""COMPUTED_VALUE"""),46160.0)</f>
        <v>46160</v>
      </c>
      <c r="J77" s="21" t="str">
        <f>IFERROR(__xludf.DUMMYFUNCTION("""COMPUTED_VALUE"""),"Colo: Russo Lucas")</f>
        <v>Colo: Russo Lucas</v>
      </c>
      <c r="K77" s="12">
        <f>IFERROR(__xludf.DUMMYFUNCTION("""COMPUTED_VALUE"""),2274.0)</f>
        <v>2274</v>
      </c>
      <c r="L77" s="12">
        <f>IFERROR(__xludf.DUMMYFUNCTION("""COMPUTED_VALUE"""),0.0)</f>
        <v>0</v>
      </c>
      <c r="M77" s="12">
        <v>-21855.97</v>
      </c>
    </row>
    <row r="78">
      <c r="C78" s="12"/>
      <c r="G78" s="17"/>
      <c r="I78" s="123">
        <f>IFERROR(__xludf.DUMMYFUNCTION("""COMPUTED_VALUE"""),46161.0)</f>
        <v>46161</v>
      </c>
      <c r="J78" s="21" t="str">
        <f>IFERROR(__xludf.DUMMYFUNCTION("""COMPUTED_VALUE"""),"Gasto: puffco 10 producto nuevo 93kg")</f>
        <v>Gasto: puffco 10 producto nuevo 93kg</v>
      </c>
      <c r="K78" s="12">
        <f>IFERROR(__xludf.DUMMYFUNCTION("""COMPUTED_VALUE"""),0.0)</f>
        <v>0</v>
      </c>
      <c r="L78" s="12">
        <f>IFERROR(__xludf.DUMMYFUNCTION("""COMPUTED_VALUE"""),3534.0)</f>
        <v>3534</v>
      </c>
      <c r="M78" s="12">
        <v>-25389.97</v>
      </c>
    </row>
    <row r="79">
      <c r="C79" s="12"/>
      <c r="G79" s="17"/>
      <c r="I79" s="123">
        <f>IFERROR(__xludf.DUMMYFUNCTION("""COMPUTED_VALUE"""),46162.0)</f>
        <v>46162</v>
      </c>
      <c r="J79" s="21" t="str">
        <f>IFERROR(__xludf.DUMMYFUNCTION("""COMPUTED_VALUE"""),"Colo: Mendoza Matias")</f>
        <v>Colo: Mendoza Matias</v>
      </c>
      <c r="K79" s="12">
        <f>IFERROR(__xludf.DUMMYFUNCTION("""COMPUTED_VALUE"""),1248.0)</f>
        <v>1248</v>
      </c>
      <c r="L79" s="12">
        <f>IFERROR(__xludf.DUMMYFUNCTION("""COMPUTED_VALUE"""),0.0)</f>
        <v>0</v>
      </c>
      <c r="M79" s="12">
        <v>-24141.97</v>
      </c>
    </row>
    <row r="80">
      <c r="C80" s="12"/>
      <c r="G80" s="17"/>
      <c r="I80" s="123">
        <f>IFERROR(__xludf.DUMMYFUNCTION("""COMPUTED_VALUE"""),46167.0)</f>
        <v>46167</v>
      </c>
      <c r="J80" s="21" t="str">
        <f>IFERROR(__xludf.DUMMYFUNCTION("""COMPUTED_VALUE"""),"Colo: Nuñe Agustin")</f>
        <v>Colo: Nuñe Agustin</v>
      </c>
      <c r="K80" s="12">
        <f>IFERROR(__xludf.DUMMYFUNCTION("""COMPUTED_VALUE"""),2792.0)</f>
        <v>2792</v>
      </c>
      <c r="L80" s="12">
        <f>IFERROR(__xludf.DUMMYFUNCTION("""COMPUTED_VALUE"""),0.0)</f>
        <v>0</v>
      </c>
      <c r="M80" s="12">
        <v>-21349.97</v>
      </c>
    </row>
    <row r="81">
      <c r="C81" s="12"/>
      <c r="G81" s="17"/>
      <c r="I81" s="123">
        <f>IFERROR(__xludf.DUMMYFUNCTION("""COMPUTED_VALUE"""),46170.0)</f>
        <v>46170</v>
      </c>
      <c r="J81" s="21" t="str">
        <f>IFERROR(__xludf.DUMMYFUNCTION("""COMPUTED_VALUE"""),"Colo: Greheb")</f>
        <v>Colo: Greheb</v>
      </c>
      <c r="K81" s="12">
        <f>IFERROR(__xludf.DUMMYFUNCTION("""COMPUTED_VALUE"""),5010.0)</f>
        <v>5010</v>
      </c>
      <c r="L81" s="12">
        <f>IFERROR(__xludf.DUMMYFUNCTION("""COMPUTED_VALUE"""),0.0)</f>
        <v>0</v>
      </c>
      <c r="M81" s="12">
        <v>-16339.970000000001</v>
      </c>
    </row>
    <row r="82">
      <c r="C82" s="12"/>
      <c r="G82" s="17"/>
      <c r="I82" s="123">
        <f>IFERROR(__xludf.DUMMYFUNCTION("""COMPUTED_VALUE"""),46174.0)</f>
        <v>46174</v>
      </c>
      <c r="J82" s="21" t="str">
        <f>IFERROR(__xludf.DUMMYFUNCTION("""COMPUTED_VALUE"""),"Colo: Nuñez Lucas")</f>
        <v>Colo: Nuñez Lucas</v>
      </c>
      <c r="K82" s="12">
        <f>IFERROR(__xludf.DUMMYFUNCTION("""COMPUTED_VALUE"""),3284.0)</f>
        <v>3284</v>
      </c>
      <c r="L82" s="12">
        <f>IFERROR(__xludf.DUMMYFUNCTION("""COMPUTED_VALUE"""),0.0)</f>
        <v>0</v>
      </c>
      <c r="M82" s="12">
        <v>-13055.970000000001</v>
      </c>
    </row>
    <row r="83">
      <c r="C83" s="12"/>
      <c r="G83" s="17"/>
      <c r="I83" s="123">
        <f>IFERROR(__xludf.DUMMYFUNCTION("""COMPUTED_VALUE"""),46175.0)</f>
        <v>46175</v>
      </c>
      <c r="J83" s="21" t="str">
        <f>IFERROR(__xludf.DUMMYFUNCTION("""COMPUTED_VALUE"""),"Colo: PUFFCO")</f>
        <v>Colo: PUFFCO</v>
      </c>
      <c r="K83" s="12">
        <f>IFERROR(__xludf.DUMMYFUNCTION("""COMPUTED_VALUE"""),0.0)</f>
        <v>0</v>
      </c>
      <c r="L83" s="12">
        <f>IFERROR(__xludf.DUMMYFUNCTION("""COMPUTED_VALUE"""),17510.0)</f>
        <v>17510</v>
      </c>
      <c r="M83" s="12">
        <v>-30565.97</v>
      </c>
    </row>
    <row r="84">
      <c r="C84" s="12"/>
      <c r="G84" s="17"/>
      <c r="I84" s="123">
        <f>IFERROR(__xludf.DUMMYFUNCTION("""COMPUTED_VALUE"""),46176.0)</f>
        <v>46176</v>
      </c>
      <c r="J84" s="21" t="str">
        <f>IFERROR(__xludf.DUMMYFUNCTION("""COMPUTED_VALUE"""),"Gasto: retirar holanda 134kg + 57kg vol")</f>
        <v>Gasto: retirar holanda 134kg + 57kg vol</v>
      </c>
      <c r="K84" s="12">
        <f>IFERROR(__xludf.DUMMYFUNCTION("""COMPUTED_VALUE"""),0.0)</f>
        <v>0</v>
      </c>
      <c r="L84" s="12">
        <f>IFERROR(__xludf.DUMMYFUNCTION("""COMPUTED_VALUE"""),6720.0)</f>
        <v>6720</v>
      </c>
      <c r="M84" s="12">
        <v>-37285.97</v>
      </c>
    </row>
    <row r="85">
      <c r="C85" s="12"/>
      <c r="G85" s="17"/>
      <c r="I85" s="123">
        <f>IFERROR(__xludf.DUMMYFUNCTION("""COMPUTED_VALUE"""),46176.0)</f>
        <v>46176</v>
      </c>
      <c r="J85" s="21" t="str">
        <f>IFERROR(__xludf.DUMMYFUNCTION("""COMPUTED_VALUE"""),"Colo: Morrone Dante")</f>
        <v>Colo: Morrone Dante</v>
      </c>
      <c r="K85" s="12">
        <f>IFERROR(__xludf.DUMMYFUNCTION("""COMPUTED_VALUE"""),657.38)</f>
        <v>657.38</v>
      </c>
      <c r="L85" s="12">
        <f>IFERROR(__xludf.DUMMYFUNCTION("""COMPUTED_VALUE"""),0.0)</f>
        <v>0</v>
      </c>
      <c r="M85" s="12">
        <v>-36628.590000000004</v>
      </c>
    </row>
    <row r="86">
      <c r="C86" s="12"/>
      <c r="G86" s="17"/>
      <c r="I86" s="123">
        <f>IFERROR(__xludf.DUMMYFUNCTION("""COMPUTED_VALUE"""),46181.0)</f>
        <v>46181</v>
      </c>
      <c r="J86" s="21" t="str">
        <f>IFERROR(__xludf.DUMMYFUNCTION("""COMPUTED_VALUE"""),"Gasto: MJA vidrios 3 usa 23kg")</f>
        <v>Gasto: MJA vidrios 3 usa 23kg</v>
      </c>
      <c r="K86" s="12">
        <f>IFERROR(__xludf.DUMMYFUNCTION("""COMPUTED_VALUE"""),0.0)</f>
        <v>0</v>
      </c>
      <c r="L86" s="12">
        <f>IFERROR(__xludf.DUMMYFUNCTION("""COMPUTED_VALUE"""),874.0)</f>
        <v>874</v>
      </c>
      <c r="M86" s="12">
        <v>-37502.590000000004</v>
      </c>
    </row>
    <row r="87">
      <c r="C87" s="12"/>
      <c r="G87" s="17"/>
      <c r="I87" s="123">
        <f>IFERROR(__xludf.DUMMYFUNCTION("""COMPUTED_VALUE"""),46181.0)</f>
        <v>46181</v>
      </c>
      <c r="J87" s="21" t="str">
        <f>IFERROR(__xludf.DUMMYFUNCTION("""COMPUTED_VALUE"""),"Colo: Gonzalez Jeremias")</f>
        <v>Colo: Gonzalez Jeremias</v>
      </c>
      <c r="K87" s="12">
        <f>IFERROR(__xludf.DUMMYFUNCTION("""COMPUTED_VALUE"""),2344.97)</f>
        <v>2344.97</v>
      </c>
      <c r="L87" s="12">
        <f>IFERROR(__xludf.DUMMYFUNCTION("""COMPUTED_VALUE"""),0.0)</f>
        <v>0</v>
      </c>
      <c r="M87" s="12">
        <v>-35157.62</v>
      </c>
    </row>
    <row r="88">
      <c r="C88" s="12"/>
      <c r="G88" s="17"/>
      <c r="I88" s="123">
        <f>IFERROR(__xludf.DUMMYFUNCTION("""COMPUTED_VALUE"""),46182.0)</f>
        <v>46182</v>
      </c>
      <c r="J88" s="21" t="str">
        <f>IFERROR(__xludf.DUMMYFUNCTION("""COMPUTED_VALUE"""),"Gasto: puffco 11 pivot knife 27,5")</f>
        <v>Gasto: puffco 11 pivot knife 27,5</v>
      </c>
      <c r="K88" s="12">
        <f>IFERROR(__xludf.DUMMYFUNCTION("""COMPUTED_VALUE"""),0.0)</f>
        <v>0</v>
      </c>
      <c r="L88" s="12">
        <f>IFERROR(__xludf.DUMMYFUNCTION("""COMPUTED_VALUE"""),1045.0)</f>
        <v>1045</v>
      </c>
      <c r="M88" s="12">
        <v>-36202.62</v>
      </c>
    </row>
    <row r="89">
      <c r="C89" s="12"/>
      <c r="G89" s="17"/>
      <c r="I89" s="123">
        <f>IFERROR(__xludf.DUMMYFUNCTION("""COMPUTED_VALUE"""),46183.0)</f>
        <v>46183</v>
      </c>
      <c r="J89" s="21" t="str">
        <f>IFERROR(__xludf.DUMMYFUNCTION("""COMPUTED_VALUE"""),"Colo: Yensen Salvador")</f>
        <v>Colo: Yensen Salvador</v>
      </c>
      <c r="K89" s="12">
        <f>IFERROR(__xludf.DUMMYFUNCTION("""COMPUTED_VALUE"""),1089.19)</f>
        <v>1089.19</v>
      </c>
      <c r="L89" s="12">
        <f>IFERROR(__xludf.DUMMYFUNCTION("""COMPUTED_VALUE"""),0.0)</f>
        <v>0</v>
      </c>
      <c r="M89" s="12">
        <v>-35113.43</v>
      </c>
    </row>
    <row r="90">
      <c r="C90" s="12"/>
      <c r="G90" s="17"/>
      <c r="I90" s="123">
        <f>IFERROR(__xludf.DUMMYFUNCTION("""COMPUTED_VALUE"""),46185.0)</f>
        <v>46185</v>
      </c>
      <c r="J90" s="21" t="str">
        <f>IFERROR(__xludf.DUMMYFUNCTION("""COMPUTED_VALUE"""),"Colo: Bartolome Jeronimo")</f>
        <v>Colo: Bartolome Jeronimo</v>
      </c>
      <c r="K90" s="12">
        <f>IFERROR(__xludf.DUMMYFUNCTION("""COMPUTED_VALUE"""),1513.47)</f>
        <v>1513.47</v>
      </c>
      <c r="L90" s="12">
        <f>IFERROR(__xludf.DUMMYFUNCTION("""COMPUTED_VALUE"""),0.0)</f>
        <v>0</v>
      </c>
      <c r="M90" s="12">
        <v>-33599.96</v>
      </c>
    </row>
    <row r="91">
      <c r="C91" s="12"/>
      <c r="G91" s="17"/>
      <c r="I91" s="123">
        <f>IFERROR(__xludf.DUMMYFUNCTION("""COMPUTED_VALUE"""),46191.0)</f>
        <v>46191</v>
      </c>
      <c r="J91" s="21" t="str">
        <f>IFERROR(__xludf.DUMMYFUNCTION("""COMPUTED_VALUE"""),"Gasto: edenor, municipal ofi")</f>
        <v>Gasto: edenor, municipal ofi</v>
      </c>
      <c r="K91" s="12">
        <f>IFERROR(__xludf.DUMMYFUNCTION("""COMPUTED_VALUE"""),0.0)</f>
        <v>0</v>
      </c>
      <c r="L91" s="12">
        <f>IFERROR(__xludf.DUMMYFUNCTION("""COMPUTED_VALUE"""),200.0)</f>
        <v>200</v>
      </c>
      <c r="M91" s="12">
        <v>-33799.96</v>
      </c>
    </row>
    <row r="92">
      <c r="C92" s="12"/>
      <c r="G92" s="17"/>
      <c r="I92" s="123">
        <f>IFERROR(__xludf.DUMMYFUNCTION("""COMPUTED_VALUE"""),46192.0)</f>
        <v>46192</v>
      </c>
      <c r="J92" s="21" t="str">
        <f>IFERROR(__xludf.DUMMYFUNCTION("""COMPUTED_VALUE"""),"Gasto: coca junio ")</f>
        <v>Gasto: coca junio </v>
      </c>
      <c r="K92" s="12">
        <f>IFERROR(__xludf.DUMMYFUNCTION("""COMPUTED_VALUE"""),0.0)</f>
        <v>0</v>
      </c>
      <c r="L92" s="12">
        <f>IFERROR(__xludf.DUMMYFUNCTION("""COMPUTED_VALUE"""),235.0)</f>
        <v>235</v>
      </c>
      <c r="M92" s="12">
        <v>-34034.96</v>
      </c>
    </row>
    <row r="93">
      <c r="C93" s="12"/>
      <c r="G93" s="17"/>
      <c r="I93" s="123">
        <f>IFERROR(__xludf.DUMMYFUNCTION("""COMPUTED_VALUE"""),46192.0)</f>
        <v>46192</v>
      </c>
      <c r="J93" s="21" t="str">
        <f>IFERROR(__xludf.DUMMYFUNCTION("""COMPUTED_VALUE"""),"Gasto: nachito")</f>
        <v>Gasto: nachito</v>
      </c>
      <c r="K93" s="12">
        <f>IFERROR(__xludf.DUMMYFUNCTION("""COMPUTED_VALUE"""),0.0)</f>
        <v>0</v>
      </c>
      <c r="L93" s="12">
        <f>IFERROR(__xludf.DUMMYFUNCTION("""COMPUTED_VALUE"""),340.0)</f>
        <v>340</v>
      </c>
      <c r="M93" s="12">
        <v>-34374.96</v>
      </c>
    </row>
    <row r="94">
      <c r="C94" s="12"/>
      <c r="G94" s="17"/>
      <c r="I94" s="123">
        <f>IFERROR(__xludf.DUMMYFUNCTION("""COMPUTED_VALUE"""),46192.0)</f>
        <v>46192</v>
      </c>
      <c r="J94" s="21" t="str">
        <f>IFERROR(__xludf.DUMMYFUNCTION("""COMPUTED_VALUE"""),"Colo: MEDUSA")</f>
        <v>Colo: MEDUSA</v>
      </c>
      <c r="K94" s="12">
        <f>IFERROR(__xludf.DUMMYFUNCTION("""COMPUTED_VALUE"""),0.0)</f>
        <v>0</v>
      </c>
      <c r="L94" s="12">
        <f>IFERROR(__xludf.DUMMYFUNCTION("""COMPUTED_VALUE"""),3750.0)</f>
        <v>3750</v>
      </c>
      <c r="M94" s="12">
        <v>-38124.96</v>
      </c>
    </row>
    <row r="95">
      <c r="C95" s="12"/>
      <c r="G95" s="17"/>
      <c r="I95" s="123">
        <f>IFERROR(__xludf.DUMMYFUNCTION("""COMPUTED_VALUE"""),46194.0)</f>
        <v>46194</v>
      </c>
      <c r="J95" s="21" t="str">
        <f>IFERROR(__xludf.DUMMYFUNCTION("""COMPUTED_VALUE"""),"Colo: Millan Facundo")</f>
        <v>Colo: Millan Facundo</v>
      </c>
      <c r="K95" s="12">
        <f>IFERROR(__xludf.DUMMYFUNCTION("""COMPUTED_VALUE"""),2624.59)</f>
        <v>2624.59</v>
      </c>
      <c r="L95" s="12">
        <f>IFERROR(__xludf.DUMMYFUNCTION("""COMPUTED_VALUE"""),0.0)</f>
        <v>0</v>
      </c>
      <c r="M95" s="12">
        <v>-35500.369999999995</v>
      </c>
    </row>
    <row r="96">
      <c r="C96" s="12"/>
      <c r="G96" s="17"/>
      <c r="I96" s="123">
        <f>IFERROR(__xludf.DUMMYFUNCTION("""COMPUTED_VALUE"""),46195.0)</f>
        <v>46195</v>
      </c>
      <c r="J96" s="21" t="str">
        <f>IFERROR(__xludf.DUMMYFUNCTION("""COMPUTED_VALUE"""),"Colo: PUFFCO")</f>
        <v>Colo: PUFFCO</v>
      </c>
      <c r="K96" s="12">
        <f>IFERROR(__xludf.DUMMYFUNCTION("""COMPUTED_VALUE"""),0.0)</f>
        <v>0</v>
      </c>
      <c r="L96" s="12">
        <f>IFERROR(__xludf.DUMMYFUNCTION("""COMPUTED_VALUE"""),19570.0)</f>
        <v>19570</v>
      </c>
      <c r="M96" s="12">
        <v>-55070.369999999995</v>
      </c>
    </row>
    <row r="97">
      <c r="C97" s="12"/>
      <c r="G97" s="17"/>
      <c r="I97" s="123">
        <f>IFERROR(__xludf.DUMMYFUNCTION("""COMPUTED_VALUE"""),46196.0)</f>
        <v>46196</v>
      </c>
      <c r="J97" s="21" t="str">
        <f>IFERROR(__xludf.DUMMYFUNCTION("""COMPUTED_VALUE"""),"Colo: Garcia Hugo")</f>
        <v>Colo: Garcia Hugo</v>
      </c>
      <c r="K97" s="12">
        <f>IFERROR(__xludf.DUMMYFUNCTION("""COMPUTED_VALUE"""),7643.44)</f>
        <v>7643.44</v>
      </c>
      <c r="L97" s="12">
        <f>IFERROR(__xludf.DUMMYFUNCTION("""COMPUTED_VALUE"""),0.0)</f>
        <v>0</v>
      </c>
      <c r="M97" s="12">
        <v>-47426.92999999999</v>
      </c>
    </row>
    <row r="98">
      <c r="C98" s="12"/>
      <c r="G98" s="17"/>
      <c r="I98" s="123">
        <f>IFERROR(__xludf.DUMMYFUNCTION("""COMPUTED_VALUE"""),46202.0)</f>
        <v>46202</v>
      </c>
      <c r="J98" s="21" t="str">
        <f>IFERROR(__xludf.DUMMYFUNCTION("""COMPUTED_VALUE"""),"Gasto: puffco 12 71kg")</f>
        <v>Gasto: puffco 12 71kg</v>
      </c>
      <c r="K98" s="12">
        <f>IFERROR(__xludf.DUMMYFUNCTION("""COMPUTED_VALUE"""),0.0)</f>
        <v>0</v>
      </c>
      <c r="L98" s="12">
        <f>IFERROR(__xludf.DUMMYFUNCTION("""COMPUTED_VALUE"""),2698.0)</f>
        <v>2698</v>
      </c>
      <c r="M98" s="12">
        <v>-50124.92999999999</v>
      </c>
    </row>
    <row r="99">
      <c r="C99" s="12"/>
      <c r="G99" s="17"/>
      <c r="I99" s="123">
        <f>IFERROR(__xludf.DUMMYFUNCTION("""COMPUTED_VALUE"""),46203.0)</f>
        <v>46203</v>
      </c>
      <c r="J99" s="21" t="str">
        <f>IFERROR(__xludf.DUMMYFUNCTION("""COMPUTED_VALUE"""),"Colo: Ferro")</f>
        <v>Colo: Ferro</v>
      </c>
      <c r="K99" s="12">
        <f>IFERROR(__xludf.DUMMYFUNCTION("""COMPUTED_VALUE"""),2323.92)</f>
        <v>2323.92</v>
      </c>
      <c r="L99" s="12">
        <f>IFERROR(__xludf.DUMMYFUNCTION("""COMPUTED_VALUE"""),0.0)</f>
        <v>0</v>
      </c>
      <c r="M99" s="12">
        <v>-47801.009999999995</v>
      </c>
    </row>
    <row r="100">
      <c r="C100" s="12"/>
      <c r="G100" s="17"/>
      <c r="I100" s="123">
        <f>IFERROR(__xludf.DUMMYFUNCTION("""COMPUTED_VALUE"""),46205.0)</f>
        <v>46205</v>
      </c>
      <c r="J100" s="21" t="str">
        <f>IFERROR(__xludf.DUMMYFUNCTION("""COMPUTED_VALUE"""),"Gasto: bolsas la despensa")</f>
        <v>Gasto: bolsas la despensa</v>
      </c>
      <c r="K100" s="12">
        <f>IFERROR(__xludf.DUMMYFUNCTION("""COMPUTED_VALUE"""),0.0)</f>
        <v>0</v>
      </c>
      <c r="L100" s="12">
        <f>IFERROR(__xludf.DUMMYFUNCTION("""COMPUTED_VALUE"""),240.0)</f>
        <v>240</v>
      </c>
      <c r="M100" s="12">
        <v>-48041.009999999995</v>
      </c>
    </row>
    <row r="101">
      <c r="C101" s="12"/>
      <c r="G101" s="17"/>
      <c r="I101" s="123">
        <f>IFERROR(__xludf.DUMMYFUNCTION("""COMPUTED_VALUE"""),46209.0)</f>
        <v>46209</v>
      </c>
      <c r="J101" s="21" t="str">
        <f>IFERROR(__xludf.DUMMYFUNCTION("""COMPUTED_VALUE"""),"Colo: German")</f>
        <v>Colo: German</v>
      </c>
      <c r="K101" s="12">
        <f>IFERROR(__xludf.DUMMYFUNCTION("""COMPUTED_VALUE"""),8182.31)</f>
        <v>8182.31</v>
      </c>
      <c r="L101" s="12">
        <f>IFERROR(__xludf.DUMMYFUNCTION("""COMPUTED_VALUE"""),0.0)</f>
        <v>0</v>
      </c>
      <c r="M101" s="12">
        <v>-39858.7</v>
      </c>
    </row>
    <row r="102">
      <c r="C102" s="12"/>
      <c r="G102" s="17"/>
      <c r="I102" s="123">
        <f>IFERROR(__xludf.DUMMYFUNCTION("""COMPUTED_VALUE"""),46209.0)</f>
        <v>46209</v>
      </c>
      <c r="J102" s="21" t="str">
        <f>IFERROR(__xludf.DUMMYFUNCTION("""COMPUTED_VALUE"""),"Colo: THE PRESS CLUB")</f>
        <v>Colo: THE PRESS CLUB</v>
      </c>
      <c r="K102" s="12">
        <f>IFERROR(__xludf.DUMMYFUNCTION("""COMPUTED_VALUE"""),0.0)</f>
        <v>0</v>
      </c>
      <c r="L102" s="12">
        <f>IFERROR(__xludf.DUMMYFUNCTION("""COMPUTED_VALUE"""),1425.0)</f>
        <v>1425</v>
      </c>
      <c r="M102" s="12">
        <v>-41283.7</v>
      </c>
    </row>
    <row r="103">
      <c r="C103" s="12"/>
      <c r="G103" s="17"/>
      <c r="I103" s="123">
        <f>IFERROR(__xludf.DUMMYFUNCTION("""COMPUTED_VALUE"""),46209.0)</f>
        <v>46209</v>
      </c>
      <c r="J103" s="21" t="str">
        <f>IFERROR(__xludf.DUMMYFUNCTION("""COMPUTED_VALUE"""),"Colo: MEDUSA")</f>
        <v>Colo: MEDUSA</v>
      </c>
      <c r="K103" s="12">
        <f>IFERROR(__xludf.DUMMYFUNCTION("""COMPUTED_VALUE"""),0.0)</f>
        <v>0</v>
      </c>
      <c r="L103" s="12">
        <f>IFERROR(__xludf.DUMMYFUNCTION("""COMPUTED_VALUE"""),3142.0)</f>
        <v>3142</v>
      </c>
      <c r="M103" s="12">
        <v>-44425.7</v>
      </c>
    </row>
    <row r="104">
      <c r="C104" s="12"/>
      <c r="G104" s="17"/>
      <c r="I104" s="123">
        <f>IFERROR(__xludf.DUMMYFUNCTION("""COMPUTED_VALUE"""),46211.0)</f>
        <v>46211</v>
      </c>
      <c r="J104" s="21" t="str">
        <f>IFERROR(__xludf.DUMMYFUNCTION("""COMPUTED_VALUE"""),"Colo: Gonzalez Jeremias")</f>
        <v>Colo: Gonzalez Jeremias</v>
      </c>
      <c r="K104" s="12">
        <f>IFERROR(__xludf.DUMMYFUNCTION("""COMPUTED_VALUE"""),2618.45)</f>
        <v>2618.45</v>
      </c>
      <c r="L104" s="12">
        <f>IFERROR(__xludf.DUMMYFUNCTION("""COMPUTED_VALUE"""),0.0)</f>
        <v>0</v>
      </c>
      <c r="M104" s="12">
        <v>-41807.25</v>
      </c>
    </row>
    <row r="105">
      <c r="C105" s="12"/>
      <c r="G105" s="17"/>
      <c r="I105" s="123">
        <f>IFERROR(__xludf.DUMMYFUNCTION("""COMPUTED_VALUE"""),46213.0)</f>
        <v>46213</v>
      </c>
      <c r="J105" s="21" t="str">
        <f>IFERROR(__xludf.DUMMYFUNCTION("""COMPUTED_VALUE"""),"Gasto: nacho al dia")</f>
        <v>Gasto: nacho al dia</v>
      </c>
      <c r="K105" s="12">
        <f>IFERROR(__xludf.DUMMYFUNCTION("""COMPUTED_VALUE"""),0.0)</f>
        <v>0</v>
      </c>
      <c r="L105" s="12">
        <f>IFERROR(__xludf.DUMMYFUNCTION("""COMPUTED_VALUE"""),300.0)</f>
        <v>300</v>
      </c>
      <c r="M105" s="12">
        <v>-42107.25</v>
      </c>
    </row>
    <row r="106">
      <c r="C106" s="12"/>
      <c r="G106" s="17"/>
      <c r="I106" s="123">
        <f>IFERROR(__xludf.DUMMYFUNCTION("""COMPUTED_VALUE"""),46214.0)</f>
        <v>46214</v>
      </c>
      <c r="J106" s="21" t="str">
        <f>IFERROR(__xludf.DUMMYFUNCTION("""COMPUTED_VALUE"""),"Colo: Mendoza Matias")</f>
        <v>Colo: Mendoza Matias</v>
      </c>
      <c r="K106" s="12">
        <f>IFERROR(__xludf.DUMMYFUNCTION("""COMPUTED_VALUE"""),2052.3)</f>
        <v>2052.3</v>
      </c>
      <c r="L106" s="12">
        <f>IFERROR(__xludf.DUMMYFUNCTION("""COMPUTED_VALUE"""),0.0)</f>
        <v>0</v>
      </c>
      <c r="M106" s="12">
        <v>-40054.95</v>
      </c>
    </row>
    <row r="107">
      <c r="C107" s="12"/>
      <c r="G107" s="17"/>
      <c r="I107" s="123">
        <f>IFERROR(__xludf.DUMMYFUNCTION("""COMPUTED_VALUE"""),46216.0)</f>
        <v>46216</v>
      </c>
      <c r="J107" s="21" t="str">
        <f>IFERROR(__xludf.DUMMYFUNCTION("""COMPUTED_VALUE"""),"Gasto: alquiler Julio y aogsto")</f>
        <v>Gasto: alquiler Julio y aogsto</v>
      </c>
      <c r="K107" s="12">
        <f>IFERROR(__xludf.DUMMYFUNCTION("""COMPUTED_VALUE"""),0.0)</f>
        <v>0</v>
      </c>
      <c r="L107" s="12">
        <f>IFERROR(__xludf.DUMMYFUNCTION("""COMPUTED_VALUE"""),900.0)</f>
        <v>900</v>
      </c>
      <c r="M107" s="12">
        <v>-40954.95</v>
      </c>
    </row>
    <row r="108">
      <c r="C108" s="12"/>
      <c r="G108" s="17"/>
      <c r="I108" s="123">
        <f>IFERROR(__xludf.DUMMYFUNCTION("""COMPUTED_VALUE"""),46217.0)</f>
        <v>46217</v>
      </c>
      <c r="J108" s="21" t="str">
        <f>IFERROR(__xludf.DUMMYFUNCTION("""COMPUTED_VALUE"""),"Colo: PUFFCO")</f>
        <v>Colo: PUFFCO</v>
      </c>
      <c r="K108" s="12">
        <f>IFERROR(__xludf.DUMMYFUNCTION("""COMPUTED_VALUE"""),0.0)</f>
        <v>0</v>
      </c>
      <c r="L108" s="12">
        <f>IFERROR(__xludf.DUMMYFUNCTION("""COMPUTED_VALUE"""),15400.0)</f>
        <v>15400</v>
      </c>
      <c r="M108" s="12">
        <v>-56354.95</v>
      </c>
    </row>
    <row r="109">
      <c r="C109" s="12"/>
      <c r="G109" s="17"/>
      <c r="I109" s="123">
        <f>IFERROR(__xludf.DUMMYFUNCTION("""COMPUTED_VALUE"""),46217.0)</f>
        <v>46217</v>
      </c>
      <c r="J109" s="21" t="str">
        <f>IFERROR(__xludf.DUMMYFUNCTION("""COMPUTED_VALUE"""),"Colo: PUFFCO")</f>
        <v>Colo: PUFFCO</v>
      </c>
      <c r="K109" s="12">
        <f>IFERROR(__xludf.DUMMYFUNCTION("""COMPUTED_VALUE"""),0.0)</f>
        <v>0</v>
      </c>
      <c r="L109" s="12">
        <f>IFERROR(__xludf.DUMMYFUNCTION("""COMPUTED_VALUE"""),4876.0)</f>
        <v>4876</v>
      </c>
      <c r="M109" s="12">
        <v>-61230.95</v>
      </c>
    </row>
    <row r="110">
      <c r="C110" s="12"/>
      <c r="G110" s="17"/>
      <c r="I110" s="123">
        <f>IFERROR(__xludf.DUMMYFUNCTION("""COMPUTED_VALUE"""),46217.0)</f>
        <v>46217</v>
      </c>
      <c r="J110" s="21" t="str">
        <f>IFERROR(__xludf.DUMMYFUNCTION("""COMPUTED_VALUE"""),"Colo: PUFFCO")</f>
        <v>Colo: PUFFCO</v>
      </c>
      <c r="K110" s="12">
        <f>IFERROR(__xludf.DUMMYFUNCTION("""COMPUTED_VALUE"""),0.0)</f>
        <v>0</v>
      </c>
      <c r="L110" s="12">
        <f>IFERROR(__xludf.DUMMYFUNCTION("""COMPUTED_VALUE"""),8740.0)</f>
        <v>8740</v>
      </c>
      <c r="M110" s="12">
        <v>-69970.95</v>
      </c>
    </row>
    <row r="111">
      <c r="C111" s="12"/>
      <c r="G111" s="17"/>
      <c r="I111" s="123">
        <f>IFERROR(__xludf.DUMMYFUNCTION("""COMPUTED_VALUE"""),46219.0)</f>
        <v>46219</v>
      </c>
      <c r="J111" s="21" t="str">
        <f>IFERROR(__xludf.DUMMYFUNCTION("""COMPUTED_VALUE"""),"Gasto: coca")</f>
        <v>Gasto: coca</v>
      </c>
      <c r="K111" s="12">
        <f>IFERROR(__xludf.DUMMYFUNCTION("""COMPUTED_VALUE"""),0.0)</f>
        <v>0</v>
      </c>
      <c r="L111" s="12">
        <f>IFERROR(__xludf.DUMMYFUNCTION("""COMPUTED_VALUE"""),235.0)</f>
        <v>235</v>
      </c>
      <c r="M111" s="12">
        <v>-70205.95</v>
      </c>
    </row>
    <row r="112">
      <c r="C112" s="12"/>
      <c r="G112" s="17"/>
      <c r="I112" s="123">
        <f>IFERROR(__xludf.DUMMYFUNCTION("""COMPUTED_VALUE"""),46219.0)</f>
        <v>46219</v>
      </c>
      <c r="J112" s="21" t="str">
        <f>IFERROR(__xludf.DUMMYFUNCTION("""COMPUTED_VALUE"""),"Gasto: expensas e impuestos luz caldera  cochera")</f>
        <v>Gasto: expensas e impuestos luz caldera  cochera</v>
      </c>
      <c r="K112" s="12">
        <f>IFERROR(__xludf.DUMMYFUNCTION("""COMPUTED_VALUE"""),0.0)</f>
        <v>0</v>
      </c>
      <c r="L112" s="12">
        <f>IFERROR(__xludf.DUMMYFUNCTION("""COMPUTED_VALUE"""),560.0)</f>
        <v>560</v>
      </c>
      <c r="M112" s="12">
        <v>-70765.95</v>
      </c>
    </row>
    <row r="113">
      <c r="C113" s="12"/>
      <c r="G113" s="17"/>
      <c r="I113" s="123">
        <f>IFERROR(__xludf.DUMMYFUNCTION("""COMPUTED_VALUE"""),46220.0)</f>
        <v>46220</v>
      </c>
      <c r="J113" s="21" t="str">
        <f>IFERROR(__xludf.DUMMYFUNCTION("""COMPUTED_VALUE"""),"Gasto: Pines fundido en bronce LA DESPENSA (para expo cannabis) 500 uni")</f>
        <v>Gasto: Pines fundido en bronce LA DESPENSA (para expo cannabis) 500 uni</v>
      </c>
      <c r="K113" s="12">
        <f>IFERROR(__xludf.DUMMYFUNCTION("""COMPUTED_VALUE"""),0.0)</f>
        <v>0</v>
      </c>
      <c r="L113" s="12">
        <f>IFERROR(__xludf.DUMMYFUNCTION("""COMPUTED_VALUE"""),650.0)</f>
        <v>650</v>
      </c>
      <c r="M113" s="12">
        <v>-71415.95</v>
      </c>
    </row>
    <row r="114">
      <c r="C114" s="12"/>
      <c r="G114" s="17"/>
      <c r="I114" s="123">
        <f>IFERROR(__xludf.DUMMYFUNCTION("""COMPUTED_VALUE"""),46220.0)</f>
        <v>46220</v>
      </c>
      <c r="J114" s="21" t="str">
        <f>IFERROR(__xludf.DUMMYFUNCTION("""COMPUTED_VALUE"""),"Gasto: remeras LA DESPENSA expo cannabis 30 unidades")</f>
        <v>Gasto: remeras LA DESPENSA expo cannabis 30 unidades</v>
      </c>
      <c r="K114" s="12">
        <f>IFERROR(__xludf.DUMMYFUNCTION("""COMPUTED_VALUE"""),0.0)</f>
        <v>0</v>
      </c>
      <c r="L114" s="12">
        <f>IFERROR(__xludf.DUMMYFUNCTION("""COMPUTED_VALUE"""),550.0)</f>
        <v>550</v>
      </c>
      <c r="M114" s="12">
        <v>-71965.95</v>
      </c>
    </row>
    <row r="115">
      <c r="C115" s="12"/>
      <c r="G115" s="17"/>
      <c r="I115" s="123">
        <f>IFERROR(__xludf.DUMMYFUNCTION("""COMPUTED_VALUE"""),46221.0)</f>
        <v>46221</v>
      </c>
      <c r="J115" s="21" t="str">
        <f>IFERROR(__xludf.DUMMYFUNCTION("""COMPUTED_VALUE"""),"Gasto: nacho al dia ")</f>
        <v>Gasto: nacho al dia </v>
      </c>
      <c r="K115" s="12">
        <f>IFERROR(__xludf.DUMMYFUNCTION("""COMPUTED_VALUE"""),0.0)</f>
        <v>0</v>
      </c>
      <c r="L115" s="12">
        <f>IFERROR(__xludf.DUMMYFUNCTION("""COMPUTED_VALUE"""),200.0)</f>
        <v>200</v>
      </c>
      <c r="M115" s="12">
        <v>-72165.95</v>
      </c>
    </row>
    <row r="116">
      <c r="C116" s="12"/>
      <c r="G116" s="17"/>
      <c r="I116" s="123">
        <f>IFERROR(__xludf.DUMMYFUNCTION("""COMPUTED_VALUE"""),46223.0)</f>
        <v>46223</v>
      </c>
      <c r="J116" s="21" t="str">
        <f>IFERROR(__xludf.DUMMYFUNCTION("""COMPUTED_VALUE"""),"Gasto: puffco 13 + medusa 150kg")</f>
        <v>Gasto: puffco 13 + medusa 150kg</v>
      </c>
      <c r="K116" s="12">
        <f>IFERROR(__xludf.DUMMYFUNCTION("""COMPUTED_VALUE"""),0.0)</f>
        <v>0</v>
      </c>
      <c r="L116" s="12">
        <f>IFERROR(__xludf.DUMMYFUNCTION("""COMPUTED_VALUE"""),5700.0)</f>
        <v>5700</v>
      </c>
      <c r="M116" s="12">
        <v>-77865.95</v>
      </c>
    </row>
    <row r="117">
      <c r="C117" s="12"/>
      <c r="G117" s="17"/>
      <c r="I117" s="123">
        <f>IFERROR(__xludf.DUMMYFUNCTION("""COMPUTED_VALUE"""),46224.0)</f>
        <v>46224</v>
      </c>
      <c r="J117" s="21" t="str">
        <f>IFERROR(__xludf.DUMMYFUNCTION("""COMPUTED_VALUE"""),"Colo: Cruz Jonathan")</f>
        <v>Colo: Cruz Jonathan</v>
      </c>
      <c r="K117" s="12">
        <f>IFERROR(__xludf.DUMMYFUNCTION("""COMPUTED_VALUE"""),1306.01)</f>
        <v>1306.01</v>
      </c>
      <c r="L117" s="12">
        <f>IFERROR(__xludf.DUMMYFUNCTION("""COMPUTED_VALUE"""),0.0)</f>
        <v>0</v>
      </c>
      <c r="M117" s="12">
        <v>-76559.94</v>
      </c>
    </row>
    <row r="118">
      <c r="C118" s="12"/>
      <c r="G118" s="17"/>
      <c r="I118" s="123">
        <f>IFERROR(__xludf.DUMMYFUNCTION("""COMPUTED_VALUE"""),46225.0)</f>
        <v>46225</v>
      </c>
      <c r="J118" s="21" t="str">
        <f>IFERROR(__xludf.DUMMYFUNCTION("""COMPUTED_VALUE"""),"Colo: PUFFCO")</f>
        <v>Colo: PUFFCO</v>
      </c>
      <c r="K118" s="12">
        <f>IFERROR(__xludf.DUMMYFUNCTION("""COMPUTED_VALUE"""),0.0)</f>
        <v>0</v>
      </c>
      <c r="L118" s="12">
        <f>IFERROR(__xludf.DUMMYFUNCTION("""COMPUTED_VALUE"""),10350.0)</f>
        <v>10350</v>
      </c>
      <c r="M118" s="12">
        <v>-86909.94</v>
      </c>
    </row>
    <row r="119">
      <c r="C119" s="12"/>
      <c r="G119" s="17"/>
      <c r="I119" s="123">
        <f>IFERROR(__xludf.DUMMYFUNCTION("""COMPUTED_VALUE"""),46226.0)</f>
        <v>46226</v>
      </c>
      <c r="J119" s="21" t="str">
        <f>IFERROR(__xludf.DUMMYFUNCTION("""COMPUTED_VALUE"""),"Gasto: puffco 14 + resto de medusa 95kg")</f>
        <v>Gasto: puffco 14 + resto de medusa 95kg</v>
      </c>
      <c r="K119" s="12">
        <f>IFERROR(__xludf.DUMMYFUNCTION("""COMPUTED_VALUE"""),0.0)</f>
        <v>0</v>
      </c>
      <c r="L119" s="12">
        <f>IFERROR(__xludf.DUMMYFUNCTION("""COMPUTED_VALUE"""),3610.0)</f>
        <v>3610</v>
      </c>
      <c r="M119" s="12">
        <v>-90519.94</v>
      </c>
    </row>
    <row r="120">
      <c r="C120" s="12"/>
      <c r="G120" s="17"/>
      <c r="I120" s="123">
        <f>IFERROR(__xludf.DUMMYFUNCTION("""COMPUTED_VALUE"""),46226.0)</f>
        <v>46226</v>
      </c>
      <c r="J120" s="21" t="str">
        <f>IFERROR(__xludf.DUMMYFUNCTION("""COMPUTED_VALUE"""),"Colo: Nachito")</f>
        <v>Colo: Nachito</v>
      </c>
      <c r="K120" s="12">
        <f>IFERROR(__xludf.DUMMYFUNCTION("""COMPUTED_VALUE"""),5350.0)</f>
        <v>5350</v>
      </c>
      <c r="L120" s="12">
        <f>IFERROR(__xludf.DUMMYFUNCTION("""COMPUTED_VALUE"""),0.0)</f>
        <v>0</v>
      </c>
      <c r="M120" s="12">
        <v>-85169.94</v>
      </c>
    </row>
    <row r="121">
      <c r="C121" s="12"/>
      <c r="G121" s="17"/>
      <c r="I121" s="123">
        <f>IFERROR(__xludf.DUMMYFUNCTION("""COMPUTED_VALUE"""),46230.0)</f>
        <v>46230</v>
      </c>
      <c r="J121" s="21" t="str">
        <f>IFERROR(__xludf.DUMMYFUNCTION("""COMPUTED_VALUE"""),"Colo: Nachito")</f>
        <v>Colo: Nachito</v>
      </c>
      <c r="K121" s="12">
        <f>IFERROR(__xludf.DUMMYFUNCTION("""COMPUTED_VALUE"""),8845.0)</f>
        <v>8845</v>
      </c>
      <c r="L121" s="12">
        <f>IFERROR(__xludf.DUMMYFUNCTION("""COMPUTED_VALUE"""),0.0)</f>
        <v>0</v>
      </c>
      <c r="M121" s="12">
        <v>-76324.94</v>
      </c>
    </row>
    <row r="122">
      <c r="C122" s="12"/>
      <c r="G122" s="17"/>
      <c r="I122" s="123">
        <f>IFERROR(__xludf.DUMMYFUNCTION("""COMPUTED_VALUE"""),46233.0)</f>
        <v>46233</v>
      </c>
      <c r="J122" s="21" t="str">
        <f>IFERROR(__xludf.DUMMYFUNCTION("""COMPUTED_VALUE"""),"Colo: PUFFCO")</f>
        <v>Colo: PUFFCO</v>
      </c>
      <c r="K122" s="12">
        <f>IFERROR(__xludf.DUMMYFUNCTION("""COMPUTED_VALUE"""),0.0)</f>
        <v>0</v>
      </c>
      <c r="L122" s="12">
        <f>IFERROR(__xludf.DUMMYFUNCTION("""COMPUTED_VALUE"""),10350.0)</f>
        <v>10350</v>
      </c>
      <c r="M122" s="12">
        <v>-86674.94</v>
      </c>
    </row>
    <row r="123">
      <c r="C123" s="12"/>
      <c r="G123" s="17"/>
      <c r="I123" s="123">
        <f>IFERROR(__xludf.DUMMYFUNCTION("""COMPUTED_VALUE"""),46237.0)</f>
        <v>46237</v>
      </c>
      <c r="J123" s="21" t="str">
        <f>IFERROR(__xludf.DUMMYFUNCTION("""COMPUTED_VALUE"""),"Colo: Nachito")</f>
        <v>Colo: Nachito</v>
      </c>
      <c r="K123" s="12">
        <f>IFERROR(__xludf.DUMMYFUNCTION("""COMPUTED_VALUE"""),3150.0)</f>
        <v>3150</v>
      </c>
      <c r="L123" s="12">
        <f>IFERROR(__xludf.DUMMYFUNCTION("""COMPUTED_VALUE"""),0.0)</f>
        <v>0</v>
      </c>
      <c r="M123" s="12">
        <v>-83524.94</v>
      </c>
    </row>
    <row r="124">
      <c r="C124" s="12"/>
      <c r="G124" s="17"/>
      <c r="I124" s="123">
        <f>IFERROR(__xludf.DUMMYFUNCTION("""COMPUTED_VALUE"""),46238.0)</f>
        <v>46238</v>
      </c>
      <c r="J124" s="21" t="str">
        <f>IFERROR(__xludf.DUMMYFUNCTION("""COMPUTED_VALUE"""),"Colo: MEDUSA")</f>
        <v>Colo: MEDUSA</v>
      </c>
      <c r="K124" s="12">
        <f>IFERROR(__xludf.DUMMYFUNCTION("""COMPUTED_VALUE"""),0.0)</f>
        <v>0</v>
      </c>
      <c r="L124" s="12">
        <f>IFERROR(__xludf.DUMMYFUNCTION("""COMPUTED_VALUE"""),4280.23)</f>
        <v>4280.23</v>
      </c>
      <c r="M124" s="12">
        <v>-87805.17</v>
      </c>
    </row>
    <row r="125">
      <c r="C125" s="12"/>
      <c r="G125" s="17"/>
      <c r="I125" s="123">
        <f>IFERROR(__xludf.DUMMYFUNCTION("""COMPUTED_VALUE"""),46238.0)</f>
        <v>46238</v>
      </c>
      <c r="J125" s="21" t="str">
        <f>IFERROR(__xludf.DUMMYFUNCTION("""COMPUTED_VALUE"""),"Colo: Nachito")</f>
        <v>Colo: Nachito</v>
      </c>
      <c r="K125" s="12">
        <f>IFERROR(__xludf.DUMMYFUNCTION("""COMPUTED_VALUE"""),5116.3)</f>
        <v>5116.3</v>
      </c>
      <c r="L125" s="12">
        <f>IFERROR(__xludf.DUMMYFUNCTION("""COMPUTED_VALUE"""),0.0)</f>
        <v>0</v>
      </c>
      <c r="M125" s="12">
        <v>-82688.87</v>
      </c>
    </row>
    <row r="126">
      <c r="C126" s="12"/>
      <c r="G126" s="17"/>
      <c r="I126" s="123">
        <f>IFERROR(__xludf.DUMMYFUNCTION("""COMPUTED_VALUE"""),46238.0)</f>
        <v>46238</v>
      </c>
      <c r="J126" s="21" t="str">
        <f>IFERROR(__xludf.DUMMYFUNCTION("""COMPUTED_VALUE"""),"Colo: Nachito")</f>
        <v>Colo: Nachito</v>
      </c>
      <c r="K126" s="12">
        <f>IFERROR(__xludf.DUMMYFUNCTION("""COMPUTED_VALUE"""),5895.0)</f>
        <v>5895</v>
      </c>
      <c r="L126" s="12">
        <f>IFERROR(__xludf.DUMMYFUNCTION("""COMPUTED_VALUE"""),0.0)</f>
        <v>0</v>
      </c>
      <c r="M126" s="12">
        <v>-76793.87</v>
      </c>
    </row>
    <row r="127">
      <c r="C127" s="12"/>
      <c r="G127" s="17"/>
      <c r="I127" s="123">
        <f>IFERROR(__xludf.DUMMYFUNCTION("""COMPUTED_VALUE"""),46238.0)</f>
        <v>46238</v>
      </c>
      <c r="J127" s="21" t="str">
        <f>IFERROR(__xludf.DUMMYFUNCTION("""COMPUTED_VALUE"""),"Colo: PUFFCO")</f>
        <v>Colo: PUFFCO</v>
      </c>
      <c r="K127" s="12">
        <f>IFERROR(__xludf.DUMMYFUNCTION("""COMPUTED_VALUE"""),0.0)</f>
        <v>0</v>
      </c>
      <c r="L127" s="12">
        <f>IFERROR(__xludf.DUMMYFUNCTION("""COMPUTED_VALUE"""),8487.0)</f>
        <v>8487</v>
      </c>
      <c r="M127" s="12">
        <v>-85280.87</v>
      </c>
    </row>
    <row r="128">
      <c r="C128" s="12"/>
      <c r="G128" s="17"/>
      <c r="I128" s="123">
        <f>IFERROR(__xludf.DUMMYFUNCTION("""COMPUTED_VALUE"""),46238.0)</f>
        <v>46238</v>
      </c>
      <c r="J128" s="21" t="str">
        <f>IFERROR(__xludf.DUMMYFUNCTION("""COMPUTED_VALUE"""),"Colo: Nachito")</f>
        <v>Colo: Nachito</v>
      </c>
      <c r="K128" s="12">
        <f>IFERROR(__xludf.DUMMYFUNCTION("""COMPUTED_VALUE"""),2571.43)</f>
        <v>2571.43</v>
      </c>
      <c r="L128" s="12">
        <f>IFERROR(__xludf.DUMMYFUNCTION("""COMPUTED_VALUE"""),0.0)</f>
        <v>0</v>
      </c>
      <c r="M128" s="12">
        <v>-82709.44</v>
      </c>
    </row>
    <row r="129">
      <c r="C129" s="12"/>
      <c r="G129" s="17"/>
      <c r="I129" s="123">
        <f>IFERROR(__xludf.DUMMYFUNCTION("""COMPUTED_VALUE"""),46238.0)</f>
        <v>46238</v>
      </c>
      <c r="J129" s="21" t="str">
        <f>IFERROR(__xludf.DUMMYFUNCTION("""COMPUTED_VALUE"""),"Colo: Nachito")</f>
        <v>Colo: Nachito</v>
      </c>
      <c r="K129" s="12">
        <f>IFERROR(__xludf.DUMMYFUNCTION("""COMPUTED_VALUE"""),7032.88)</f>
        <v>7032.88</v>
      </c>
      <c r="L129" s="12">
        <f>IFERROR(__xludf.DUMMYFUNCTION("""COMPUTED_VALUE"""),0.0)</f>
        <v>0</v>
      </c>
      <c r="M129" s="12">
        <v>-75676.56</v>
      </c>
    </row>
    <row r="130">
      <c r="C130" s="12"/>
      <c r="G130" s="17"/>
      <c r="I130" s="123">
        <f>IFERROR(__xludf.DUMMYFUNCTION("""COMPUTED_VALUE"""),46238.0)</f>
        <v>46238</v>
      </c>
      <c r="J130" s="21" t="str">
        <f>IFERROR(__xludf.DUMMYFUNCTION("""COMPUTED_VALUE"""),"Colo: Nachito")</f>
        <v>Colo: Nachito</v>
      </c>
      <c r="K130" s="12">
        <f>IFERROR(__xludf.DUMMYFUNCTION("""COMPUTED_VALUE"""),2931.25)</f>
        <v>2931.25</v>
      </c>
      <c r="L130" s="12">
        <f>IFERROR(__xludf.DUMMYFUNCTION("""COMPUTED_VALUE"""),0.0)</f>
        <v>0</v>
      </c>
      <c r="M130" s="12">
        <v>-72745.31</v>
      </c>
    </row>
    <row r="131">
      <c r="C131" s="12"/>
      <c r="G131" s="17"/>
      <c r="I131" s="123">
        <f>IFERROR(__xludf.DUMMYFUNCTION("""COMPUTED_VALUE"""),46239.0)</f>
        <v>46239</v>
      </c>
      <c r="J131" s="21" t="str">
        <f>IFERROR(__xludf.DUMMYFUNCTION("""COMPUTED_VALUE"""),"Colo: Bailon Santiago")</f>
        <v>Colo: Bailon Santiago</v>
      </c>
      <c r="K131" s="12">
        <f>IFERROR(__xludf.DUMMYFUNCTION("""COMPUTED_VALUE"""),1112.25)</f>
        <v>1112.25</v>
      </c>
      <c r="L131" s="12">
        <f>IFERROR(__xludf.DUMMYFUNCTION("""COMPUTED_VALUE"""),0.0)</f>
        <v>0</v>
      </c>
      <c r="M131" s="12">
        <v>-71633.06</v>
      </c>
    </row>
    <row r="132">
      <c r="C132" s="12"/>
      <c r="G132" s="17"/>
      <c r="I132" s="123">
        <f>IFERROR(__xludf.DUMMYFUNCTION("""COMPUTED_VALUE"""),46246.0)</f>
        <v>46246</v>
      </c>
      <c r="J132" s="21" t="str">
        <f>IFERROR(__xludf.DUMMYFUNCTION("""COMPUTED_VALUE"""),"Gasto: puffco 15")</f>
        <v>Gasto: puffco 15</v>
      </c>
      <c r="K132" s="12">
        <f>IFERROR(__xludf.DUMMYFUNCTION("""COMPUTED_VALUE"""),0.0)</f>
        <v>0</v>
      </c>
      <c r="L132" s="12">
        <f>IFERROR(__xludf.DUMMYFUNCTION("""COMPUTED_VALUE"""),2394.0)</f>
        <v>2394</v>
      </c>
      <c r="M132" s="12">
        <v>-74027.06</v>
      </c>
    </row>
    <row r="133">
      <c r="C133" s="12"/>
      <c r="G133" s="17"/>
      <c r="I133" s="123">
        <f>IFERROR(__xludf.DUMMYFUNCTION("""COMPUTED_VALUE"""),46246.0)</f>
        <v>46246</v>
      </c>
      <c r="J133" s="21" t="str">
        <f>IFERROR(__xludf.DUMMYFUNCTION("""COMPUTED_VALUE"""),"Gasto: coca")</f>
        <v>Gasto: coca</v>
      </c>
      <c r="K133" s="12">
        <f>IFERROR(__xludf.DUMMYFUNCTION("""COMPUTED_VALUE"""),0.0)</f>
        <v>0</v>
      </c>
      <c r="L133" s="12">
        <f>IFERROR(__xludf.DUMMYFUNCTION("""COMPUTED_VALUE"""),235.0)</f>
        <v>235</v>
      </c>
      <c r="M133" s="12">
        <v>-74262.06</v>
      </c>
    </row>
    <row r="134">
      <c r="C134" s="12"/>
      <c r="G134" s="17"/>
      <c r="I134" s="123">
        <f>IFERROR(__xludf.DUMMYFUNCTION("""COMPUTED_VALUE"""),46246.0)</f>
        <v>46246</v>
      </c>
      <c r="J134" s="21" t="str">
        <f>IFERROR(__xludf.DUMMYFUNCTION("""COMPUTED_VALUE"""),"Gasto: nachito al dia ")</f>
        <v>Gasto: nachito al dia </v>
      </c>
      <c r="K134" s="12">
        <f>IFERROR(__xludf.DUMMYFUNCTION("""COMPUTED_VALUE"""),0.0)</f>
        <v>0</v>
      </c>
      <c r="L134" s="12">
        <f>IFERROR(__xludf.DUMMYFUNCTION("""COMPUTED_VALUE"""),360.0)</f>
        <v>360</v>
      </c>
      <c r="M134" s="12">
        <v>-74622.06</v>
      </c>
    </row>
    <row r="135">
      <c r="C135" s="12"/>
      <c r="G135" s="17"/>
      <c r="I135" s="123">
        <f>IFERROR(__xludf.DUMMYFUNCTION("""COMPUTED_VALUE"""),46247.0)</f>
        <v>46247</v>
      </c>
      <c r="J135" s="21" t="str">
        <f>IFERROR(__xludf.DUMMYFUNCTION("""COMPUTED_VALUE"""),"Colo: Nachito")</f>
        <v>Colo: Nachito</v>
      </c>
      <c r="K135" s="12">
        <f>IFERROR(__xludf.DUMMYFUNCTION("""COMPUTED_VALUE"""),31000.0)</f>
        <v>31000</v>
      </c>
      <c r="L135" s="12">
        <f>IFERROR(__xludf.DUMMYFUNCTION("""COMPUTED_VALUE"""),0.0)</f>
        <v>0</v>
      </c>
      <c r="M135" s="12">
        <v>-43622.06</v>
      </c>
    </row>
    <row r="136">
      <c r="C136" s="12"/>
      <c r="G136" s="17"/>
      <c r="I136" s="123">
        <f>IFERROR(__xludf.DUMMYFUNCTION("""COMPUTED_VALUE"""),46247.0)</f>
        <v>46247</v>
      </c>
      <c r="J136" s="21" t="str">
        <f>IFERROR(__xludf.DUMMYFUNCTION("""COMPUTED_VALUE"""),"Colo: LOUIS")</f>
        <v>Colo: LOUIS</v>
      </c>
      <c r="K136" s="12">
        <f>IFERROR(__xludf.DUMMYFUNCTION("""COMPUTED_VALUE"""),0.0)</f>
        <v>0</v>
      </c>
      <c r="L136" s="12">
        <f>IFERROR(__xludf.DUMMYFUNCTION("""COMPUTED_VALUE"""),36225.0)</f>
        <v>36225</v>
      </c>
      <c r="M136" s="12">
        <v>-79847.06</v>
      </c>
    </row>
    <row r="137">
      <c r="C137" s="12"/>
      <c r="G137" s="17"/>
      <c r="I137" s="123">
        <f>IFERROR(__xludf.DUMMYFUNCTION("""COMPUTED_VALUE"""),46253.0)</f>
        <v>46253</v>
      </c>
      <c r="J137" s="21" t="str">
        <f>IFERROR(__xludf.DUMMYFUNCTION("""COMPUTED_VALUE"""),"Gasto: vidrios 43kg")</f>
        <v>Gasto: vidrios 43kg</v>
      </c>
      <c r="K137" s="12">
        <f>IFERROR(__xludf.DUMMYFUNCTION("""COMPUTED_VALUE"""),0.0)</f>
        <v>0</v>
      </c>
      <c r="L137" s="12">
        <f>IFERROR(__xludf.DUMMYFUNCTION("""COMPUTED_VALUE"""),1634.0)</f>
        <v>1634</v>
      </c>
      <c r="M137" s="12">
        <v>-81481.06</v>
      </c>
    </row>
    <row r="138">
      <c r="C138" s="12"/>
      <c r="G138" s="17"/>
      <c r="I138" s="123">
        <f>IFERROR(__xludf.DUMMYFUNCTION("""COMPUTED_VALUE"""),46256.0)</f>
        <v>46256</v>
      </c>
      <c r="J138" s="21" t="str">
        <f>IFERROR(__xludf.DUMMYFUNCTION("""COMPUTED_VALUE"""),"Colo: MEDUSA")</f>
        <v>Colo: MEDUSA</v>
      </c>
      <c r="K138" s="12">
        <f>IFERROR(__xludf.DUMMYFUNCTION("""COMPUTED_VALUE"""),0.0)</f>
        <v>0</v>
      </c>
      <c r="L138" s="12">
        <f>IFERROR(__xludf.DUMMYFUNCTION("""COMPUTED_VALUE"""),7656.93)</f>
        <v>7656.93</v>
      </c>
      <c r="M138" s="12">
        <v>-89137.98999999999</v>
      </c>
    </row>
    <row r="139">
      <c r="C139" s="12"/>
      <c r="G139" s="17"/>
      <c r="I139" s="123">
        <f>IFERROR(__xludf.DUMMYFUNCTION("""COMPUTED_VALUE"""),46258.0)</f>
        <v>46258</v>
      </c>
      <c r="J139" s="21" t="str">
        <f>IFERROR(__xludf.DUMMYFUNCTION("""COMPUTED_VALUE"""),"Colo: Nachito")</f>
        <v>Colo: Nachito</v>
      </c>
      <c r="K139" s="12">
        <f>IFERROR(__xludf.DUMMYFUNCTION("""COMPUTED_VALUE"""),10000.0)</f>
        <v>10000</v>
      </c>
      <c r="L139" s="12">
        <f>IFERROR(__xludf.DUMMYFUNCTION("""COMPUTED_VALUE"""),0.0)</f>
        <v>0</v>
      </c>
      <c r="M139" s="12">
        <v>-79137.98999999999</v>
      </c>
    </row>
    <row r="140">
      <c r="C140" s="12"/>
      <c r="G140" s="17"/>
      <c r="I140" s="123">
        <f>IFERROR(__xludf.DUMMYFUNCTION("""COMPUTED_VALUE"""),46258.0)</f>
        <v>46258</v>
      </c>
      <c r="J140" s="21" t="str">
        <f>IFERROR(__xludf.DUMMYFUNCTION("""COMPUTED_VALUE"""),"Colo: MEDUSA")</f>
        <v>Colo: MEDUSA</v>
      </c>
      <c r="K140" s="12">
        <f>IFERROR(__xludf.DUMMYFUNCTION("""COMPUTED_VALUE"""),0.0)</f>
        <v>0</v>
      </c>
      <c r="L140" s="12">
        <f>IFERROR(__xludf.DUMMYFUNCTION("""COMPUTED_VALUE"""),3105.0)</f>
        <v>3105</v>
      </c>
      <c r="M140" s="12">
        <v>-82242.98999999999</v>
      </c>
    </row>
    <row r="141">
      <c r="C141" s="12"/>
      <c r="G141" s="17"/>
      <c r="I141" s="123">
        <f>IFERROR(__xludf.DUMMYFUNCTION("""COMPUTED_VALUE"""),46261.0)</f>
        <v>46261</v>
      </c>
      <c r="J141" s="21" t="str">
        <f>IFERROR(__xludf.DUMMYFUNCTION("""COMPUTED_VALUE"""),"Gasto: puffco 2 cargas juntas 16/17 193")</f>
        <v>Gasto: puffco 2 cargas juntas 16/17 193</v>
      </c>
      <c r="K141" s="12">
        <f>IFERROR(__xludf.DUMMYFUNCTION("""COMPUTED_VALUE"""),0.0)</f>
        <v>0</v>
      </c>
      <c r="L141" s="12">
        <f>IFERROR(__xludf.DUMMYFUNCTION("""COMPUTED_VALUE"""),7394.0)</f>
        <v>7394</v>
      </c>
      <c r="M141" s="12">
        <v>-89636.98999999999</v>
      </c>
    </row>
    <row r="142">
      <c r="C142" s="12"/>
      <c r="G142" s="17"/>
      <c r="I142" s="123">
        <f>IFERROR(__xludf.DUMMYFUNCTION("""COMPUTED_VALUE"""),46261.0)</f>
        <v>46261</v>
      </c>
      <c r="J142" s="21" t="str">
        <f>IFERROR(__xludf.DUMMYFUNCTION("""COMPUTED_VALUE"""),"Colo: ")</f>
        <v>Colo: </v>
      </c>
      <c r="K142" s="12">
        <f>IFERROR(__xludf.DUMMYFUNCTION("""COMPUTED_VALUE"""),746.98)</f>
        <v>746.98</v>
      </c>
      <c r="L142" s="12">
        <f>IFERROR(__xludf.DUMMYFUNCTION("""COMPUTED_VALUE"""),0.0)</f>
        <v>0</v>
      </c>
      <c r="M142" s="12">
        <v>-88890.01</v>
      </c>
    </row>
    <row r="143">
      <c r="C143" s="12"/>
      <c r="G143" s="17"/>
      <c r="I143" s="123">
        <f>IFERROR(__xludf.DUMMYFUNCTION("""COMPUTED_VALUE"""),46262.0)</f>
        <v>46262</v>
      </c>
      <c r="J143" s="21" t="str">
        <f>IFERROR(__xludf.DUMMYFUNCTION("""COMPUTED_VALUE"""),"Colo: Nachito")</f>
        <v>Colo: Nachito</v>
      </c>
      <c r="K143" s="12">
        <f>IFERROR(__xludf.DUMMYFUNCTION("""COMPUTED_VALUE"""),17000.0)</f>
        <v>17000</v>
      </c>
      <c r="L143" s="12">
        <f>IFERROR(__xludf.DUMMYFUNCTION("""COMPUTED_VALUE"""),0.0)</f>
        <v>0</v>
      </c>
      <c r="M143" s="12">
        <v>-71890.01</v>
      </c>
    </row>
    <row r="144">
      <c r="C144" s="12"/>
      <c r="G144" s="17"/>
      <c r="I144" s="123">
        <f>IFERROR(__xludf.DUMMYFUNCTION("""COMPUTED_VALUE"""),46262.0)</f>
        <v>46262</v>
      </c>
      <c r="J144" s="21" t="str">
        <f>IFERROR(__xludf.DUMMYFUNCTION("""COMPUTED_VALUE"""),"Colo: Nachito")</f>
        <v>Colo: Nachito</v>
      </c>
      <c r="K144" s="12">
        <f>IFERROR(__xludf.DUMMYFUNCTION("""COMPUTED_VALUE"""),2100.0)</f>
        <v>2100</v>
      </c>
      <c r="L144" s="12">
        <f>IFERROR(__xludf.DUMMYFUNCTION("""COMPUTED_VALUE"""),0.0)</f>
        <v>0</v>
      </c>
      <c r="M144" s="12">
        <v>-69790.01</v>
      </c>
    </row>
    <row r="145">
      <c r="C145" s="12"/>
      <c r="G145" s="17"/>
      <c r="I145" s="123">
        <f>IFERROR(__xludf.DUMMYFUNCTION("""COMPUTED_VALUE"""),46262.0)</f>
        <v>46262</v>
      </c>
      <c r="J145" s="21" t="str">
        <f>IFERROR(__xludf.DUMMYFUNCTION("""COMPUTED_VALUE"""),"Colo: Nachito")</f>
        <v>Colo: Nachito</v>
      </c>
      <c r="K145" s="12">
        <f>IFERROR(__xludf.DUMMYFUNCTION("""COMPUTED_VALUE"""),3800.0)</f>
        <v>3800</v>
      </c>
      <c r="L145" s="12">
        <f>IFERROR(__xludf.DUMMYFUNCTION("""COMPUTED_VALUE"""),0.0)</f>
        <v>0</v>
      </c>
      <c r="M145" s="12">
        <v>-65990.01</v>
      </c>
    </row>
    <row r="146">
      <c r="C146" s="12"/>
      <c r="G146" s="17"/>
      <c r="I146" s="123">
        <f>IFERROR(__xludf.DUMMYFUNCTION("""COMPUTED_VALUE"""),46262.0)</f>
        <v>46262</v>
      </c>
      <c r="J146" s="21" t="str">
        <f>IFERROR(__xludf.DUMMYFUNCTION("""COMPUTED_VALUE"""),"Colo: LOUIS")</f>
        <v>Colo: LOUIS</v>
      </c>
      <c r="K146" s="12">
        <f>IFERROR(__xludf.DUMMYFUNCTION("""COMPUTED_VALUE"""),0.0)</f>
        <v>0</v>
      </c>
      <c r="L146" s="12">
        <f>IFERROR(__xludf.DUMMYFUNCTION("""COMPUTED_VALUE"""),20700.0)</f>
        <v>20700</v>
      </c>
      <c r="M146" s="12">
        <v>-86690.01</v>
      </c>
    </row>
    <row r="147">
      <c r="C147" s="12"/>
      <c r="G147" s="17"/>
      <c r="I147" s="123">
        <f>IFERROR(__xludf.DUMMYFUNCTION("""COMPUTED_VALUE"""),46262.0)</f>
        <v>46262</v>
      </c>
      <c r="J147" s="21" t="str">
        <f>IFERROR(__xludf.DUMMYFUNCTION("""COMPUTED_VALUE"""),"Colo: IV THOUGHT")</f>
        <v>Colo: IV THOUGHT</v>
      </c>
      <c r="K147" s="12">
        <f>IFERROR(__xludf.DUMMYFUNCTION("""COMPUTED_VALUE"""),0.0)</f>
        <v>0</v>
      </c>
      <c r="L147" s="12">
        <f>IFERROR(__xludf.DUMMYFUNCTION("""COMPUTED_VALUE"""),6054.75)</f>
        <v>6054.75</v>
      </c>
      <c r="M147" s="12">
        <v>-92744.76</v>
      </c>
    </row>
    <row r="148">
      <c r="C148" s="12"/>
      <c r="G148" s="17"/>
      <c r="I148" s="123">
        <f>IFERROR(__xludf.DUMMYFUNCTION("""COMPUTED_VALUE"""),46264.0)</f>
        <v>46264</v>
      </c>
      <c r="J148" s="21" t="str">
        <f>IFERROR(__xludf.DUMMYFUNCTION("""COMPUTED_VALUE"""),"Colo: ")</f>
        <v>Colo: </v>
      </c>
      <c r="K148" s="12">
        <f>IFERROR(__xludf.DUMMYFUNCTION("""COMPUTED_VALUE"""),5538.51)</f>
        <v>5538.51</v>
      </c>
      <c r="L148" s="12">
        <f>IFERROR(__xludf.DUMMYFUNCTION("""COMPUTED_VALUE"""),0.0)</f>
        <v>0</v>
      </c>
      <c r="M148" s="12">
        <v>-87206.25</v>
      </c>
    </row>
    <row r="149">
      <c r="C149" s="12"/>
      <c r="G149" s="17"/>
      <c r="I149" s="123">
        <f>IFERROR(__xludf.DUMMYFUNCTION("""COMPUTED_VALUE"""),46265.0)</f>
        <v>46265</v>
      </c>
      <c r="J149" s="21" t="str">
        <f>IFERROR(__xludf.DUMMYFUNCTION("""COMPUTED_VALUE"""),"Colo: PUFFCO")</f>
        <v>Colo: PUFFCO</v>
      </c>
      <c r="K149" s="12">
        <f>IFERROR(__xludf.DUMMYFUNCTION("""COMPUTED_VALUE"""),0.0)</f>
        <v>0</v>
      </c>
      <c r="L149" s="12">
        <f>IFERROR(__xludf.DUMMYFUNCTION("""COMPUTED_VALUE"""),17595.0)</f>
        <v>17595</v>
      </c>
      <c r="M149" s="12">
        <v>-104801.25</v>
      </c>
    </row>
    <row r="150">
      <c r="C150" s="12"/>
      <c r="G150" s="17"/>
      <c r="I150" s="123">
        <f>IFERROR(__xludf.DUMMYFUNCTION("""COMPUTED_VALUE"""),46266.0)</f>
        <v>46266</v>
      </c>
      <c r="J150" s="21" t="str">
        <f>IFERROR(__xludf.DUMMYFUNCTION("""COMPUTED_VALUE"""),"Gasto: medusa 110 kg")</f>
        <v>Gasto: medusa 110 kg</v>
      </c>
      <c r="K150" s="12">
        <f>IFERROR(__xludf.DUMMYFUNCTION("""COMPUTED_VALUE"""),0.0)</f>
        <v>0</v>
      </c>
      <c r="L150" s="12">
        <f>IFERROR(__xludf.DUMMYFUNCTION("""COMPUTED_VALUE"""),4180.0)</f>
        <v>4180</v>
      </c>
      <c r="M150" s="12">
        <v>-108981.25</v>
      </c>
    </row>
    <row r="151">
      <c r="C151" s="12"/>
      <c r="G151" s="17"/>
      <c r="I151" s="123">
        <f>IFERROR(__xludf.DUMMYFUNCTION("""COMPUTED_VALUE"""),46266.0)</f>
        <v>46266</v>
      </c>
      <c r="J151" s="21" t="str">
        <f>IFERROR(__xludf.DUMMYFUNCTION("""COMPUTED_VALUE"""),"Colo: ")</f>
        <v>Colo: </v>
      </c>
      <c r="K151" s="12">
        <f>IFERROR(__xludf.DUMMYFUNCTION("""COMPUTED_VALUE"""),1315.4)</f>
        <v>1315.4</v>
      </c>
      <c r="L151" s="12">
        <f>IFERROR(__xludf.DUMMYFUNCTION("""COMPUTED_VALUE"""),0.0)</f>
        <v>0</v>
      </c>
      <c r="M151" s="12">
        <v>-107665.85</v>
      </c>
    </row>
    <row r="152">
      <c r="C152" s="12"/>
      <c r="G152" s="17"/>
      <c r="I152" s="123">
        <f>IFERROR(__xludf.DUMMYFUNCTION("""COMPUTED_VALUE"""),46267.0)</f>
        <v>46267</v>
      </c>
      <c r="J152" s="21" t="str">
        <f>IFERROR(__xludf.DUMMYFUNCTION("""COMPUTED_VALUE"""),"Gasto: estantes x 3")</f>
        <v>Gasto: estantes x 3</v>
      </c>
      <c r="K152" s="12">
        <f>IFERROR(__xludf.DUMMYFUNCTION("""COMPUTED_VALUE"""),0.0)</f>
        <v>0</v>
      </c>
      <c r="L152" s="12">
        <f>IFERROR(__xludf.DUMMYFUNCTION("""COMPUTED_VALUE"""),300.0)</f>
        <v>300</v>
      </c>
      <c r="M152" s="12">
        <v>-107965.85</v>
      </c>
    </row>
    <row r="153">
      <c r="C153" s="12"/>
      <c r="G153" s="17"/>
      <c r="I153" s="123">
        <f>IFERROR(__xludf.DUMMYFUNCTION("""COMPUTED_VALUE"""),46267.0)</f>
        <v>46267</v>
      </c>
      <c r="J153" s="21" t="str">
        <f>IFERROR(__xludf.DUMMYFUNCTION("""COMPUTED_VALUE"""),"Gasto: nachito al dia")</f>
        <v>Gasto: nachito al dia</v>
      </c>
      <c r="K153" s="12">
        <f>IFERROR(__xludf.DUMMYFUNCTION("""COMPUTED_VALUE"""),0.0)</f>
        <v>0</v>
      </c>
      <c r="L153" s="12">
        <f>IFERROR(__xludf.DUMMYFUNCTION("""COMPUTED_VALUE"""),500.0)</f>
        <v>500</v>
      </c>
      <c r="M153" s="12">
        <v>-108465.85</v>
      </c>
    </row>
    <row r="154">
      <c r="C154" s="12"/>
      <c r="G154" s="17"/>
      <c r="I154" s="123">
        <f>IFERROR(__xludf.DUMMYFUNCTION("""COMPUTED_VALUE"""),46268.0)</f>
        <v>46268</v>
      </c>
      <c r="J154" s="21" t="str">
        <f>IFERROR(__xludf.DUMMYFUNCTION("""COMPUTED_VALUE"""),"Gasto: alquiler sep y octubre 2026")</f>
        <v>Gasto: alquiler sep y octubre 2026</v>
      </c>
      <c r="K154" s="12">
        <f>IFERROR(__xludf.DUMMYFUNCTION("""COMPUTED_VALUE"""),0.0)</f>
        <v>0</v>
      </c>
      <c r="L154" s="12">
        <f>IFERROR(__xludf.DUMMYFUNCTION("""COMPUTED_VALUE"""),900.0)</f>
        <v>900</v>
      </c>
      <c r="M154" s="12">
        <v>-109365.85</v>
      </c>
    </row>
    <row r="155">
      <c r="C155" s="12"/>
      <c r="G155" s="17"/>
      <c r="I155" s="123">
        <f>IFERROR(__xludf.DUMMYFUNCTION("""COMPUTED_VALUE"""),46269.0)</f>
        <v>46269</v>
      </c>
      <c r="J155" s="21" t="str">
        <f>IFERROR(__xludf.DUMMYFUNCTION("""COMPUTED_VALUE"""),"Gasto: mueble de vidrio y repisas led")</f>
        <v>Gasto: mueble de vidrio y repisas led</v>
      </c>
      <c r="K155" s="12">
        <f>IFERROR(__xludf.DUMMYFUNCTION("""COMPUTED_VALUE"""),0.0)</f>
        <v>0</v>
      </c>
      <c r="L155" s="12">
        <f>IFERROR(__xludf.DUMMYFUNCTION("""COMPUTED_VALUE"""),800.0)</f>
        <v>800</v>
      </c>
      <c r="M155" s="12">
        <v>-110165.85</v>
      </c>
    </row>
    <row r="156">
      <c r="C156" s="12"/>
      <c r="G156" s="17"/>
      <c r="I156" s="123">
        <f>IFERROR(__xludf.DUMMYFUNCTION("""COMPUTED_VALUE"""),46269.0)</f>
        <v>46269</v>
      </c>
      <c r="J156" s="21" t="str">
        <f>IFERROR(__xludf.DUMMYFUNCTION("""COMPUTED_VALUE"""),"Colo: Nachito")</f>
        <v>Colo: Nachito</v>
      </c>
      <c r="K156" s="12">
        <f>IFERROR(__xludf.DUMMYFUNCTION("""COMPUTED_VALUE"""),5800.0)</f>
        <v>5800</v>
      </c>
      <c r="L156" s="12">
        <f>IFERROR(__xludf.DUMMYFUNCTION("""COMPUTED_VALUE"""),0.0)</f>
        <v>0</v>
      </c>
      <c r="M156" s="12">
        <v>-104365.85</v>
      </c>
    </row>
    <row r="157">
      <c r="C157" s="12"/>
      <c r="G157" s="17"/>
      <c r="I157" s="123">
        <f>IFERROR(__xludf.DUMMYFUNCTION("""COMPUTED_VALUE"""),46270.0)</f>
        <v>46270</v>
      </c>
      <c r="J157" s="21" t="str">
        <f>IFERROR(__xludf.DUMMYFUNCTION("""COMPUTED_VALUE"""),"Colo: Colin Atkins")</f>
        <v>Colo: Colin Atkins</v>
      </c>
      <c r="K157" s="12">
        <f>IFERROR(__xludf.DUMMYFUNCTION("""COMPUTED_VALUE"""),0.0)</f>
        <v>0</v>
      </c>
      <c r="L157" s="12">
        <f>IFERROR(__xludf.DUMMYFUNCTION("""COMPUTED_VALUE"""),2820.38)</f>
        <v>2820.38</v>
      </c>
      <c r="M157" s="12">
        <v>-107186.23000000001</v>
      </c>
    </row>
    <row r="158">
      <c r="C158" s="12"/>
      <c r="G158" s="17"/>
      <c r="I158" s="123">
        <f>IFERROR(__xludf.DUMMYFUNCTION("""COMPUTED_VALUE"""),46277.0)</f>
        <v>46277</v>
      </c>
      <c r="J158" s="21" t="str">
        <f>IFERROR(__xludf.DUMMYFUNCTION("""COMPUTED_VALUE"""),"Colo: ")</f>
        <v>Colo: </v>
      </c>
      <c r="K158" s="12">
        <f>IFERROR(__xludf.DUMMYFUNCTION("""COMPUTED_VALUE"""),4357.47)</f>
        <v>4357.47</v>
      </c>
      <c r="L158" s="12">
        <f>IFERROR(__xludf.DUMMYFUNCTION("""COMPUTED_VALUE"""),0.0)</f>
        <v>0</v>
      </c>
      <c r="M158" s="12">
        <v>-102828.76000000001</v>
      </c>
    </row>
    <row r="159">
      <c r="C159" s="12"/>
      <c r="G159" s="17"/>
      <c r="I159" s="123">
        <f>IFERROR(__xludf.DUMMYFUNCTION("""COMPUTED_VALUE"""),46280.0)</f>
        <v>46280</v>
      </c>
      <c r="J159" s="21" t="str">
        <f>IFERROR(__xludf.DUMMYFUNCTION("""COMPUTED_VALUE"""),"Gasto: coca ")</f>
        <v>Gasto: coca </v>
      </c>
      <c r="K159" s="12">
        <f>IFERROR(__xludf.DUMMYFUNCTION("""COMPUTED_VALUE"""),0.0)</f>
        <v>0</v>
      </c>
      <c r="L159" s="12">
        <f>IFERROR(__xludf.DUMMYFUNCTION("""COMPUTED_VALUE"""),235.0)</f>
        <v>235</v>
      </c>
      <c r="M159" s="12">
        <v>-103063.76000000001</v>
      </c>
    </row>
    <row r="160">
      <c r="C160" s="12"/>
      <c r="G160" s="17"/>
      <c r="I160" s="123">
        <f>IFERROR(__xludf.DUMMYFUNCTION("""COMPUTED_VALUE"""),46280.0)</f>
        <v>46280</v>
      </c>
      <c r="J160" s="21" t="str">
        <f>IFERROR(__xludf.DUMMYFUNCTION("""COMPUTED_VALUE"""),"Gasto: nachito")</f>
        <v>Gasto: nachito</v>
      </c>
      <c r="K160" s="12">
        <f>IFERROR(__xludf.DUMMYFUNCTION("""COMPUTED_VALUE"""),0.0)</f>
        <v>0</v>
      </c>
      <c r="L160" s="12">
        <f>IFERROR(__xludf.DUMMYFUNCTION("""COMPUTED_VALUE"""),250.0)</f>
        <v>250</v>
      </c>
      <c r="M160" s="12">
        <v>-103313.76000000001</v>
      </c>
    </row>
    <row r="161">
      <c r="C161" s="12"/>
      <c r="G161" s="17"/>
      <c r="I161" s="123">
        <f>IFERROR(__xludf.DUMMYFUNCTION("""COMPUTED_VALUE"""),46281.0)</f>
        <v>46281</v>
      </c>
      <c r="J161" s="21" t="str">
        <f>IFERROR(__xludf.DUMMYFUNCTION("""COMPUTED_VALUE"""),"Gasto: expensas ")</f>
        <v>Gasto: expensas </v>
      </c>
      <c r="K161" s="12">
        <f>IFERROR(__xludf.DUMMYFUNCTION("""COMPUTED_VALUE"""),0.0)</f>
        <v>0</v>
      </c>
      <c r="L161" s="12">
        <f>IFERROR(__xludf.DUMMYFUNCTION("""COMPUTED_VALUE"""),80.0)</f>
        <v>80</v>
      </c>
      <c r="M161" s="12">
        <v>-103393.76000000001</v>
      </c>
    </row>
    <row r="162">
      <c r="C162" s="12"/>
      <c r="G162" s="17"/>
      <c r="I162" s="123">
        <f>IFERROR(__xludf.DUMMYFUNCTION("""COMPUTED_VALUE"""),46283.0)</f>
        <v>46283</v>
      </c>
      <c r="J162" s="21" t="str">
        <f>IFERROR(__xludf.DUMMYFUNCTION("""COMPUTED_VALUE"""),"Colo: Medusa")</f>
        <v>Colo: Medusa</v>
      </c>
      <c r="K162" s="12">
        <f>IFERROR(__xludf.DUMMYFUNCTION("""COMPUTED_VALUE"""),0.0)</f>
        <v>0</v>
      </c>
      <c r="L162" s="12">
        <f>IFERROR(__xludf.DUMMYFUNCTION("""COMPUTED_VALUE"""),6640.56)</f>
        <v>6640.56</v>
      </c>
      <c r="M162" s="12">
        <v>-110034.32</v>
      </c>
    </row>
    <row r="163">
      <c r="C163" s="12"/>
      <c r="G163" s="17"/>
      <c r="I163" s="123">
        <f>IFERROR(__xludf.DUMMYFUNCTION("""COMPUTED_VALUE"""),46284.0)</f>
        <v>46284</v>
      </c>
      <c r="J163" s="21" t="str">
        <f>IFERROR(__xludf.DUMMYFUNCTION("""COMPUTED_VALUE"""),"Colo: ")</f>
        <v>Colo: </v>
      </c>
      <c r="K163" s="12">
        <f>IFERROR(__xludf.DUMMYFUNCTION("""COMPUTED_VALUE"""),2622.37)</f>
        <v>2622.37</v>
      </c>
      <c r="L163" s="12">
        <f>IFERROR(__xludf.DUMMYFUNCTION("""COMPUTED_VALUE"""),0.0)</f>
        <v>0</v>
      </c>
      <c r="M163" s="12">
        <v>-107411.95000000001</v>
      </c>
    </row>
    <row r="164">
      <c r="C164" s="12"/>
      <c r="G164" s="17"/>
      <c r="I164" s="123">
        <f>IFERROR(__xludf.DUMMYFUNCTION("""COMPUTED_VALUE"""),46288.0)</f>
        <v>46288</v>
      </c>
      <c r="J164" s="21" t="str">
        <f>IFERROR(__xludf.DUMMYFUNCTION("""COMPUTED_VALUE"""),"Colo: ")</f>
        <v>Colo: </v>
      </c>
      <c r="K164" s="12">
        <f>IFERROR(__xludf.DUMMYFUNCTION("""COMPUTED_VALUE"""),1153.77)</f>
        <v>1153.77</v>
      </c>
      <c r="L164" s="12">
        <f>IFERROR(__xludf.DUMMYFUNCTION("""COMPUTED_VALUE"""),0.0)</f>
        <v>0</v>
      </c>
      <c r="M164" s="12">
        <v>-106258.18000000001</v>
      </c>
    </row>
    <row r="165">
      <c r="C165" s="12"/>
      <c r="G165" s="17"/>
      <c r="I165" s="123">
        <f>IFERROR(__xludf.DUMMYFUNCTION("""COMPUTED_VALUE"""),46295.0)</f>
        <v>46295</v>
      </c>
      <c r="J165" s="21" t="str">
        <f>IFERROR(__xludf.DUMMYFUNCTION("""COMPUTED_VALUE"""),"Gasto: dab rite 21kg medidor de temperatura termometro infrarojo")</f>
        <v>Gasto: dab rite 21kg medidor de temperatura termometro infrarojo</v>
      </c>
      <c r="K165" s="12">
        <f>IFERROR(__xludf.DUMMYFUNCTION("""COMPUTED_VALUE"""),0.0)</f>
        <v>0</v>
      </c>
      <c r="L165" s="12">
        <f>IFERROR(__xludf.DUMMYFUNCTION("""COMPUTED_VALUE"""),803.0)</f>
        <v>803</v>
      </c>
      <c r="M165" s="12">
        <v>-107061.18000000001</v>
      </c>
    </row>
    <row r="166">
      <c r="C166" s="12"/>
      <c r="G166" s="17"/>
      <c r="I166" s="123"/>
      <c r="K166" s="12"/>
      <c r="L166" s="12"/>
      <c r="M166" s="12" t="s">
        <v>733</v>
      </c>
    </row>
    <row r="167">
      <c r="C167" s="12"/>
      <c r="G167" s="17"/>
      <c r="I167" s="123"/>
      <c r="K167" s="12"/>
      <c r="L167" s="12"/>
      <c r="M167" s="12" t="s">
        <v>733</v>
      </c>
    </row>
    <row r="168">
      <c r="C168" s="12"/>
      <c r="G168" s="17"/>
      <c r="I168" s="123"/>
      <c r="K168" s="12"/>
      <c r="L168" s="12"/>
      <c r="M168" s="12" t="s">
        <v>733</v>
      </c>
    </row>
    <row r="169">
      <c r="C169" s="12"/>
      <c r="G169" s="17"/>
      <c r="I169" s="123"/>
      <c r="K169" s="12"/>
      <c r="L169" s="12"/>
      <c r="M169" s="12" t="s">
        <v>733</v>
      </c>
    </row>
    <row r="170">
      <c r="C170" s="12"/>
      <c r="G170" s="17"/>
      <c r="I170" s="123"/>
      <c r="K170" s="12"/>
      <c r="L170" s="12"/>
      <c r="M170" s="12" t="s">
        <v>733</v>
      </c>
    </row>
    <row r="171">
      <c r="C171" s="12"/>
      <c r="G171" s="17"/>
      <c r="I171" s="123"/>
      <c r="K171" s="12"/>
      <c r="L171" s="12"/>
      <c r="M171" s="12" t="s">
        <v>733</v>
      </c>
    </row>
    <row r="172">
      <c r="C172" s="12"/>
      <c r="G172" s="17"/>
      <c r="I172" s="123"/>
      <c r="K172" s="12"/>
      <c r="L172" s="12"/>
      <c r="M172" s="12" t="s">
        <v>733</v>
      </c>
    </row>
    <row r="173">
      <c r="C173" s="12"/>
      <c r="G173" s="17"/>
      <c r="I173" s="123"/>
      <c r="K173" s="12"/>
      <c r="L173" s="12"/>
      <c r="M173" s="12" t="s">
        <v>733</v>
      </c>
    </row>
    <row r="174">
      <c r="C174" s="12"/>
      <c r="G174" s="17"/>
      <c r="I174" s="123"/>
      <c r="K174" s="12"/>
      <c r="L174" s="12"/>
      <c r="M174" s="12" t="s">
        <v>733</v>
      </c>
    </row>
    <row r="175">
      <c r="C175" s="12"/>
      <c r="G175" s="17"/>
      <c r="I175" s="123"/>
      <c r="K175" s="12"/>
      <c r="L175" s="12"/>
      <c r="M175" s="12" t="s">
        <v>733</v>
      </c>
    </row>
    <row r="176">
      <c r="C176" s="12"/>
      <c r="G176" s="17"/>
      <c r="I176" s="123"/>
      <c r="K176" s="12"/>
      <c r="L176" s="12"/>
      <c r="M176" s="12" t="s">
        <v>733</v>
      </c>
    </row>
    <row r="177">
      <c r="C177" s="12"/>
      <c r="G177" s="17"/>
      <c r="I177" s="123"/>
      <c r="K177" s="12"/>
      <c r="L177" s="12"/>
      <c r="M177" s="12" t="s">
        <v>733</v>
      </c>
    </row>
    <row r="178">
      <c r="C178" s="12"/>
      <c r="G178" s="17"/>
      <c r="I178" s="123"/>
      <c r="K178" s="12"/>
      <c r="L178" s="12"/>
      <c r="M178" s="12" t="s">
        <v>733</v>
      </c>
    </row>
    <row r="179">
      <c r="C179" s="12"/>
      <c r="G179" s="17"/>
      <c r="I179" s="123"/>
      <c r="K179" s="12"/>
      <c r="L179" s="12"/>
      <c r="M179" s="12" t="s">
        <v>733</v>
      </c>
    </row>
    <row r="180">
      <c r="C180" s="12"/>
      <c r="G180" s="17"/>
      <c r="I180" s="123"/>
      <c r="K180" s="12"/>
      <c r="L180" s="12"/>
      <c r="M180" s="12" t="s">
        <v>733</v>
      </c>
    </row>
    <row r="181">
      <c r="C181" s="12"/>
      <c r="G181" s="17"/>
      <c r="I181" s="123"/>
      <c r="K181" s="12"/>
      <c r="L181" s="12"/>
      <c r="M181" s="12" t="s">
        <v>733</v>
      </c>
    </row>
    <row r="182">
      <c r="C182" s="12"/>
      <c r="G182" s="17"/>
      <c r="I182" s="123"/>
      <c r="K182" s="12"/>
      <c r="L182" s="12"/>
      <c r="M182" s="12" t="s">
        <v>733</v>
      </c>
    </row>
    <row r="183">
      <c r="C183" s="12"/>
      <c r="G183" s="17"/>
      <c r="I183" s="123"/>
      <c r="K183" s="12"/>
      <c r="L183" s="12"/>
      <c r="M183" s="12" t="s">
        <v>733</v>
      </c>
    </row>
    <row r="184">
      <c r="C184" s="12"/>
      <c r="G184" s="17"/>
      <c r="I184" s="123"/>
      <c r="K184" s="12"/>
      <c r="L184" s="12"/>
      <c r="M184" s="12" t="s">
        <v>733</v>
      </c>
    </row>
    <row r="185">
      <c r="C185" s="12"/>
      <c r="G185" s="17"/>
      <c r="I185" s="123"/>
      <c r="K185" s="12"/>
      <c r="L185" s="12"/>
      <c r="M185" s="12" t="s">
        <v>733</v>
      </c>
    </row>
    <row r="186">
      <c r="C186" s="12"/>
      <c r="G186" s="17"/>
      <c r="I186" s="123"/>
      <c r="K186" s="12"/>
      <c r="L186" s="12"/>
      <c r="M186" s="12" t="s">
        <v>733</v>
      </c>
    </row>
    <row r="187">
      <c r="C187" s="12"/>
      <c r="G187" s="17"/>
      <c r="I187" s="123"/>
      <c r="K187" s="12"/>
      <c r="L187" s="12"/>
      <c r="M187" s="12" t="s">
        <v>733</v>
      </c>
    </row>
    <row r="188">
      <c r="C188" s="12"/>
      <c r="G188" s="17"/>
      <c r="I188" s="123"/>
      <c r="K188" s="12"/>
      <c r="L188" s="12"/>
      <c r="M188" s="12" t="s">
        <v>733</v>
      </c>
    </row>
    <row r="189">
      <c r="C189" s="12"/>
      <c r="G189" s="17"/>
      <c r="I189" s="123"/>
      <c r="K189" s="12"/>
      <c r="L189" s="12"/>
      <c r="M189" s="12" t="s">
        <v>733</v>
      </c>
    </row>
    <row r="190">
      <c r="C190" s="12"/>
      <c r="G190" s="17"/>
      <c r="I190" s="123"/>
      <c r="K190" s="12"/>
      <c r="L190" s="12"/>
      <c r="M190" s="12" t="s">
        <v>733</v>
      </c>
    </row>
    <row r="191">
      <c r="C191" s="12"/>
      <c r="G191" s="17"/>
      <c r="I191" s="123"/>
      <c r="K191" s="12"/>
      <c r="L191" s="12"/>
      <c r="M191" s="12" t="s">
        <v>733</v>
      </c>
    </row>
    <row r="192">
      <c r="C192" s="12"/>
      <c r="G192" s="17"/>
      <c r="I192" s="123"/>
      <c r="K192" s="12"/>
      <c r="L192" s="12"/>
      <c r="M192" s="12" t="s">
        <v>733</v>
      </c>
    </row>
    <row r="193">
      <c r="C193" s="12"/>
      <c r="G193" s="17"/>
      <c r="I193" s="123"/>
      <c r="K193" s="12"/>
      <c r="L193" s="12"/>
      <c r="M193" s="12" t="s">
        <v>733</v>
      </c>
    </row>
    <row r="194">
      <c r="C194" s="12"/>
      <c r="G194" s="17"/>
      <c r="I194" s="123"/>
      <c r="K194" s="12"/>
      <c r="L194" s="12"/>
      <c r="M194" s="12" t="s">
        <v>733</v>
      </c>
    </row>
    <row r="195">
      <c r="C195" s="12"/>
      <c r="G195" s="17"/>
      <c r="I195" s="123"/>
      <c r="K195" s="12"/>
      <c r="L195" s="12"/>
      <c r="M195" s="12" t="s">
        <v>733</v>
      </c>
    </row>
    <row r="196">
      <c r="C196" s="12"/>
      <c r="G196" s="17"/>
      <c r="I196" s="123"/>
      <c r="K196" s="12"/>
      <c r="L196" s="12"/>
      <c r="M196" s="12" t="s">
        <v>733</v>
      </c>
    </row>
    <row r="197">
      <c r="C197" s="12"/>
      <c r="G197" s="17"/>
      <c r="I197" s="123"/>
      <c r="K197" s="12"/>
      <c r="L197" s="12"/>
      <c r="M197" s="12" t="s">
        <v>733</v>
      </c>
    </row>
    <row r="198">
      <c r="C198" s="12"/>
      <c r="G198" s="17"/>
      <c r="I198" s="123"/>
      <c r="K198" s="12"/>
      <c r="L198" s="12"/>
      <c r="M198" s="12" t="s">
        <v>733</v>
      </c>
    </row>
    <row r="199">
      <c r="C199" s="12"/>
      <c r="G199" s="17"/>
      <c r="I199" s="123"/>
      <c r="K199" s="12"/>
      <c r="L199" s="12"/>
      <c r="M199" s="12" t="s">
        <v>733</v>
      </c>
    </row>
    <row r="200">
      <c r="C200" s="12"/>
      <c r="G200" s="17"/>
      <c r="I200" s="123"/>
      <c r="K200" s="12"/>
      <c r="L200" s="12"/>
      <c r="M200" s="12" t="s">
        <v>733</v>
      </c>
    </row>
    <row r="201">
      <c r="C201" s="12"/>
      <c r="G201" s="17"/>
      <c r="I201" s="123"/>
      <c r="K201" s="12"/>
      <c r="L201" s="12"/>
      <c r="M201" s="12" t="s">
        <v>733</v>
      </c>
    </row>
    <row r="202">
      <c r="C202" s="12"/>
      <c r="G202" s="17"/>
      <c r="I202" s="123"/>
      <c r="K202" s="12"/>
      <c r="L202" s="12"/>
      <c r="M202" s="12" t="s">
        <v>733</v>
      </c>
    </row>
    <row r="203">
      <c r="C203" s="12"/>
      <c r="G203" s="17"/>
      <c r="I203" s="123"/>
      <c r="K203" s="12"/>
      <c r="L203" s="12"/>
      <c r="M203" s="12" t="s">
        <v>733</v>
      </c>
    </row>
    <row r="204">
      <c r="C204" s="12"/>
      <c r="G204" s="17"/>
      <c r="I204" s="123"/>
      <c r="K204" s="12"/>
      <c r="L204" s="12"/>
      <c r="M204" s="12" t="s">
        <v>733</v>
      </c>
    </row>
    <row r="205">
      <c r="C205" s="12"/>
      <c r="G205" s="17"/>
      <c r="I205" s="123"/>
      <c r="K205" s="12"/>
      <c r="L205" s="12"/>
      <c r="M205" s="12" t="s">
        <v>733</v>
      </c>
    </row>
    <row r="206">
      <c r="C206" s="12"/>
      <c r="G206" s="17"/>
      <c r="I206" s="123"/>
      <c r="K206" s="12"/>
      <c r="L206" s="12"/>
      <c r="M206" s="12" t="s">
        <v>733</v>
      </c>
    </row>
    <row r="207">
      <c r="C207" s="12"/>
      <c r="G207" s="17"/>
      <c r="I207" s="123"/>
      <c r="K207" s="12"/>
      <c r="L207" s="12"/>
      <c r="M207" s="12" t="s">
        <v>733</v>
      </c>
    </row>
    <row r="208">
      <c r="C208" s="12"/>
      <c r="G208" s="17"/>
      <c r="I208" s="123"/>
      <c r="K208" s="12"/>
      <c r="L208" s="12"/>
      <c r="M208" s="12" t="s">
        <v>733</v>
      </c>
    </row>
    <row r="209">
      <c r="C209" s="12"/>
      <c r="G209" s="17"/>
      <c r="I209" s="123"/>
      <c r="K209" s="12"/>
      <c r="L209" s="12"/>
      <c r="M209" s="12" t="s">
        <v>733</v>
      </c>
    </row>
    <row r="210">
      <c r="C210" s="12"/>
      <c r="G210" s="17"/>
      <c r="I210" s="123"/>
      <c r="K210" s="12"/>
      <c r="L210" s="12"/>
      <c r="M210" s="12" t="s">
        <v>733</v>
      </c>
    </row>
    <row r="211">
      <c r="C211" s="12"/>
      <c r="G211" s="17"/>
      <c r="I211" s="123"/>
      <c r="K211" s="12"/>
      <c r="L211" s="12"/>
      <c r="M211" s="12" t="s">
        <v>733</v>
      </c>
    </row>
    <row r="212">
      <c r="C212" s="12"/>
      <c r="G212" s="17"/>
      <c r="I212" s="123"/>
      <c r="K212" s="12"/>
      <c r="L212" s="12"/>
      <c r="M212" s="12" t="s">
        <v>733</v>
      </c>
    </row>
    <row r="213">
      <c r="C213" s="12"/>
      <c r="G213" s="17"/>
      <c r="I213" s="123"/>
      <c r="K213" s="12"/>
      <c r="L213" s="12"/>
      <c r="M213" s="12" t="s">
        <v>733</v>
      </c>
    </row>
    <row r="214">
      <c r="C214" s="12"/>
      <c r="G214" s="17"/>
      <c r="I214" s="123"/>
      <c r="K214" s="12"/>
      <c r="L214" s="12"/>
      <c r="M214" s="12" t="s">
        <v>733</v>
      </c>
    </row>
    <row r="215">
      <c r="C215" s="12"/>
      <c r="G215" s="17"/>
      <c r="I215" s="123"/>
      <c r="K215" s="12"/>
      <c r="L215" s="12"/>
      <c r="M215" s="12" t="s">
        <v>733</v>
      </c>
    </row>
    <row r="216">
      <c r="C216" s="12"/>
      <c r="G216" s="17"/>
      <c r="I216" s="123"/>
      <c r="K216" s="12"/>
      <c r="L216" s="12"/>
      <c r="M216" s="12" t="s">
        <v>733</v>
      </c>
    </row>
    <row r="217">
      <c r="C217" s="12"/>
      <c r="G217" s="17"/>
      <c r="I217" s="123"/>
      <c r="K217" s="12"/>
      <c r="L217" s="12"/>
      <c r="M217" s="12" t="s">
        <v>733</v>
      </c>
    </row>
    <row r="218">
      <c r="C218" s="12"/>
      <c r="G218" s="17"/>
      <c r="I218" s="123"/>
      <c r="K218" s="12"/>
      <c r="L218" s="12"/>
      <c r="M218" s="12" t="s">
        <v>733</v>
      </c>
    </row>
    <row r="219">
      <c r="C219" s="12"/>
      <c r="G219" s="17"/>
      <c r="I219" s="123"/>
      <c r="K219" s="12"/>
      <c r="L219" s="12"/>
      <c r="M219" s="12" t="s">
        <v>733</v>
      </c>
    </row>
    <row r="220">
      <c r="C220" s="12"/>
      <c r="G220" s="17"/>
      <c r="I220" s="123"/>
      <c r="K220" s="12"/>
      <c r="L220" s="12"/>
      <c r="M220" s="12" t="s">
        <v>733</v>
      </c>
    </row>
    <row r="221">
      <c r="C221" s="12"/>
      <c r="G221" s="17"/>
      <c r="I221" s="123"/>
      <c r="K221" s="12"/>
      <c r="L221" s="12"/>
      <c r="M221" s="12" t="s">
        <v>733</v>
      </c>
    </row>
    <row r="222">
      <c r="C222" s="12"/>
      <c r="G222" s="17"/>
      <c r="I222" s="123"/>
      <c r="K222" s="12"/>
      <c r="L222" s="12"/>
      <c r="M222" s="12" t="s">
        <v>733</v>
      </c>
    </row>
    <row r="223">
      <c r="C223" s="12"/>
      <c r="G223" s="17"/>
      <c r="I223" s="123"/>
      <c r="K223" s="12"/>
      <c r="L223" s="12"/>
      <c r="M223" s="12" t="s">
        <v>733</v>
      </c>
    </row>
    <row r="224">
      <c r="C224" s="12"/>
      <c r="G224" s="17"/>
      <c r="I224" s="123"/>
      <c r="K224" s="12"/>
      <c r="L224" s="12"/>
      <c r="M224" s="12" t="s">
        <v>733</v>
      </c>
    </row>
    <row r="225">
      <c r="C225" s="12"/>
      <c r="G225" s="17"/>
      <c r="I225" s="123"/>
      <c r="K225" s="12"/>
      <c r="L225" s="12"/>
      <c r="M225" s="12" t="s">
        <v>733</v>
      </c>
    </row>
    <row r="226">
      <c r="C226" s="12"/>
      <c r="G226" s="17"/>
      <c r="I226" s="123"/>
      <c r="K226" s="12"/>
      <c r="L226" s="12"/>
      <c r="M226" s="12" t="s">
        <v>733</v>
      </c>
    </row>
    <row r="227">
      <c r="C227" s="12"/>
      <c r="G227" s="17"/>
      <c r="I227" s="123"/>
      <c r="K227" s="12"/>
      <c r="L227" s="12"/>
      <c r="M227" s="12" t="s">
        <v>733</v>
      </c>
    </row>
    <row r="228">
      <c r="C228" s="12"/>
      <c r="G228" s="17"/>
      <c r="I228" s="123"/>
      <c r="K228" s="12"/>
      <c r="L228" s="12"/>
      <c r="M228" s="12" t="s">
        <v>733</v>
      </c>
    </row>
    <row r="229">
      <c r="C229" s="12"/>
      <c r="G229" s="17"/>
      <c r="I229" s="123"/>
      <c r="K229" s="12"/>
      <c r="L229" s="12"/>
      <c r="M229" s="12" t="s">
        <v>733</v>
      </c>
    </row>
    <row r="230">
      <c r="C230" s="12"/>
      <c r="G230" s="17"/>
      <c r="I230" s="123"/>
      <c r="K230" s="12"/>
      <c r="L230" s="12"/>
      <c r="M230" s="12" t="s">
        <v>733</v>
      </c>
    </row>
    <row r="231">
      <c r="C231" s="12"/>
      <c r="G231" s="17"/>
      <c r="I231" s="123"/>
      <c r="K231" s="12"/>
      <c r="L231" s="12"/>
      <c r="M231" s="12" t="s">
        <v>733</v>
      </c>
    </row>
    <row r="232">
      <c r="C232" s="12"/>
      <c r="G232" s="17"/>
      <c r="I232" s="123"/>
      <c r="K232" s="12"/>
      <c r="L232" s="12"/>
      <c r="M232" s="12" t="s">
        <v>733</v>
      </c>
    </row>
    <row r="233">
      <c r="C233" s="12"/>
      <c r="G233" s="17"/>
      <c r="I233" s="123"/>
      <c r="K233" s="12"/>
      <c r="L233" s="12"/>
      <c r="M233" s="12" t="s">
        <v>733</v>
      </c>
    </row>
    <row r="234">
      <c r="C234" s="12"/>
      <c r="G234" s="17"/>
      <c r="I234" s="123"/>
      <c r="K234" s="12"/>
      <c r="L234" s="12"/>
      <c r="M234" s="12" t="s">
        <v>733</v>
      </c>
    </row>
    <row r="235">
      <c r="C235" s="12"/>
      <c r="G235" s="17"/>
      <c r="I235" s="123"/>
      <c r="K235" s="12"/>
      <c r="L235" s="12"/>
      <c r="M235" s="12" t="s">
        <v>733</v>
      </c>
    </row>
    <row r="236">
      <c r="C236" s="12"/>
      <c r="G236" s="17"/>
      <c r="I236" s="123"/>
      <c r="K236" s="12"/>
      <c r="L236" s="12"/>
      <c r="M236" s="12" t="s">
        <v>733</v>
      </c>
    </row>
    <row r="237">
      <c r="C237" s="12"/>
      <c r="G237" s="17"/>
      <c r="I237" s="123"/>
      <c r="K237" s="12"/>
      <c r="L237" s="12"/>
      <c r="M237" s="12" t="s">
        <v>733</v>
      </c>
    </row>
    <row r="238">
      <c r="C238" s="12"/>
      <c r="G238" s="17"/>
      <c r="I238" s="123"/>
      <c r="K238" s="12"/>
      <c r="L238" s="12"/>
      <c r="M238" s="12" t="s">
        <v>733</v>
      </c>
    </row>
    <row r="239">
      <c r="C239" s="12"/>
      <c r="G239" s="17"/>
      <c r="I239" s="123"/>
      <c r="K239" s="12"/>
      <c r="L239" s="12"/>
      <c r="M239" s="12" t="s">
        <v>733</v>
      </c>
    </row>
    <row r="240">
      <c r="C240" s="12"/>
      <c r="G240" s="17"/>
      <c r="I240" s="123"/>
      <c r="K240" s="12"/>
      <c r="L240" s="12"/>
      <c r="M240" s="12" t="s">
        <v>733</v>
      </c>
    </row>
    <row r="241">
      <c r="C241" s="12"/>
      <c r="G241" s="17"/>
      <c r="I241" s="123"/>
      <c r="K241" s="12"/>
      <c r="L241" s="12"/>
      <c r="M241" s="12" t="s">
        <v>733</v>
      </c>
    </row>
    <row r="242">
      <c r="C242" s="12"/>
      <c r="G242" s="17"/>
      <c r="I242" s="123"/>
      <c r="K242" s="12"/>
      <c r="L242" s="12"/>
      <c r="M242" s="12" t="s">
        <v>733</v>
      </c>
    </row>
    <row r="243">
      <c r="C243" s="12"/>
      <c r="G243" s="17"/>
      <c r="I243" s="123"/>
      <c r="K243" s="12"/>
      <c r="L243" s="12"/>
      <c r="M243" s="12" t="s">
        <v>733</v>
      </c>
    </row>
    <row r="244">
      <c r="C244" s="12"/>
      <c r="G244" s="17"/>
      <c r="I244" s="123"/>
      <c r="K244" s="12"/>
      <c r="L244" s="12"/>
      <c r="M244" s="12" t="s">
        <v>733</v>
      </c>
    </row>
    <row r="245">
      <c r="C245" s="12"/>
      <c r="G245" s="17"/>
      <c r="I245" s="123"/>
      <c r="K245" s="12"/>
      <c r="L245" s="12"/>
      <c r="M245" s="12" t="s">
        <v>733</v>
      </c>
    </row>
    <row r="246">
      <c r="C246" s="12"/>
      <c r="G246" s="17"/>
      <c r="I246" s="123"/>
      <c r="K246" s="12"/>
      <c r="L246" s="12"/>
      <c r="M246" s="12" t="s">
        <v>733</v>
      </c>
    </row>
    <row r="247">
      <c r="C247" s="12"/>
      <c r="G247" s="17"/>
      <c r="I247" s="123"/>
      <c r="K247" s="12"/>
      <c r="L247" s="12"/>
      <c r="M247" s="12" t="s">
        <v>733</v>
      </c>
    </row>
    <row r="248">
      <c r="C248" s="12"/>
      <c r="G248" s="17"/>
      <c r="I248" s="123"/>
      <c r="K248" s="12"/>
      <c r="L248" s="12"/>
      <c r="M248" s="12" t="s">
        <v>733</v>
      </c>
    </row>
    <row r="249">
      <c r="C249" s="12"/>
      <c r="G249" s="17"/>
      <c r="I249" s="123"/>
      <c r="K249" s="12"/>
      <c r="L249" s="12"/>
      <c r="M249" s="12" t="s">
        <v>733</v>
      </c>
    </row>
    <row r="250">
      <c r="C250" s="12"/>
      <c r="G250" s="17"/>
      <c r="I250" s="123"/>
      <c r="K250" s="12"/>
      <c r="L250" s="12"/>
      <c r="M250" s="12" t="s">
        <v>733</v>
      </c>
    </row>
    <row r="251">
      <c r="C251" s="12"/>
      <c r="G251" s="17"/>
      <c r="I251" s="123"/>
      <c r="K251" s="12"/>
      <c r="L251" s="12"/>
      <c r="M251" s="12" t="s">
        <v>733</v>
      </c>
    </row>
    <row r="252">
      <c r="C252" s="12"/>
      <c r="G252" s="17"/>
      <c r="I252" s="123"/>
      <c r="K252" s="12"/>
      <c r="L252" s="12"/>
      <c r="M252" s="12" t="s">
        <v>733</v>
      </c>
    </row>
    <row r="253">
      <c r="C253" s="12"/>
      <c r="G253" s="17"/>
      <c r="I253" s="123"/>
      <c r="K253" s="12"/>
      <c r="L253" s="12"/>
      <c r="M253" s="12" t="s">
        <v>733</v>
      </c>
    </row>
    <row r="254">
      <c r="C254" s="12"/>
      <c r="G254" s="17"/>
      <c r="I254" s="123"/>
      <c r="K254" s="12"/>
      <c r="L254" s="12"/>
      <c r="M254" s="12" t="s">
        <v>733</v>
      </c>
    </row>
    <row r="255">
      <c r="C255" s="12"/>
      <c r="G255" s="17"/>
      <c r="I255" s="123"/>
      <c r="K255" s="12"/>
      <c r="L255" s="12"/>
      <c r="M255" s="12" t="s">
        <v>733</v>
      </c>
    </row>
    <row r="256">
      <c r="C256" s="12"/>
      <c r="G256" s="17"/>
      <c r="I256" s="123"/>
      <c r="K256" s="12"/>
      <c r="L256" s="12"/>
      <c r="M256" s="12" t="s">
        <v>733</v>
      </c>
    </row>
    <row r="257">
      <c r="C257" s="12"/>
      <c r="G257" s="17"/>
      <c r="I257" s="123"/>
      <c r="K257" s="12"/>
      <c r="L257" s="12"/>
      <c r="M257" s="12" t="s">
        <v>733</v>
      </c>
    </row>
    <row r="258">
      <c r="C258" s="12"/>
      <c r="G258" s="17"/>
      <c r="I258" s="123"/>
      <c r="K258" s="12"/>
      <c r="L258" s="12"/>
      <c r="M258" s="12" t="s">
        <v>733</v>
      </c>
    </row>
    <row r="259">
      <c r="C259" s="12"/>
      <c r="G259" s="17"/>
      <c r="I259" s="123"/>
      <c r="K259" s="12"/>
      <c r="L259" s="12"/>
      <c r="M259" s="12" t="s">
        <v>733</v>
      </c>
    </row>
    <row r="260">
      <c r="C260" s="12"/>
      <c r="G260" s="17"/>
      <c r="I260" s="123"/>
      <c r="K260" s="12"/>
      <c r="L260" s="12"/>
      <c r="M260" s="12" t="s">
        <v>733</v>
      </c>
    </row>
    <row r="261">
      <c r="C261" s="12"/>
      <c r="G261" s="17"/>
      <c r="I261" s="123"/>
      <c r="K261" s="12"/>
      <c r="L261" s="12"/>
      <c r="M261" s="12" t="s">
        <v>733</v>
      </c>
    </row>
    <row r="262">
      <c r="C262" s="12"/>
      <c r="G262" s="17"/>
      <c r="I262" s="123"/>
      <c r="K262" s="12"/>
      <c r="L262" s="12"/>
      <c r="M262" s="12" t="s">
        <v>733</v>
      </c>
    </row>
    <row r="263">
      <c r="C263" s="12"/>
      <c r="G263" s="17"/>
      <c r="I263" s="123"/>
      <c r="K263" s="12"/>
      <c r="L263" s="12"/>
      <c r="M263" s="12" t="s">
        <v>733</v>
      </c>
    </row>
    <row r="264">
      <c r="C264" s="12"/>
      <c r="G264" s="17"/>
      <c r="I264" s="123"/>
      <c r="K264" s="12"/>
      <c r="L264" s="12"/>
      <c r="M264" s="12" t="s">
        <v>733</v>
      </c>
    </row>
    <row r="265">
      <c r="C265" s="12"/>
      <c r="G265" s="17"/>
      <c r="I265" s="123"/>
      <c r="K265" s="12"/>
      <c r="L265" s="12"/>
      <c r="M265" s="12" t="s">
        <v>733</v>
      </c>
    </row>
    <row r="266">
      <c r="C266" s="12"/>
      <c r="G266" s="17"/>
      <c r="I266" s="123"/>
      <c r="K266" s="12"/>
      <c r="L266" s="12"/>
      <c r="M266" s="12" t="s">
        <v>733</v>
      </c>
    </row>
    <row r="267">
      <c r="C267" s="12"/>
      <c r="G267" s="17"/>
      <c r="I267" s="123"/>
      <c r="K267" s="12"/>
      <c r="L267" s="12"/>
      <c r="M267" s="12" t="s">
        <v>733</v>
      </c>
    </row>
    <row r="268">
      <c r="C268" s="12"/>
      <c r="G268" s="17"/>
      <c r="I268" s="123"/>
      <c r="K268" s="12"/>
      <c r="L268" s="12"/>
      <c r="M268" s="12" t="s">
        <v>733</v>
      </c>
    </row>
    <row r="269">
      <c r="C269" s="12"/>
      <c r="G269" s="17"/>
      <c r="I269" s="123"/>
      <c r="K269" s="12"/>
      <c r="L269" s="12"/>
      <c r="M269" s="12" t="s">
        <v>733</v>
      </c>
    </row>
    <row r="270">
      <c r="C270" s="12"/>
      <c r="G270" s="17"/>
      <c r="I270" s="123"/>
      <c r="K270" s="12"/>
      <c r="L270" s="12"/>
      <c r="M270" s="12" t="s">
        <v>733</v>
      </c>
    </row>
    <row r="271">
      <c r="C271" s="12"/>
      <c r="G271" s="17"/>
      <c r="I271" s="123"/>
      <c r="K271" s="12"/>
      <c r="L271" s="12"/>
      <c r="M271" s="12" t="s">
        <v>733</v>
      </c>
    </row>
    <row r="272">
      <c r="C272" s="12"/>
      <c r="G272" s="17"/>
      <c r="I272" s="123"/>
      <c r="K272" s="12"/>
      <c r="L272" s="12"/>
      <c r="M272" s="12" t="s">
        <v>733</v>
      </c>
    </row>
    <row r="273">
      <c r="C273" s="12"/>
      <c r="G273" s="17"/>
      <c r="I273" s="123"/>
      <c r="K273" s="12"/>
      <c r="L273" s="12"/>
      <c r="M273" s="12" t="s">
        <v>733</v>
      </c>
    </row>
    <row r="274">
      <c r="C274" s="12"/>
      <c r="G274" s="17"/>
      <c r="I274" s="123"/>
      <c r="K274" s="12"/>
      <c r="L274" s="12"/>
      <c r="M274" s="12" t="s">
        <v>733</v>
      </c>
    </row>
    <row r="275">
      <c r="C275" s="12"/>
      <c r="G275" s="17"/>
      <c r="I275" s="123"/>
      <c r="K275" s="12"/>
      <c r="L275" s="12"/>
      <c r="M275" s="12" t="s">
        <v>733</v>
      </c>
    </row>
    <row r="276">
      <c r="C276" s="12"/>
      <c r="G276" s="17"/>
      <c r="I276" s="123"/>
      <c r="K276" s="12"/>
      <c r="L276" s="12"/>
      <c r="M276" s="12" t="s">
        <v>733</v>
      </c>
    </row>
    <row r="277">
      <c r="C277" s="12"/>
      <c r="G277" s="17"/>
      <c r="I277" s="123"/>
      <c r="K277" s="12"/>
      <c r="L277" s="12"/>
      <c r="M277" s="12" t="s">
        <v>733</v>
      </c>
    </row>
    <row r="278">
      <c r="C278" s="12"/>
      <c r="G278" s="17"/>
      <c r="I278" s="123"/>
      <c r="K278" s="12"/>
      <c r="L278" s="12"/>
      <c r="M278" s="12" t="s">
        <v>733</v>
      </c>
    </row>
    <row r="279">
      <c r="C279" s="12"/>
      <c r="G279" s="17"/>
      <c r="I279" s="123"/>
      <c r="K279" s="12"/>
      <c r="L279" s="12"/>
      <c r="M279" s="12" t="s">
        <v>733</v>
      </c>
    </row>
    <row r="280">
      <c r="C280" s="12"/>
      <c r="G280" s="17"/>
      <c r="I280" s="123"/>
      <c r="K280" s="12"/>
      <c r="L280" s="12"/>
      <c r="M280" s="12" t="s">
        <v>733</v>
      </c>
    </row>
    <row r="281">
      <c r="C281" s="12"/>
      <c r="G281" s="17"/>
      <c r="I281" s="123"/>
      <c r="K281" s="12"/>
      <c r="L281" s="12"/>
      <c r="M281" s="12" t="s">
        <v>733</v>
      </c>
    </row>
    <row r="282">
      <c r="C282" s="12"/>
      <c r="G282" s="17"/>
      <c r="I282" s="123"/>
      <c r="K282" s="12"/>
      <c r="L282" s="12"/>
      <c r="M282" s="12" t="s">
        <v>733</v>
      </c>
    </row>
    <row r="283">
      <c r="C283" s="12"/>
      <c r="G283" s="17"/>
      <c r="I283" s="123"/>
      <c r="K283" s="12"/>
      <c r="L283" s="12"/>
      <c r="M283" s="12" t="s">
        <v>733</v>
      </c>
    </row>
    <row r="284">
      <c r="C284" s="12"/>
      <c r="G284" s="17"/>
      <c r="I284" s="123"/>
      <c r="K284" s="12"/>
      <c r="L284" s="12"/>
      <c r="M284" s="12" t="s">
        <v>733</v>
      </c>
    </row>
    <row r="285">
      <c r="C285" s="12"/>
      <c r="G285" s="17"/>
      <c r="I285" s="123"/>
      <c r="K285" s="12"/>
      <c r="L285" s="12"/>
      <c r="M285" s="12" t="s">
        <v>733</v>
      </c>
    </row>
    <row r="286">
      <c r="C286" s="12"/>
      <c r="G286" s="17"/>
      <c r="I286" s="123"/>
      <c r="K286" s="12"/>
      <c r="L286" s="12"/>
      <c r="M286" s="12" t="s">
        <v>733</v>
      </c>
    </row>
    <row r="287">
      <c r="C287" s="12"/>
      <c r="G287" s="17"/>
      <c r="I287" s="123"/>
      <c r="K287" s="12"/>
      <c r="L287" s="12"/>
      <c r="M287" s="12" t="s">
        <v>733</v>
      </c>
    </row>
    <row r="288">
      <c r="C288" s="12"/>
      <c r="G288" s="17"/>
      <c r="I288" s="123"/>
      <c r="K288" s="12"/>
      <c r="L288" s="12"/>
      <c r="M288" s="12" t="s">
        <v>733</v>
      </c>
    </row>
    <row r="289">
      <c r="C289" s="12"/>
      <c r="G289" s="17"/>
      <c r="I289" s="123"/>
      <c r="K289" s="12"/>
      <c r="L289" s="12"/>
      <c r="M289" s="12" t="s">
        <v>733</v>
      </c>
    </row>
    <row r="290">
      <c r="C290" s="12"/>
      <c r="G290" s="17"/>
      <c r="I290" s="123"/>
      <c r="K290" s="12"/>
      <c r="L290" s="12"/>
      <c r="M290" s="12" t="s">
        <v>733</v>
      </c>
    </row>
    <row r="291">
      <c r="C291" s="12"/>
      <c r="G291" s="17"/>
      <c r="I291" s="123"/>
      <c r="K291" s="12"/>
      <c r="L291" s="12"/>
      <c r="M291" s="12" t="s">
        <v>733</v>
      </c>
    </row>
    <row r="292">
      <c r="C292" s="12"/>
      <c r="G292" s="17"/>
      <c r="I292" s="123"/>
      <c r="K292" s="12"/>
      <c r="L292" s="12"/>
      <c r="M292" s="12" t="s">
        <v>733</v>
      </c>
    </row>
    <row r="293">
      <c r="C293" s="12"/>
      <c r="G293" s="17"/>
      <c r="I293" s="123"/>
      <c r="K293" s="12"/>
      <c r="L293" s="12"/>
      <c r="M293" s="12" t="s">
        <v>733</v>
      </c>
    </row>
    <row r="294">
      <c r="C294" s="12"/>
      <c r="G294" s="17"/>
      <c r="I294" s="123"/>
      <c r="K294" s="12"/>
      <c r="L294" s="12"/>
      <c r="M294" s="12" t="s">
        <v>733</v>
      </c>
    </row>
    <row r="295">
      <c r="C295" s="12"/>
      <c r="G295" s="17"/>
      <c r="I295" s="123"/>
      <c r="K295" s="12"/>
      <c r="L295" s="12"/>
      <c r="M295" s="12" t="s">
        <v>733</v>
      </c>
    </row>
    <row r="296">
      <c r="C296" s="12"/>
      <c r="G296" s="17"/>
      <c r="I296" s="123"/>
      <c r="K296" s="12"/>
      <c r="L296" s="12"/>
      <c r="M296" s="12" t="s">
        <v>733</v>
      </c>
    </row>
    <row r="297">
      <c r="C297" s="12"/>
      <c r="G297" s="17"/>
      <c r="I297" s="123"/>
      <c r="K297" s="12"/>
      <c r="L297" s="12"/>
      <c r="M297" s="12" t="s">
        <v>733</v>
      </c>
    </row>
    <row r="298">
      <c r="C298" s="12"/>
      <c r="G298" s="17"/>
      <c r="I298" s="123"/>
      <c r="K298" s="12"/>
      <c r="L298" s="12"/>
      <c r="M298" s="12" t="s">
        <v>733</v>
      </c>
    </row>
    <row r="299">
      <c r="C299" s="12"/>
      <c r="G299" s="17"/>
      <c r="I299" s="123"/>
      <c r="K299" s="12"/>
      <c r="L299" s="12"/>
      <c r="M299" s="12" t="s">
        <v>733</v>
      </c>
    </row>
    <row r="300">
      <c r="C300" s="12"/>
      <c r="G300" s="17"/>
      <c r="I300" s="123"/>
      <c r="K300" s="12"/>
      <c r="L300" s="12"/>
      <c r="M300" s="12" t="s">
        <v>733</v>
      </c>
    </row>
    <row r="301">
      <c r="C301" s="12"/>
      <c r="G301" s="17"/>
      <c r="I301" s="123"/>
      <c r="K301" s="12"/>
      <c r="L301" s="12"/>
      <c r="M301" s="12" t="s">
        <v>733</v>
      </c>
    </row>
    <row r="302">
      <c r="C302" s="12"/>
      <c r="G302" s="17"/>
      <c r="I302" s="123"/>
      <c r="K302" s="12"/>
      <c r="L302" s="12"/>
      <c r="M302" s="12" t="s">
        <v>733</v>
      </c>
    </row>
    <row r="303">
      <c r="C303" s="12"/>
      <c r="G303" s="17"/>
      <c r="I303" s="123"/>
      <c r="K303" s="12"/>
      <c r="L303" s="12"/>
      <c r="M303" s="12" t="s">
        <v>733</v>
      </c>
    </row>
    <row r="304">
      <c r="C304" s="12"/>
      <c r="G304" s="17"/>
      <c r="I304" s="123"/>
      <c r="K304" s="12"/>
      <c r="L304" s="12"/>
      <c r="M304" s="12" t="s">
        <v>733</v>
      </c>
    </row>
    <row r="305">
      <c r="C305" s="12"/>
      <c r="G305" s="17"/>
      <c r="I305" s="123"/>
      <c r="K305" s="12"/>
      <c r="L305" s="12"/>
      <c r="M305" s="12" t="s">
        <v>733</v>
      </c>
    </row>
    <row r="306">
      <c r="C306" s="12"/>
      <c r="G306" s="17"/>
      <c r="I306" s="123"/>
      <c r="K306" s="12"/>
      <c r="L306" s="12"/>
      <c r="M306" s="12" t="s">
        <v>733</v>
      </c>
    </row>
    <row r="307">
      <c r="C307" s="12"/>
      <c r="G307" s="17"/>
      <c r="I307" s="123"/>
      <c r="K307" s="12"/>
      <c r="L307" s="12"/>
      <c r="M307" s="12" t="s">
        <v>733</v>
      </c>
    </row>
    <row r="308">
      <c r="C308" s="12"/>
      <c r="G308" s="17"/>
      <c r="I308" s="123"/>
      <c r="K308" s="12"/>
      <c r="L308" s="12"/>
      <c r="M308" s="12" t="s">
        <v>733</v>
      </c>
    </row>
    <row r="309">
      <c r="C309" s="12"/>
      <c r="G309" s="17"/>
      <c r="I309" s="123"/>
      <c r="K309" s="12"/>
      <c r="L309" s="12"/>
      <c r="M309" s="12" t="s">
        <v>733</v>
      </c>
    </row>
    <row r="310">
      <c r="C310" s="12"/>
      <c r="G310" s="17"/>
      <c r="I310" s="123"/>
      <c r="K310" s="12"/>
      <c r="L310" s="12"/>
      <c r="M310" s="12" t="s">
        <v>733</v>
      </c>
    </row>
    <row r="311">
      <c r="C311" s="12"/>
      <c r="G311" s="17"/>
      <c r="I311" s="123"/>
      <c r="K311" s="12"/>
      <c r="L311" s="12"/>
      <c r="M311" s="12" t="s">
        <v>733</v>
      </c>
    </row>
    <row r="312">
      <c r="C312" s="12"/>
      <c r="G312" s="17"/>
      <c r="I312" s="123"/>
      <c r="K312" s="12"/>
      <c r="L312" s="12"/>
      <c r="M312" s="12" t="s">
        <v>733</v>
      </c>
    </row>
    <row r="313">
      <c r="C313" s="12"/>
      <c r="G313" s="17"/>
      <c r="I313" s="123"/>
      <c r="K313" s="12"/>
      <c r="L313" s="12"/>
      <c r="M313" s="12" t="s">
        <v>733</v>
      </c>
    </row>
    <row r="314">
      <c r="C314" s="12"/>
      <c r="G314" s="17"/>
      <c r="I314" s="123"/>
      <c r="K314" s="12"/>
      <c r="L314" s="12"/>
      <c r="M314" s="12" t="s">
        <v>733</v>
      </c>
    </row>
    <row r="315">
      <c r="C315" s="12"/>
      <c r="G315" s="17"/>
      <c r="I315" s="123"/>
      <c r="K315" s="12"/>
      <c r="L315" s="12"/>
      <c r="M315" s="12" t="s">
        <v>733</v>
      </c>
    </row>
    <row r="316">
      <c r="C316" s="12"/>
      <c r="G316" s="17"/>
      <c r="I316" s="123"/>
      <c r="K316" s="12"/>
      <c r="L316" s="12"/>
      <c r="M316" s="12" t="s">
        <v>733</v>
      </c>
    </row>
    <row r="317">
      <c r="C317" s="12"/>
      <c r="G317" s="17"/>
      <c r="I317" s="123"/>
      <c r="K317" s="12"/>
      <c r="L317" s="12"/>
      <c r="M317" s="12" t="s">
        <v>733</v>
      </c>
    </row>
    <row r="318">
      <c r="C318" s="12"/>
      <c r="G318" s="17"/>
      <c r="I318" s="123"/>
      <c r="K318" s="12"/>
      <c r="L318" s="12"/>
      <c r="M318" s="12" t="s">
        <v>733</v>
      </c>
    </row>
    <row r="319">
      <c r="C319" s="12"/>
      <c r="G319" s="17"/>
      <c r="I319" s="123"/>
      <c r="K319" s="12"/>
      <c r="L319" s="12"/>
      <c r="M319" s="12" t="s">
        <v>733</v>
      </c>
    </row>
    <row r="320">
      <c r="C320" s="12"/>
      <c r="G320" s="17"/>
      <c r="I320" s="123"/>
      <c r="K320" s="12"/>
      <c r="L320" s="12"/>
      <c r="M320" s="12" t="s">
        <v>733</v>
      </c>
    </row>
    <row r="321">
      <c r="C321" s="12"/>
      <c r="G321" s="17"/>
      <c r="I321" s="123"/>
      <c r="K321" s="12"/>
      <c r="L321" s="12"/>
      <c r="M321" s="12" t="s">
        <v>733</v>
      </c>
    </row>
    <row r="322">
      <c r="C322" s="12"/>
      <c r="G322" s="17"/>
      <c r="I322" s="123"/>
      <c r="K322" s="12"/>
      <c r="L322" s="12"/>
      <c r="M322" s="12" t="s">
        <v>733</v>
      </c>
    </row>
    <row r="323">
      <c r="C323" s="12"/>
      <c r="G323" s="17"/>
      <c r="I323" s="123"/>
      <c r="K323" s="12"/>
      <c r="L323" s="12"/>
      <c r="M323" s="12" t="s">
        <v>733</v>
      </c>
    </row>
    <row r="324">
      <c r="C324" s="12"/>
      <c r="G324" s="17"/>
      <c r="I324" s="123"/>
      <c r="K324" s="12"/>
      <c r="L324" s="12"/>
      <c r="M324" s="12" t="s">
        <v>733</v>
      </c>
    </row>
    <row r="325">
      <c r="C325" s="12"/>
      <c r="G325" s="17"/>
      <c r="I325" s="123"/>
      <c r="K325" s="12"/>
      <c r="L325" s="12"/>
      <c r="M325" s="12" t="s">
        <v>733</v>
      </c>
    </row>
    <row r="326">
      <c r="C326" s="12"/>
      <c r="G326" s="17"/>
      <c r="I326" s="123"/>
      <c r="K326" s="12"/>
      <c r="L326" s="12"/>
      <c r="M326" s="12" t="s">
        <v>733</v>
      </c>
    </row>
    <row r="327">
      <c r="C327" s="12"/>
      <c r="G327" s="17"/>
      <c r="I327" s="123"/>
      <c r="K327" s="12"/>
      <c r="L327" s="12"/>
      <c r="M327" s="12" t="s">
        <v>733</v>
      </c>
    </row>
    <row r="328">
      <c r="C328" s="12"/>
      <c r="G328" s="17"/>
      <c r="I328" s="123"/>
      <c r="K328" s="12"/>
      <c r="L328" s="12"/>
      <c r="M328" s="12" t="s">
        <v>733</v>
      </c>
    </row>
    <row r="329">
      <c r="C329" s="12"/>
      <c r="G329" s="17"/>
      <c r="I329" s="123"/>
      <c r="K329" s="12"/>
      <c r="L329" s="12"/>
      <c r="M329" s="12" t="s">
        <v>733</v>
      </c>
    </row>
    <row r="330">
      <c r="C330" s="12"/>
      <c r="G330" s="17"/>
      <c r="I330" s="123"/>
      <c r="K330" s="12"/>
      <c r="L330" s="12"/>
      <c r="M330" s="12" t="s">
        <v>733</v>
      </c>
    </row>
    <row r="331">
      <c r="C331" s="12"/>
      <c r="G331" s="17"/>
      <c r="I331" s="123"/>
      <c r="K331" s="12"/>
      <c r="L331" s="12"/>
      <c r="M331" s="12" t="s">
        <v>733</v>
      </c>
    </row>
    <row r="332">
      <c r="C332" s="12"/>
      <c r="G332" s="17"/>
      <c r="I332" s="123"/>
      <c r="K332" s="12"/>
      <c r="L332" s="12"/>
      <c r="M332" s="12" t="s">
        <v>733</v>
      </c>
    </row>
    <row r="333">
      <c r="C333" s="12"/>
      <c r="G333" s="17"/>
      <c r="I333" s="123"/>
      <c r="K333" s="12"/>
      <c r="L333" s="12"/>
      <c r="M333" s="12" t="s">
        <v>733</v>
      </c>
    </row>
    <row r="334">
      <c r="C334" s="12"/>
      <c r="G334" s="17"/>
      <c r="I334" s="123"/>
      <c r="K334" s="12"/>
      <c r="L334" s="12"/>
      <c r="M334" s="12" t="s">
        <v>733</v>
      </c>
    </row>
    <row r="335">
      <c r="C335" s="12"/>
      <c r="G335" s="17"/>
      <c r="I335" s="123"/>
      <c r="K335" s="12"/>
      <c r="L335" s="12"/>
      <c r="M335" s="12" t="s">
        <v>733</v>
      </c>
    </row>
    <row r="336">
      <c r="C336" s="12"/>
      <c r="G336" s="17"/>
      <c r="I336" s="123"/>
      <c r="K336" s="12"/>
      <c r="L336" s="12"/>
      <c r="M336" s="12" t="s">
        <v>733</v>
      </c>
    </row>
    <row r="337">
      <c r="C337" s="12"/>
      <c r="G337" s="17"/>
      <c r="I337" s="123"/>
      <c r="K337" s="12"/>
      <c r="L337" s="12"/>
      <c r="M337" s="12" t="s">
        <v>733</v>
      </c>
    </row>
    <row r="338">
      <c r="C338" s="12"/>
      <c r="G338" s="17"/>
      <c r="I338" s="123"/>
      <c r="K338" s="12"/>
      <c r="L338" s="12"/>
      <c r="M338" s="12" t="s">
        <v>733</v>
      </c>
    </row>
    <row r="339">
      <c r="C339" s="12"/>
      <c r="G339" s="17"/>
      <c r="I339" s="123"/>
      <c r="K339" s="12"/>
      <c r="L339" s="12"/>
      <c r="M339" s="12" t="s">
        <v>733</v>
      </c>
    </row>
    <row r="340">
      <c r="C340" s="12"/>
      <c r="G340" s="17"/>
      <c r="I340" s="123"/>
      <c r="K340" s="12"/>
      <c r="L340" s="12"/>
      <c r="M340" s="12" t="s">
        <v>733</v>
      </c>
    </row>
    <row r="341">
      <c r="C341" s="12"/>
      <c r="G341" s="17"/>
      <c r="I341" s="123"/>
      <c r="K341" s="12"/>
      <c r="L341" s="12"/>
      <c r="M341" s="12" t="s">
        <v>733</v>
      </c>
    </row>
    <row r="342">
      <c r="C342" s="12"/>
      <c r="G342" s="17"/>
      <c r="I342" s="123"/>
      <c r="K342" s="12"/>
      <c r="L342" s="12"/>
      <c r="M342" s="12" t="s">
        <v>733</v>
      </c>
    </row>
    <row r="343">
      <c r="C343" s="12"/>
      <c r="G343" s="17"/>
      <c r="I343" s="123"/>
      <c r="K343" s="12"/>
      <c r="L343" s="12"/>
      <c r="M343" s="12" t="s">
        <v>733</v>
      </c>
    </row>
    <row r="344">
      <c r="C344" s="12"/>
      <c r="G344" s="17"/>
      <c r="I344" s="123"/>
      <c r="K344" s="12"/>
      <c r="L344" s="12"/>
      <c r="M344" s="12" t="s">
        <v>733</v>
      </c>
    </row>
    <row r="345">
      <c r="C345" s="12"/>
      <c r="G345" s="17"/>
      <c r="I345" s="123"/>
      <c r="K345" s="12"/>
      <c r="L345" s="12"/>
      <c r="M345" s="12" t="s">
        <v>733</v>
      </c>
    </row>
    <row r="346">
      <c r="C346" s="12"/>
      <c r="G346" s="17"/>
      <c r="I346" s="123"/>
      <c r="K346" s="12"/>
      <c r="L346" s="12"/>
      <c r="M346" s="12" t="s">
        <v>733</v>
      </c>
    </row>
    <row r="347">
      <c r="C347" s="12"/>
      <c r="G347" s="17"/>
      <c r="I347" s="123"/>
      <c r="K347" s="12"/>
      <c r="L347" s="12"/>
      <c r="M347" s="12" t="s">
        <v>733</v>
      </c>
    </row>
    <row r="348">
      <c r="C348" s="12"/>
      <c r="G348" s="17"/>
      <c r="I348" s="123"/>
      <c r="K348" s="12"/>
      <c r="L348" s="12"/>
      <c r="M348" s="12" t="s">
        <v>733</v>
      </c>
    </row>
    <row r="349">
      <c r="C349" s="12"/>
      <c r="G349" s="17"/>
      <c r="I349" s="123"/>
      <c r="K349" s="12"/>
      <c r="L349" s="12"/>
      <c r="M349" s="12" t="s">
        <v>733</v>
      </c>
    </row>
    <row r="350">
      <c r="C350" s="12"/>
      <c r="G350" s="17"/>
      <c r="I350" s="123"/>
      <c r="K350" s="12"/>
      <c r="L350" s="12"/>
      <c r="M350" s="12" t="s">
        <v>733</v>
      </c>
    </row>
    <row r="351">
      <c r="C351" s="12"/>
      <c r="G351" s="17"/>
      <c r="I351" s="123"/>
      <c r="K351" s="12"/>
      <c r="L351" s="12"/>
      <c r="M351" s="12" t="s">
        <v>733</v>
      </c>
    </row>
    <row r="352">
      <c r="C352" s="12"/>
      <c r="G352" s="17"/>
      <c r="I352" s="123"/>
      <c r="K352" s="12"/>
      <c r="L352" s="12"/>
      <c r="M352" s="12" t="s">
        <v>733</v>
      </c>
    </row>
    <row r="353">
      <c r="C353" s="12"/>
      <c r="G353" s="17"/>
      <c r="I353" s="123"/>
      <c r="K353" s="12"/>
      <c r="L353" s="12"/>
      <c r="M353" s="12" t="s">
        <v>733</v>
      </c>
    </row>
    <row r="354">
      <c r="C354" s="12"/>
      <c r="G354" s="17"/>
      <c r="I354" s="123"/>
      <c r="K354" s="12"/>
      <c r="L354" s="12"/>
      <c r="M354" s="12" t="s">
        <v>733</v>
      </c>
    </row>
    <row r="355">
      <c r="C355" s="12"/>
      <c r="G355" s="17"/>
      <c r="I355" s="123"/>
      <c r="K355" s="12"/>
      <c r="L355" s="12"/>
      <c r="M355" s="12" t="s">
        <v>733</v>
      </c>
    </row>
    <row r="356">
      <c r="C356" s="12"/>
      <c r="G356" s="17"/>
      <c r="I356" s="123"/>
      <c r="K356" s="12"/>
      <c r="L356" s="12"/>
      <c r="M356" s="12" t="s">
        <v>733</v>
      </c>
    </row>
    <row r="357">
      <c r="C357" s="12"/>
      <c r="G357" s="17"/>
      <c r="I357" s="123"/>
      <c r="K357" s="12"/>
      <c r="L357" s="12"/>
      <c r="M357" s="12" t="s">
        <v>733</v>
      </c>
    </row>
    <row r="358">
      <c r="C358" s="12"/>
      <c r="G358" s="17"/>
      <c r="I358" s="123"/>
      <c r="K358" s="12"/>
      <c r="L358" s="12"/>
      <c r="M358" s="12" t="s">
        <v>733</v>
      </c>
    </row>
    <row r="359">
      <c r="C359" s="12"/>
      <c r="G359" s="17"/>
      <c r="I359" s="123"/>
      <c r="K359" s="12"/>
      <c r="L359" s="12"/>
      <c r="M359" s="12" t="s">
        <v>733</v>
      </c>
    </row>
    <row r="360">
      <c r="C360" s="12"/>
      <c r="G360" s="17"/>
      <c r="I360" s="123"/>
      <c r="K360" s="12"/>
      <c r="L360" s="12"/>
      <c r="M360" s="12" t="s">
        <v>733</v>
      </c>
    </row>
    <row r="361">
      <c r="C361" s="12"/>
      <c r="G361" s="17"/>
      <c r="I361" s="123"/>
      <c r="K361" s="12"/>
      <c r="L361" s="12"/>
      <c r="M361" s="12" t="s">
        <v>733</v>
      </c>
    </row>
    <row r="362">
      <c r="C362" s="12"/>
      <c r="G362" s="17"/>
      <c r="I362" s="123"/>
      <c r="K362" s="12"/>
      <c r="L362" s="12"/>
      <c r="M362" s="12" t="s">
        <v>733</v>
      </c>
    </row>
    <row r="363">
      <c r="C363" s="12"/>
      <c r="G363" s="17"/>
      <c r="I363" s="123"/>
      <c r="K363" s="12"/>
      <c r="L363" s="12"/>
      <c r="M363" s="12" t="s">
        <v>733</v>
      </c>
    </row>
    <row r="364">
      <c r="C364" s="12"/>
      <c r="G364" s="17"/>
      <c r="I364" s="123"/>
      <c r="K364" s="12"/>
      <c r="L364" s="12"/>
      <c r="M364" s="12" t="s">
        <v>733</v>
      </c>
    </row>
    <row r="365">
      <c r="C365" s="12"/>
      <c r="G365" s="17"/>
      <c r="I365" s="123"/>
      <c r="K365" s="12"/>
      <c r="L365" s="12"/>
      <c r="M365" s="12" t="s">
        <v>733</v>
      </c>
    </row>
    <row r="366">
      <c r="C366" s="12"/>
      <c r="G366" s="17"/>
      <c r="I366" s="123"/>
      <c r="K366" s="12"/>
      <c r="L366" s="12"/>
      <c r="M366" s="12" t="s">
        <v>733</v>
      </c>
    </row>
    <row r="367">
      <c r="C367" s="12"/>
      <c r="G367" s="17"/>
      <c r="I367" s="123"/>
      <c r="K367" s="12"/>
      <c r="L367" s="12"/>
      <c r="M367" s="12" t="s">
        <v>733</v>
      </c>
    </row>
    <row r="368">
      <c r="C368" s="12"/>
      <c r="G368" s="17"/>
      <c r="I368" s="123"/>
      <c r="K368" s="12"/>
      <c r="L368" s="12"/>
      <c r="M368" s="12" t="s">
        <v>733</v>
      </c>
    </row>
    <row r="369">
      <c r="C369" s="12"/>
      <c r="G369" s="17"/>
      <c r="I369" s="123"/>
      <c r="K369" s="12"/>
      <c r="L369" s="12"/>
      <c r="M369" s="12" t="s">
        <v>733</v>
      </c>
    </row>
    <row r="370">
      <c r="C370" s="12"/>
      <c r="G370" s="17"/>
      <c r="I370" s="123"/>
      <c r="K370" s="12"/>
      <c r="L370" s="12"/>
      <c r="M370" s="12" t="s">
        <v>733</v>
      </c>
    </row>
    <row r="371">
      <c r="C371" s="12"/>
      <c r="G371" s="17"/>
      <c r="I371" s="123"/>
      <c r="K371" s="12"/>
      <c r="L371" s="12"/>
      <c r="M371" s="12" t="s">
        <v>733</v>
      </c>
    </row>
    <row r="372">
      <c r="C372" s="12"/>
      <c r="G372" s="17"/>
      <c r="I372" s="123"/>
      <c r="K372" s="12"/>
      <c r="L372" s="12"/>
      <c r="M372" s="12" t="s">
        <v>733</v>
      </c>
    </row>
    <row r="373">
      <c r="C373" s="12"/>
      <c r="G373" s="17"/>
      <c r="I373" s="123"/>
      <c r="K373" s="12"/>
      <c r="L373" s="12"/>
      <c r="M373" s="12" t="s">
        <v>733</v>
      </c>
    </row>
    <row r="374">
      <c r="C374" s="12"/>
      <c r="G374" s="17"/>
      <c r="I374" s="123"/>
      <c r="K374" s="12"/>
      <c r="L374" s="12"/>
      <c r="M374" s="12" t="s">
        <v>733</v>
      </c>
    </row>
    <row r="375">
      <c r="C375" s="12"/>
      <c r="G375" s="17"/>
      <c r="I375" s="123"/>
      <c r="K375" s="12"/>
      <c r="L375" s="12"/>
      <c r="M375" s="12" t="s">
        <v>733</v>
      </c>
    </row>
    <row r="376">
      <c r="C376" s="12"/>
      <c r="G376" s="17"/>
      <c r="I376" s="123"/>
      <c r="K376" s="12"/>
      <c r="L376" s="12"/>
      <c r="M376" s="12" t="s">
        <v>733</v>
      </c>
    </row>
    <row r="377">
      <c r="C377" s="12"/>
      <c r="G377" s="17"/>
      <c r="I377" s="123"/>
      <c r="K377" s="12"/>
      <c r="L377" s="12"/>
      <c r="M377" s="12" t="s">
        <v>733</v>
      </c>
    </row>
    <row r="378">
      <c r="C378" s="12"/>
      <c r="G378" s="17"/>
      <c r="I378" s="123"/>
      <c r="K378" s="12"/>
      <c r="L378" s="12"/>
      <c r="M378" s="12" t="s">
        <v>733</v>
      </c>
    </row>
    <row r="379">
      <c r="C379" s="12"/>
      <c r="G379" s="17"/>
      <c r="I379" s="123"/>
      <c r="K379" s="12"/>
      <c r="L379" s="12"/>
      <c r="M379" s="12" t="s">
        <v>733</v>
      </c>
    </row>
    <row r="380">
      <c r="C380" s="12"/>
      <c r="G380" s="17"/>
      <c r="I380" s="123"/>
      <c r="K380" s="12"/>
      <c r="L380" s="12"/>
      <c r="M380" s="12" t="s">
        <v>733</v>
      </c>
    </row>
    <row r="381">
      <c r="C381" s="12"/>
      <c r="G381" s="17"/>
      <c r="I381" s="123"/>
      <c r="K381" s="12"/>
      <c r="L381" s="12"/>
      <c r="M381" s="12" t="s">
        <v>733</v>
      </c>
    </row>
    <row r="382">
      <c r="C382" s="12"/>
      <c r="G382" s="17"/>
      <c r="I382" s="123"/>
      <c r="K382" s="12"/>
      <c r="L382" s="12"/>
      <c r="M382" s="12" t="s">
        <v>733</v>
      </c>
    </row>
    <row r="383">
      <c r="C383" s="12"/>
      <c r="G383" s="17"/>
      <c r="I383" s="123"/>
      <c r="K383" s="12"/>
      <c r="L383" s="12"/>
      <c r="M383" s="12" t="s">
        <v>733</v>
      </c>
    </row>
    <row r="384">
      <c r="C384" s="12"/>
      <c r="G384" s="17"/>
      <c r="I384" s="123"/>
      <c r="K384" s="12"/>
      <c r="L384" s="12"/>
      <c r="M384" s="12" t="s">
        <v>733</v>
      </c>
    </row>
    <row r="385">
      <c r="C385" s="12"/>
      <c r="G385" s="17"/>
      <c r="I385" s="123"/>
      <c r="K385" s="12"/>
      <c r="L385" s="12"/>
      <c r="M385" s="12" t="s">
        <v>733</v>
      </c>
    </row>
    <row r="386">
      <c r="C386" s="12"/>
      <c r="G386" s="17"/>
      <c r="I386" s="123"/>
      <c r="K386" s="12"/>
      <c r="L386" s="12"/>
      <c r="M386" s="12" t="s">
        <v>733</v>
      </c>
    </row>
    <row r="387">
      <c r="C387" s="12"/>
      <c r="G387" s="17"/>
      <c r="I387" s="123"/>
      <c r="K387" s="12"/>
      <c r="L387" s="12"/>
      <c r="M387" s="12" t="s">
        <v>733</v>
      </c>
    </row>
    <row r="388">
      <c r="C388" s="12"/>
      <c r="G388" s="17"/>
      <c r="I388" s="123"/>
      <c r="K388" s="12"/>
      <c r="L388" s="12"/>
      <c r="M388" s="12" t="s">
        <v>733</v>
      </c>
    </row>
    <row r="389">
      <c r="C389" s="12"/>
      <c r="G389" s="17"/>
      <c r="I389" s="123"/>
      <c r="K389" s="12"/>
      <c r="L389" s="12"/>
      <c r="M389" s="12" t="s">
        <v>733</v>
      </c>
    </row>
    <row r="390">
      <c r="C390" s="12"/>
      <c r="G390" s="17"/>
      <c r="I390" s="123"/>
      <c r="K390" s="12"/>
      <c r="L390" s="12"/>
      <c r="M390" s="12" t="s">
        <v>733</v>
      </c>
    </row>
    <row r="391">
      <c r="C391" s="12"/>
      <c r="G391" s="17"/>
      <c r="I391" s="123"/>
      <c r="K391" s="12"/>
      <c r="L391" s="12"/>
      <c r="M391" s="12" t="s">
        <v>733</v>
      </c>
    </row>
    <row r="392">
      <c r="C392" s="12"/>
      <c r="G392" s="17"/>
      <c r="I392" s="123"/>
      <c r="K392" s="12"/>
      <c r="L392" s="12"/>
      <c r="M392" s="12" t="s">
        <v>733</v>
      </c>
    </row>
    <row r="393">
      <c r="C393" s="12"/>
      <c r="G393" s="17"/>
      <c r="I393" s="123"/>
      <c r="K393" s="12"/>
      <c r="L393" s="12"/>
      <c r="M393" s="12" t="s">
        <v>733</v>
      </c>
    </row>
    <row r="394">
      <c r="C394" s="12"/>
      <c r="G394" s="17"/>
      <c r="I394" s="123"/>
      <c r="K394" s="12"/>
      <c r="L394" s="12"/>
      <c r="M394" s="12" t="s">
        <v>733</v>
      </c>
    </row>
    <row r="395">
      <c r="C395" s="12"/>
      <c r="G395" s="17"/>
      <c r="I395" s="123"/>
      <c r="K395" s="12"/>
      <c r="L395" s="12"/>
      <c r="M395" s="12" t="s">
        <v>733</v>
      </c>
    </row>
    <row r="396">
      <c r="C396" s="12"/>
      <c r="G396" s="17"/>
      <c r="I396" s="123"/>
      <c r="K396" s="12"/>
      <c r="L396" s="12"/>
      <c r="M396" s="12" t="s">
        <v>733</v>
      </c>
    </row>
    <row r="397">
      <c r="C397" s="12"/>
      <c r="G397" s="17"/>
      <c r="I397" s="123"/>
      <c r="K397" s="12"/>
      <c r="L397" s="12"/>
      <c r="M397" s="12" t="s">
        <v>733</v>
      </c>
    </row>
    <row r="398">
      <c r="C398" s="12"/>
      <c r="G398" s="17"/>
      <c r="I398" s="123"/>
      <c r="K398" s="12"/>
      <c r="L398" s="12"/>
      <c r="M398" s="12" t="s">
        <v>733</v>
      </c>
    </row>
    <row r="399">
      <c r="C399" s="12"/>
      <c r="G399" s="17"/>
      <c r="I399" s="123"/>
      <c r="K399" s="12"/>
      <c r="L399" s="12"/>
      <c r="M399" s="12" t="s">
        <v>733</v>
      </c>
    </row>
    <row r="400">
      <c r="C400" s="12"/>
      <c r="G400" s="17"/>
      <c r="I400" s="123"/>
      <c r="K400" s="12"/>
      <c r="L400" s="12"/>
      <c r="M400" s="12" t="s">
        <v>733</v>
      </c>
    </row>
    <row r="401">
      <c r="C401" s="12"/>
      <c r="G401" s="17"/>
      <c r="I401" s="123"/>
      <c r="K401" s="12"/>
      <c r="L401" s="12"/>
      <c r="M401" s="12" t="s">
        <v>733</v>
      </c>
    </row>
    <row r="402">
      <c r="C402" s="12"/>
      <c r="G402" s="17"/>
      <c r="I402" s="123"/>
      <c r="K402" s="12"/>
      <c r="L402" s="12"/>
      <c r="M402" s="12" t="s">
        <v>733</v>
      </c>
    </row>
    <row r="403">
      <c r="C403" s="12"/>
      <c r="G403" s="17"/>
      <c r="I403" s="123"/>
      <c r="K403" s="12"/>
      <c r="L403" s="12"/>
      <c r="M403" s="12" t="s">
        <v>733</v>
      </c>
    </row>
    <row r="404">
      <c r="C404" s="12"/>
      <c r="G404" s="17"/>
      <c r="I404" s="123"/>
      <c r="K404" s="12"/>
      <c r="L404" s="12"/>
      <c r="M404" s="12" t="s">
        <v>733</v>
      </c>
    </row>
    <row r="405">
      <c r="C405" s="12"/>
      <c r="G405" s="17"/>
      <c r="I405" s="123"/>
      <c r="K405" s="12"/>
      <c r="L405" s="12"/>
      <c r="M405" s="12" t="s">
        <v>733</v>
      </c>
    </row>
    <row r="406">
      <c r="C406" s="12"/>
      <c r="G406" s="17"/>
      <c r="I406" s="123"/>
      <c r="K406" s="12"/>
      <c r="L406" s="12"/>
      <c r="M406" s="12" t="s">
        <v>733</v>
      </c>
    </row>
    <row r="407">
      <c r="C407" s="12"/>
      <c r="G407" s="17"/>
      <c r="I407" s="123"/>
      <c r="K407" s="12"/>
      <c r="L407" s="12"/>
      <c r="M407" s="12" t="s">
        <v>733</v>
      </c>
    </row>
    <row r="408">
      <c r="C408" s="12"/>
      <c r="G408" s="17"/>
      <c r="I408" s="123"/>
      <c r="K408" s="12"/>
      <c r="L408" s="12"/>
      <c r="M408" s="12" t="s">
        <v>733</v>
      </c>
    </row>
    <row r="409">
      <c r="C409" s="12"/>
      <c r="G409" s="17"/>
      <c r="I409" s="123"/>
      <c r="K409" s="12"/>
      <c r="L409" s="12"/>
      <c r="M409" s="12" t="s">
        <v>733</v>
      </c>
    </row>
    <row r="410">
      <c r="C410" s="12"/>
      <c r="G410" s="17"/>
      <c r="I410" s="123"/>
      <c r="K410" s="12"/>
      <c r="L410" s="12"/>
      <c r="M410" s="12" t="s">
        <v>733</v>
      </c>
    </row>
    <row r="411">
      <c r="C411" s="12"/>
      <c r="G411" s="17"/>
      <c r="I411" s="123"/>
      <c r="K411" s="12"/>
      <c r="L411" s="12"/>
      <c r="M411" s="12" t="s">
        <v>733</v>
      </c>
    </row>
    <row r="412">
      <c r="C412" s="12"/>
      <c r="G412" s="17"/>
      <c r="I412" s="123"/>
      <c r="K412" s="12"/>
      <c r="L412" s="12"/>
      <c r="M412" s="12" t="s">
        <v>733</v>
      </c>
    </row>
    <row r="413">
      <c r="C413" s="12"/>
      <c r="G413" s="17"/>
      <c r="I413" s="123"/>
      <c r="K413" s="12"/>
      <c r="L413" s="12"/>
      <c r="M413" s="12" t="s">
        <v>733</v>
      </c>
    </row>
    <row r="414">
      <c r="C414" s="12"/>
      <c r="G414" s="17"/>
      <c r="I414" s="123"/>
      <c r="K414" s="12"/>
      <c r="L414" s="12"/>
      <c r="M414" s="12" t="s">
        <v>733</v>
      </c>
    </row>
    <row r="415">
      <c r="C415" s="12"/>
      <c r="G415" s="17"/>
      <c r="I415" s="123"/>
      <c r="K415" s="12"/>
      <c r="L415" s="12"/>
      <c r="M415" s="12" t="s">
        <v>733</v>
      </c>
    </row>
    <row r="416">
      <c r="C416" s="12"/>
      <c r="G416" s="17"/>
      <c r="I416" s="123"/>
      <c r="K416" s="12"/>
      <c r="L416" s="12"/>
      <c r="M416" s="12" t="s">
        <v>733</v>
      </c>
    </row>
    <row r="417">
      <c r="C417" s="12"/>
      <c r="G417" s="17"/>
      <c r="I417" s="123"/>
      <c r="K417" s="12"/>
      <c r="L417" s="12"/>
      <c r="M417" s="12" t="s">
        <v>733</v>
      </c>
    </row>
    <row r="418">
      <c r="C418" s="12"/>
      <c r="G418" s="17"/>
      <c r="I418" s="123"/>
      <c r="K418" s="12"/>
      <c r="L418" s="12"/>
      <c r="M418" s="12" t="s">
        <v>733</v>
      </c>
    </row>
    <row r="419">
      <c r="C419" s="12"/>
      <c r="G419" s="17"/>
      <c r="I419" s="123"/>
      <c r="K419" s="12"/>
      <c r="L419" s="12"/>
      <c r="M419" s="12" t="s">
        <v>733</v>
      </c>
    </row>
    <row r="420">
      <c r="C420" s="12"/>
      <c r="G420" s="17"/>
      <c r="I420" s="123"/>
      <c r="K420" s="12"/>
      <c r="L420" s="12"/>
      <c r="M420" s="12" t="s">
        <v>733</v>
      </c>
    </row>
    <row r="421">
      <c r="C421" s="12"/>
      <c r="G421" s="17"/>
      <c r="I421" s="123"/>
      <c r="K421" s="12"/>
      <c r="L421" s="12"/>
      <c r="M421" s="12" t="s">
        <v>733</v>
      </c>
    </row>
    <row r="422">
      <c r="C422" s="12"/>
      <c r="G422" s="17"/>
      <c r="I422" s="123"/>
      <c r="K422" s="12"/>
      <c r="L422" s="12"/>
      <c r="M422" s="12" t="s">
        <v>733</v>
      </c>
    </row>
    <row r="423">
      <c r="C423" s="12"/>
      <c r="G423" s="17"/>
      <c r="I423" s="123"/>
      <c r="K423" s="12"/>
      <c r="L423" s="12"/>
      <c r="M423" s="12" t="s">
        <v>733</v>
      </c>
    </row>
    <row r="424">
      <c r="C424" s="12"/>
      <c r="G424" s="17"/>
      <c r="I424" s="123"/>
      <c r="K424" s="12"/>
      <c r="L424" s="12"/>
      <c r="M424" s="12" t="s">
        <v>733</v>
      </c>
    </row>
    <row r="425">
      <c r="C425" s="12"/>
      <c r="G425" s="17"/>
      <c r="I425" s="123"/>
      <c r="K425" s="12"/>
      <c r="L425" s="12"/>
      <c r="M425" s="12" t="s">
        <v>733</v>
      </c>
    </row>
    <row r="426">
      <c r="C426" s="12"/>
      <c r="G426" s="17"/>
      <c r="I426" s="123"/>
      <c r="K426" s="12"/>
      <c r="L426" s="12"/>
      <c r="M426" s="12" t="s">
        <v>733</v>
      </c>
    </row>
    <row r="427">
      <c r="C427" s="12"/>
      <c r="G427" s="17"/>
      <c r="I427" s="123"/>
      <c r="K427" s="12"/>
      <c r="L427" s="12"/>
      <c r="M427" s="12" t="s">
        <v>733</v>
      </c>
    </row>
    <row r="428">
      <c r="C428" s="12"/>
      <c r="G428" s="17"/>
      <c r="I428" s="123"/>
      <c r="K428" s="12"/>
      <c r="L428" s="12"/>
      <c r="M428" s="12" t="s">
        <v>733</v>
      </c>
    </row>
    <row r="429">
      <c r="C429" s="12"/>
      <c r="G429" s="17"/>
      <c r="I429" s="123"/>
      <c r="K429" s="12"/>
      <c r="L429" s="12"/>
      <c r="M429" s="12" t="s">
        <v>733</v>
      </c>
    </row>
    <row r="430">
      <c r="C430" s="12"/>
      <c r="G430" s="17"/>
      <c r="I430" s="123"/>
      <c r="K430" s="12"/>
      <c r="L430" s="12"/>
      <c r="M430" s="12" t="s">
        <v>733</v>
      </c>
    </row>
    <row r="431">
      <c r="C431" s="12"/>
      <c r="G431" s="17"/>
      <c r="I431" s="123"/>
      <c r="K431" s="12"/>
      <c r="L431" s="12"/>
      <c r="M431" s="12" t="s">
        <v>733</v>
      </c>
    </row>
    <row r="432">
      <c r="C432" s="12"/>
      <c r="G432" s="17"/>
      <c r="I432" s="123"/>
      <c r="K432" s="12"/>
      <c r="L432" s="12"/>
      <c r="M432" s="12" t="s">
        <v>733</v>
      </c>
    </row>
    <row r="433">
      <c r="C433" s="12"/>
      <c r="G433" s="17"/>
      <c r="I433" s="123"/>
      <c r="K433" s="12"/>
      <c r="L433" s="12"/>
      <c r="M433" s="12" t="s">
        <v>733</v>
      </c>
    </row>
    <row r="434">
      <c r="C434" s="12"/>
      <c r="G434" s="17"/>
      <c r="I434" s="123"/>
      <c r="K434" s="12"/>
      <c r="L434" s="12"/>
      <c r="M434" s="12" t="s">
        <v>733</v>
      </c>
    </row>
    <row r="435">
      <c r="C435" s="12"/>
      <c r="G435" s="17"/>
      <c r="I435" s="123"/>
      <c r="K435" s="12"/>
      <c r="L435" s="12"/>
      <c r="M435" s="12" t="s">
        <v>733</v>
      </c>
    </row>
    <row r="436">
      <c r="C436" s="12"/>
      <c r="G436" s="17"/>
      <c r="I436" s="123"/>
      <c r="K436" s="12"/>
      <c r="L436" s="12"/>
      <c r="M436" s="12" t="s">
        <v>733</v>
      </c>
    </row>
    <row r="437">
      <c r="C437" s="12"/>
      <c r="G437" s="17"/>
      <c r="I437" s="123"/>
      <c r="K437" s="12"/>
      <c r="L437" s="12"/>
      <c r="M437" s="12" t="s">
        <v>733</v>
      </c>
    </row>
    <row r="438">
      <c r="C438" s="12"/>
      <c r="G438" s="17"/>
      <c r="I438" s="123"/>
      <c r="K438" s="12"/>
      <c r="L438" s="12"/>
      <c r="M438" s="12" t="s">
        <v>733</v>
      </c>
    </row>
    <row r="439">
      <c r="C439" s="12"/>
      <c r="G439" s="17"/>
      <c r="I439" s="123"/>
      <c r="K439" s="12"/>
      <c r="L439" s="12"/>
      <c r="M439" s="12" t="s">
        <v>733</v>
      </c>
    </row>
    <row r="440">
      <c r="C440" s="12"/>
      <c r="G440" s="17"/>
      <c r="I440" s="123"/>
      <c r="K440" s="12"/>
      <c r="L440" s="12"/>
      <c r="M440" s="12" t="s">
        <v>733</v>
      </c>
    </row>
    <row r="441">
      <c r="C441" s="12"/>
      <c r="G441" s="17"/>
      <c r="I441" s="123"/>
      <c r="K441" s="12"/>
      <c r="L441" s="12"/>
      <c r="M441" s="12" t="s">
        <v>733</v>
      </c>
    </row>
    <row r="442">
      <c r="C442" s="12"/>
      <c r="G442" s="17"/>
      <c r="I442" s="123"/>
      <c r="K442" s="12"/>
      <c r="L442" s="12"/>
      <c r="M442" s="12" t="s">
        <v>733</v>
      </c>
    </row>
    <row r="443">
      <c r="C443" s="12"/>
      <c r="G443" s="17"/>
      <c r="I443" s="123"/>
      <c r="K443" s="12"/>
      <c r="L443" s="12"/>
      <c r="M443" s="12" t="s">
        <v>733</v>
      </c>
    </row>
    <row r="444">
      <c r="C444" s="12"/>
      <c r="G444" s="17"/>
      <c r="I444" s="123"/>
      <c r="K444" s="12"/>
      <c r="L444" s="12"/>
      <c r="M444" s="12" t="s">
        <v>733</v>
      </c>
    </row>
    <row r="445">
      <c r="C445" s="12"/>
      <c r="G445" s="17"/>
      <c r="I445" s="123"/>
      <c r="K445" s="12"/>
      <c r="L445" s="12"/>
      <c r="M445" s="12" t="s">
        <v>733</v>
      </c>
    </row>
    <row r="446">
      <c r="C446" s="12"/>
      <c r="G446" s="17"/>
      <c r="I446" s="123"/>
      <c r="K446" s="12"/>
      <c r="L446" s="12"/>
      <c r="M446" s="12" t="s">
        <v>733</v>
      </c>
    </row>
    <row r="447">
      <c r="C447" s="12"/>
      <c r="G447" s="17"/>
      <c r="I447" s="123"/>
      <c r="K447" s="12"/>
      <c r="L447" s="12"/>
      <c r="M447" s="12" t="s">
        <v>733</v>
      </c>
    </row>
    <row r="448">
      <c r="C448" s="12"/>
      <c r="G448" s="17"/>
      <c r="I448" s="123"/>
      <c r="K448" s="12"/>
      <c r="L448" s="12"/>
      <c r="M448" s="12" t="s">
        <v>733</v>
      </c>
    </row>
    <row r="449">
      <c r="C449" s="12"/>
      <c r="G449" s="17"/>
      <c r="I449" s="123"/>
      <c r="K449" s="12"/>
      <c r="L449" s="12"/>
      <c r="M449" s="12" t="s">
        <v>733</v>
      </c>
    </row>
    <row r="450">
      <c r="C450" s="12"/>
      <c r="G450" s="17"/>
      <c r="I450" s="123"/>
      <c r="K450" s="12"/>
      <c r="L450" s="12"/>
      <c r="M450" s="12" t="s">
        <v>733</v>
      </c>
    </row>
    <row r="451">
      <c r="C451" s="12"/>
      <c r="G451" s="17"/>
      <c r="I451" s="123"/>
      <c r="K451" s="12"/>
      <c r="L451" s="12"/>
      <c r="M451" s="12" t="s">
        <v>733</v>
      </c>
    </row>
    <row r="452">
      <c r="C452" s="12"/>
      <c r="G452" s="17"/>
      <c r="I452" s="123"/>
      <c r="K452" s="12"/>
      <c r="L452" s="12"/>
      <c r="M452" s="12" t="s">
        <v>733</v>
      </c>
    </row>
    <row r="453">
      <c r="C453" s="12"/>
      <c r="G453" s="17"/>
      <c r="I453" s="123"/>
      <c r="K453" s="12"/>
      <c r="L453" s="12"/>
      <c r="M453" s="12" t="s">
        <v>733</v>
      </c>
    </row>
    <row r="454">
      <c r="C454" s="12"/>
      <c r="G454" s="17"/>
      <c r="I454" s="123"/>
      <c r="K454" s="12"/>
      <c r="L454" s="12"/>
      <c r="M454" s="12" t="s">
        <v>733</v>
      </c>
    </row>
    <row r="455">
      <c r="C455" s="12"/>
      <c r="G455" s="17"/>
      <c r="I455" s="123"/>
      <c r="K455" s="12"/>
      <c r="L455" s="12"/>
      <c r="M455" s="12" t="s">
        <v>733</v>
      </c>
    </row>
    <row r="456">
      <c r="C456" s="12"/>
      <c r="G456" s="17"/>
      <c r="I456" s="123"/>
      <c r="K456" s="12"/>
      <c r="L456" s="12"/>
      <c r="M456" s="12" t="s">
        <v>733</v>
      </c>
    </row>
    <row r="457">
      <c r="C457" s="12"/>
      <c r="G457" s="17"/>
      <c r="I457" s="123"/>
      <c r="K457" s="12"/>
      <c r="L457" s="12"/>
      <c r="M457" s="12" t="s">
        <v>733</v>
      </c>
    </row>
    <row r="458">
      <c r="C458" s="12"/>
      <c r="G458" s="17"/>
      <c r="I458" s="123"/>
      <c r="K458" s="12"/>
      <c r="L458" s="12"/>
      <c r="M458" s="12" t="s">
        <v>733</v>
      </c>
    </row>
    <row r="459">
      <c r="C459" s="12"/>
      <c r="G459" s="17"/>
      <c r="I459" s="123"/>
      <c r="K459" s="12"/>
      <c r="L459" s="12"/>
      <c r="M459" s="12" t="s">
        <v>733</v>
      </c>
    </row>
    <row r="460">
      <c r="C460" s="12"/>
      <c r="G460" s="17"/>
      <c r="I460" s="123"/>
      <c r="K460" s="12"/>
      <c r="L460" s="12"/>
      <c r="M460" s="12" t="s">
        <v>733</v>
      </c>
    </row>
    <row r="461">
      <c r="C461" s="12"/>
      <c r="G461" s="17"/>
      <c r="I461" s="123"/>
      <c r="K461" s="12"/>
      <c r="L461" s="12"/>
      <c r="M461" s="12" t="s">
        <v>733</v>
      </c>
    </row>
    <row r="462">
      <c r="C462" s="12"/>
      <c r="G462" s="17"/>
      <c r="I462" s="123"/>
      <c r="K462" s="12"/>
      <c r="L462" s="12"/>
      <c r="M462" s="12" t="s">
        <v>733</v>
      </c>
    </row>
    <row r="463">
      <c r="C463" s="12"/>
      <c r="G463" s="17"/>
      <c r="I463" s="123"/>
      <c r="K463" s="12"/>
      <c r="L463" s="12"/>
      <c r="M463" s="12" t="s">
        <v>733</v>
      </c>
    </row>
    <row r="464">
      <c r="C464" s="12"/>
      <c r="G464" s="17"/>
      <c r="I464" s="123"/>
      <c r="K464" s="12"/>
      <c r="L464" s="12"/>
      <c r="M464" s="12" t="s">
        <v>733</v>
      </c>
    </row>
    <row r="465">
      <c r="C465" s="12"/>
      <c r="G465" s="17"/>
      <c r="I465" s="123"/>
      <c r="K465" s="12"/>
      <c r="L465" s="12"/>
      <c r="M465" s="12" t="s">
        <v>733</v>
      </c>
    </row>
    <row r="466">
      <c r="C466" s="12"/>
      <c r="G466" s="17"/>
      <c r="I466" s="123"/>
      <c r="K466" s="12"/>
      <c r="L466" s="12"/>
      <c r="M466" s="12" t="s">
        <v>733</v>
      </c>
    </row>
    <row r="467">
      <c r="C467" s="12"/>
      <c r="G467" s="17"/>
      <c r="I467" s="123"/>
      <c r="K467" s="12"/>
      <c r="L467" s="12"/>
      <c r="M467" s="12" t="s">
        <v>733</v>
      </c>
    </row>
    <row r="468">
      <c r="C468" s="12"/>
      <c r="G468" s="17"/>
      <c r="I468" s="123"/>
      <c r="K468" s="12"/>
      <c r="L468" s="12"/>
      <c r="M468" s="12" t="s">
        <v>733</v>
      </c>
    </row>
    <row r="469">
      <c r="C469" s="12"/>
      <c r="G469" s="17"/>
      <c r="I469" s="123"/>
      <c r="K469" s="12"/>
      <c r="L469" s="12"/>
      <c r="M469" s="12" t="s">
        <v>733</v>
      </c>
    </row>
    <row r="470">
      <c r="C470" s="12"/>
      <c r="G470" s="17"/>
      <c r="I470" s="123"/>
      <c r="K470" s="12"/>
      <c r="L470" s="12"/>
      <c r="M470" s="12" t="s">
        <v>733</v>
      </c>
    </row>
    <row r="471">
      <c r="C471" s="12"/>
      <c r="G471" s="17"/>
      <c r="I471" s="123"/>
      <c r="K471" s="12"/>
      <c r="L471" s="12"/>
      <c r="M471" s="12" t="s">
        <v>733</v>
      </c>
    </row>
    <row r="472">
      <c r="C472" s="12"/>
      <c r="G472" s="17"/>
      <c r="I472" s="123"/>
      <c r="K472" s="12"/>
      <c r="L472" s="12"/>
      <c r="M472" s="12" t="s">
        <v>733</v>
      </c>
    </row>
    <row r="473">
      <c r="C473" s="12"/>
      <c r="G473" s="17"/>
      <c r="I473" s="123"/>
      <c r="K473" s="12"/>
      <c r="L473" s="12"/>
      <c r="M473" s="12" t="s">
        <v>733</v>
      </c>
    </row>
    <row r="474">
      <c r="C474" s="12"/>
      <c r="G474" s="17"/>
      <c r="I474" s="123"/>
      <c r="K474" s="12"/>
      <c r="L474" s="12"/>
      <c r="M474" s="12" t="s">
        <v>733</v>
      </c>
    </row>
    <row r="475">
      <c r="C475" s="12"/>
      <c r="G475" s="17"/>
      <c r="I475" s="123"/>
      <c r="K475" s="12"/>
      <c r="L475" s="12"/>
      <c r="M475" s="12" t="s">
        <v>733</v>
      </c>
    </row>
    <row r="476">
      <c r="C476" s="12"/>
      <c r="G476" s="17"/>
      <c r="I476" s="123"/>
      <c r="K476" s="12"/>
      <c r="L476" s="12"/>
      <c r="M476" s="12" t="s">
        <v>733</v>
      </c>
    </row>
    <row r="477">
      <c r="C477" s="12"/>
      <c r="G477" s="17"/>
      <c r="I477" s="123"/>
      <c r="K477" s="12"/>
      <c r="L477" s="12"/>
      <c r="M477" s="12" t="s">
        <v>733</v>
      </c>
    </row>
    <row r="478">
      <c r="C478" s="12"/>
      <c r="G478" s="17"/>
      <c r="I478" s="123"/>
      <c r="K478" s="12"/>
      <c r="L478" s="12"/>
      <c r="M478" s="12" t="s">
        <v>733</v>
      </c>
    </row>
    <row r="479">
      <c r="C479" s="12"/>
      <c r="G479" s="17"/>
      <c r="I479" s="123"/>
      <c r="K479" s="12"/>
      <c r="L479" s="12"/>
      <c r="M479" s="12" t="s">
        <v>733</v>
      </c>
    </row>
    <row r="480">
      <c r="C480" s="12"/>
      <c r="G480" s="17"/>
      <c r="I480" s="123"/>
      <c r="K480" s="12"/>
      <c r="L480" s="12"/>
      <c r="M480" s="12" t="s">
        <v>733</v>
      </c>
    </row>
    <row r="481">
      <c r="C481" s="12"/>
      <c r="G481" s="17"/>
      <c r="I481" s="123"/>
      <c r="K481" s="12"/>
      <c r="L481" s="12"/>
      <c r="M481" s="12" t="s">
        <v>733</v>
      </c>
    </row>
    <row r="482">
      <c r="C482" s="12"/>
      <c r="G482" s="17"/>
      <c r="I482" s="123"/>
      <c r="K482" s="12"/>
      <c r="L482" s="12"/>
      <c r="M482" s="12" t="s">
        <v>733</v>
      </c>
    </row>
    <row r="483">
      <c r="C483" s="12"/>
      <c r="G483" s="17"/>
      <c r="I483" s="123"/>
      <c r="K483" s="12"/>
      <c r="L483" s="12"/>
      <c r="M483" s="12" t="s">
        <v>733</v>
      </c>
    </row>
    <row r="484">
      <c r="C484" s="12"/>
      <c r="G484" s="17"/>
      <c r="I484" s="123"/>
      <c r="K484" s="12"/>
      <c r="L484" s="12"/>
      <c r="M484" s="12" t="s">
        <v>733</v>
      </c>
    </row>
    <row r="485">
      <c r="C485" s="12"/>
      <c r="G485" s="17"/>
      <c r="I485" s="123"/>
      <c r="K485" s="12"/>
      <c r="L485" s="12"/>
      <c r="M485" s="12" t="s">
        <v>733</v>
      </c>
    </row>
    <row r="486">
      <c r="C486" s="12"/>
      <c r="G486" s="17"/>
      <c r="I486" s="123"/>
      <c r="K486" s="12"/>
      <c r="L486" s="12"/>
      <c r="M486" s="12" t="s">
        <v>733</v>
      </c>
    </row>
    <row r="487">
      <c r="C487" s="12"/>
      <c r="G487" s="17"/>
      <c r="I487" s="123"/>
      <c r="K487" s="12"/>
      <c r="L487" s="12"/>
      <c r="M487" s="12" t="s">
        <v>733</v>
      </c>
    </row>
    <row r="488">
      <c r="C488" s="12"/>
      <c r="G488" s="17"/>
      <c r="I488" s="123"/>
      <c r="K488" s="12"/>
      <c r="L488" s="12"/>
      <c r="M488" s="12" t="s">
        <v>733</v>
      </c>
    </row>
    <row r="489">
      <c r="C489" s="12"/>
      <c r="G489" s="17"/>
      <c r="I489" s="123"/>
      <c r="K489" s="12"/>
      <c r="L489" s="12"/>
      <c r="M489" s="12" t="s">
        <v>733</v>
      </c>
    </row>
    <row r="490">
      <c r="C490" s="12"/>
      <c r="G490" s="17"/>
      <c r="I490" s="123"/>
      <c r="K490" s="12"/>
      <c r="L490" s="12"/>
      <c r="M490" s="12" t="s">
        <v>733</v>
      </c>
    </row>
    <row r="491">
      <c r="C491" s="12"/>
      <c r="G491" s="17"/>
      <c r="I491" s="123"/>
      <c r="K491" s="12"/>
      <c r="L491" s="12"/>
      <c r="M491" s="12" t="s">
        <v>733</v>
      </c>
    </row>
    <row r="492">
      <c r="C492" s="12"/>
      <c r="G492" s="17"/>
      <c r="I492" s="123"/>
      <c r="K492" s="12"/>
      <c r="L492" s="12"/>
      <c r="M492" s="12" t="s">
        <v>733</v>
      </c>
    </row>
    <row r="493">
      <c r="C493" s="12"/>
      <c r="G493" s="17"/>
      <c r="I493" s="123"/>
      <c r="K493" s="12"/>
      <c r="L493" s="12"/>
      <c r="M493" s="12" t="s">
        <v>733</v>
      </c>
    </row>
    <row r="494">
      <c r="C494" s="12"/>
      <c r="G494" s="17"/>
      <c r="I494" s="123"/>
      <c r="K494" s="12"/>
      <c r="L494" s="12"/>
      <c r="M494" s="12" t="s">
        <v>733</v>
      </c>
    </row>
    <row r="495">
      <c r="C495" s="12"/>
      <c r="G495" s="17"/>
      <c r="I495" s="123"/>
      <c r="K495" s="12"/>
      <c r="L495" s="12"/>
      <c r="M495" s="12" t="s">
        <v>733</v>
      </c>
    </row>
    <row r="496">
      <c r="C496" s="12"/>
      <c r="G496" s="17"/>
      <c r="I496" s="123"/>
      <c r="K496" s="12"/>
      <c r="L496" s="12"/>
      <c r="M496" s="12" t="s">
        <v>733</v>
      </c>
    </row>
    <row r="497">
      <c r="C497" s="12"/>
      <c r="G497" s="17"/>
      <c r="I497" s="123"/>
      <c r="K497" s="12"/>
      <c r="L497" s="12"/>
      <c r="M497" s="12" t="s">
        <v>733</v>
      </c>
    </row>
    <row r="498">
      <c r="C498" s="12"/>
      <c r="G498" s="17"/>
      <c r="I498" s="123"/>
      <c r="K498" s="12"/>
      <c r="L498" s="12"/>
      <c r="M498" s="12" t="s">
        <v>733</v>
      </c>
    </row>
    <row r="499">
      <c r="C499" s="12"/>
      <c r="G499" s="17"/>
      <c r="I499" s="123"/>
      <c r="K499" s="12"/>
      <c r="L499" s="12"/>
      <c r="M499" s="12" t="s">
        <v>733</v>
      </c>
    </row>
    <row r="500">
      <c r="C500" s="12"/>
      <c r="G500" s="17"/>
      <c r="I500" s="123"/>
      <c r="K500" s="12"/>
      <c r="L500" s="12"/>
      <c r="M500" s="12" t="s">
        <v>733</v>
      </c>
    </row>
    <row r="501">
      <c r="C501" s="12"/>
      <c r="G501" s="17"/>
      <c r="I501" s="123"/>
      <c r="K501" s="12"/>
      <c r="L501" s="12"/>
      <c r="M501" s="12" t="s">
        <v>733</v>
      </c>
    </row>
    <row r="502">
      <c r="C502" s="12"/>
      <c r="G502" s="17"/>
      <c r="I502" s="123"/>
      <c r="K502" s="12"/>
      <c r="L502" s="12"/>
      <c r="M502" s="12" t="s">
        <v>733</v>
      </c>
    </row>
    <row r="503">
      <c r="C503" s="12"/>
      <c r="G503" s="17"/>
      <c r="I503" s="123"/>
      <c r="K503" s="12"/>
      <c r="L503" s="12"/>
      <c r="M503" s="12" t="s">
        <v>733</v>
      </c>
    </row>
    <row r="504">
      <c r="C504" s="12"/>
      <c r="G504" s="17"/>
      <c r="I504" s="123"/>
      <c r="K504" s="12"/>
      <c r="L504" s="12"/>
      <c r="M504" s="12" t="s">
        <v>733</v>
      </c>
    </row>
    <row r="505">
      <c r="C505" s="12"/>
      <c r="G505" s="17"/>
      <c r="I505" s="123"/>
      <c r="K505" s="12"/>
      <c r="L505" s="12"/>
      <c r="M505" s="12" t="s">
        <v>733</v>
      </c>
    </row>
    <row r="506">
      <c r="C506" s="12"/>
      <c r="G506" s="17"/>
      <c r="I506" s="123"/>
      <c r="K506" s="12"/>
      <c r="L506" s="12"/>
      <c r="M506" s="12" t="s">
        <v>733</v>
      </c>
    </row>
    <row r="507">
      <c r="C507" s="12"/>
      <c r="G507" s="17"/>
      <c r="I507" s="123"/>
      <c r="K507" s="12"/>
      <c r="L507" s="12"/>
      <c r="M507" s="12" t="s">
        <v>733</v>
      </c>
    </row>
    <row r="508">
      <c r="C508" s="12"/>
      <c r="G508" s="17"/>
      <c r="I508" s="123"/>
      <c r="K508" s="12"/>
      <c r="L508" s="12"/>
      <c r="M508" s="12" t="s">
        <v>733</v>
      </c>
    </row>
    <row r="509">
      <c r="C509" s="12"/>
      <c r="G509" s="17"/>
      <c r="I509" s="123"/>
      <c r="K509" s="12"/>
      <c r="L509" s="12"/>
      <c r="M509" s="12" t="s">
        <v>733</v>
      </c>
    </row>
    <row r="510">
      <c r="C510" s="12"/>
      <c r="G510" s="17"/>
      <c r="I510" s="123"/>
      <c r="K510" s="12"/>
      <c r="L510" s="12"/>
      <c r="M510" s="12" t="s">
        <v>733</v>
      </c>
    </row>
    <row r="511">
      <c r="C511" s="12"/>
      <c r="G511" s="17"/>
      <c r="I511" s="123"/>
      <c r="K511" s="12"/>
      <c r="L511" s="12"/>
      <c r="M511" s="12" t="s">
        <v>733</v>
      </c>
    </row>
    <row r="512">
      <c r="C512" s="12"/>
      <c r="G512" s="17"/>
      <c r="I512" s="123"/>
      <c r="K512" s="12"/>
      <c r="L512" s="12"/>
      <c r="M512" s="12" t="s">
        <v>733</v>
      </c>
    </row>
    <row r="513">
      <c r="C513" s="12"/>
      <c r="G513" s="17"/>
      <c r="I513" s="123"/>
      <c r="K513" s="12"/>
      <c r="L513" s="12"/>
      <c r="M513" s="12" t="s">
        <v>733</v>
      </c>
    </row>
    <row r="514">
      <c r="C514" s="12"/>
      <c r="G514" s="17"/>
      <c r="I514" s="123"/>
      <c r="K514" s="12"/>
      <c r="L514" s="12"/>
      <c r="M514" s="12" t="s">
        <v>733</v>
      </c>
    </row>
    <row r="515">
      <c r="C515" s="12"/>
      <c r="G515" s="17"/>
      <c r="I515" s="123"/>
      <c r="K515" s="12"/>
      <c r="L515" s="12"/>
      <c r="M515" s="12" t="s">
        <v>733</v>
      </c>
    </row>
    <row r="516">
      <c r="C516" s="12"/>
      <c r="G516" s="17"/>
      <c r="I516" s="123"/>
      <c r="K516" s="12"/>
      <c r="L516" s="12"/>
      <c r="M516" s="12" t="s">
        <v>733</v>
      </c>
    </row>
    <row r="517">
      <c r="C517" s="12"/>
      <c r="G517" s="17"/>
      <c r="I517" s="123"/>
      <c r="K517" s="12"/>
      <c r="L517" s="12"/>
      <c r="M517" s="12" t="s">
        <v>733</v>
      </c>
    </row>
    <row r="518">
      <c r="C518" s="12"/>
      <c r="G518" s="17"/>
      <c r="I518" s="123"/>
      <c r="K518" s="12"/>
      <c r="L518" s="12"/>
      <c r="M518" s="12" t="s">
        <v>733</v>
      </c>
    </row>
    <row r="519">
      <c r="C519" s="12"/>
      <c r="G519" s="17"/>
      <c r="I519" s="123"/>
      <c r="K519" s="12"/>
      <c r="L519" s="12"/>
      <c r="M519" s="12" t="s">
        <v>733</v>
      </c>
    </row>
    <row r="520">
      <c r="C520" s="12"/>
      <c r="G520" s="17"/>
      <c r="I520" s="123"/>
      <c r="K520" s="12"/>
      <c r="L520" s="12"/>
      <c r="M520" s="12" t="s">
        <v>733</v>
      </c>
    </row>
    <row r="521">
      <c r="C521" s="12"/>
      <c r="G521" s="17"/>
      <c r="I521" s="123"/>
      <c r="K521" s="12"/>
      <c r="L521" s="12"/>
      <c r="M521" s="12" t="s">
        <v>733</v>
      </c>
    </row>
    <row r="522">
      <c r="C522" s="12"/>
      <c r="G522" s="17"/>
      <c r="I522" s="123"/>
      <c r="K522" s="12"/>
      <c r="L522" s="12"/>
      <c r="M522" s="12" t="s">
        <v>733</v>
      </c>
    </row>
    <row r="523">
      <c r="C523" s="12"/>
      <c r="G523" s="17"/>
      <c r="I523" s="123"/>
      <c r="K523" s="12"/>
      <c r="L523" s="12"/>
      <c r="M523" s="12" t="s">
        <v>733</v>
      </c>
    </row>
    <row r="524">
      <c r="C524" s="12"/>
      <c r="G524" s="17"/>
      <c r="I524" s="123"/>
      <c r="K524" s="12"/>
      <c r="L524" s="12"/>
      <c r="M524" s="12" t="s">
        <v>733</v>
      </c>
    </row>
    <row r="525">
      <c r="C525" s="12"/>
      <c r="G525" s="17"/>
      <c r="I525" s="123"/>
      <c r="K525" s="12"/>
      <c r="L525" s="12"/>
      <c r="M525" s="12" t="s">
        <v>733</v>
      </c>
    </row>
    <row r="526">
      <c r="C526" s="12"/>
      <c r="G526" s="17"/>
      <c r="I526" s="123"/>
      <c r="K526" s="12"/>
      <c r="L526" s="12"/>
      <c r="M526" s="12" t="s">
        <v>733</v>
      </c>
    </row>
    <row r="527">
      <c r="C527" s="12"/>
      <c r="G527" s="17"/>
      <c r="I527" s="123"/>
      <c r="K527" s="12"/>
      <c r="L527" s="12"/>
      <c r="M527" s="12" t="s">
        <v>733</v>
      </c>
    </row>
    <row r="528">
      <c r="C528" s="12"/>
      <c r="G528" s="17"/>
      <c r="I528" s="123"/>
      <c r="K528" s="12"/>
      <c r="L528" s="12"/>
      <c r="M528" s="12" t="s">
        <v>733</v>
      </c>
    </row>
    <row r="529">
      <c r="C529" s="12"/>
      <c r="G529" s="17"/>
      <c r="I529" s="123"/>
      <c r="K529" s="12"/>
      <c r="L529" s="12"/>
      <c r="M529" s="12" t="s">
        <v>733</v>
      </c>
    </row>
    <row r="530">
      <c r="C530" s="12"/>
      <c r="G530" s="17"/>
      <c r="I530" s="123"/>
      <c r="K530" s="12"/>
      <c r="L530" s="12"/>
      <c r="M530" s="12" t="s">
        <v>733</v>
      </c>
    </row>
    <row r="531">
      <c r="C531" s="12"/>
      <c r="G531" s="17"/>
      <c r="I531" s="123"/>
      <c r="K531" s="12"/>
      <c r="L531" s="12"/>
      <c r="M531" s="12" t="s">
        <v>733</v>
      </c>
    </row>
    <row r="532">
      <c r="C532" s="12"/>
      <c r="G532" s="17"/>
      <c r="I532" s="123"/>
      <c r="K532" s="12"/>
      <c r="L532" s="12"/>
      <c r="M532" s="12" t="s">
        <v>733</v>
      </c>
    </row>
    <row r="533">
      <c r="C533" s="12"/>
      <c r="G533" s="17"/>
      <c r="I533" s="123"/>
      <c r="K533" s="12"/>
      <c r="L533" s="12"/>
      <c r="M533" s="12" t="s">
        <v>733</v>
      </c>
    </row>
    <row r="534">
      <c r="C534" s="12"/>
      <c r="G534" s="17"/>
      <c r="I534" s="123"/>
      <c r="K534" s="12"/>
      <c r="L534" s="12"/>
      <c r="M534" s="12" t="s">
        <v>733</v>
      </c>
    </row>
    <row r="535">
      <c r="C535" s="12"/>
      <c r="G535" s="17"/>
      <c r="I535" s="123"/>
      <c r="K535" s="12"/>
      <c r="L535" s="12"/>
      <c r="M535" s="12" t="s">
        <v>733</v>
      </c>
    </row>
    <row r="536">
      <c r="C536" s="12"/>
      <c r="G536" s="17"/>
      <c r="I536" s="123"/>
      <c r="K536" s="12"/>
      <c r="L536" s="12"/>
      <c r="M536" s="12" t="s">
        <v>733</v>
      </c>
    </row>
    <row r="537">
      <c r="C537" s="12"/>
      <c r="G537" s="17"/>
      <c r="I537" s="123"/>
      <c r="K537" s="12"/>
      <c r="L537" s="12"/>
      <c r="M537" s="12" t="s">
        <v>733</v>
      </c>
    </row>
    <row r="538">
      <c r="C538" s="12"/>
      <c r="G538" s="17"/>
      <c r="I538" s="123"/>
      <c r="K538" s="12"/>
      <c r="L538" s="12"/>
      <c r="M538" s="12" t="s">
        <v>733</v>
      </c>
    </row>
    <row r="539">
      <c r="C539" s="12"/>
      <c r="G539" s="17"/>
      <c r="I539" s="123"/>
      <c r="K539" s="12"/>
      <c r="L539" s="12"/>
      <c r="M539" s="12" t="s">
        <v>733</v>
      </c>
    </row>
    <row r="540">
      <c r="C540" s="12"/>
      <c r="G540" s="17"/>
      <c r="I540" s="123"/>
      <c r="K540" s="12"/>
      <c r="L540" s="12"/>
      <c r="M540" s="12" t="s">
        <v>733</v>
      </c>
    </row>
    <row r="541">
      <c r="C541" s="12"/>
      <c r="G541" s="17"/>
      <c r="I541" s="123"/>
      <c r="K541" s="12"/>
      <c r="L541" s="12"/>
      <c r="M541" s="12" t="s">
        <v>733</v>
      </c>
    </row>
    <row r="542">
      <c r="C542" s="12"/>
      <c r="G542" s="17"/>
      <c r="I542" s="123"/>
      <c r="K542" s="12"/>
      <c r="L542" s="12"/>
      <c r="M542" s="12" t="s">
        <v>733</v>
      </c>
    </row>
    <row r="543">
      <c r="C543" s="12"/>
      <c r="G543" s="17"/>
      <c r="I543" s="123"/>
      <c r="K543" s="12"/>
      <c r="L543" s="12"/>
      <c r="M543" s="12" t="s">
        <v>733</v>
      </c>
    </row>
    <row r="544">
      <c r="C544" s="12"/>
      <c r="G544" s="17"/>
      <c r="I544" s="123"/>
      <c r="K544" s="12"/>
      <c r="L544" s="12"/>
      <c r="M544" s="12" t="s">
        <v>733</v>
      </c>
    </row>
    <row r="545">
      <c r="C545" s="12"/>
      <c r="G545" s="17"/>
      <c r="I545" s="123"/>
      <c r="K545" s="12"/>
      <c r="L545" s="12"/>
      <c r="M545" s="12" t="s">
        <v>733</v>
      </c>
    </row>
    <row r="546">
      <c r="C546" s="12"/>
      <c r="G546" s="17"/>
      <c r="I546" s="123"/>
      <c r="K546" s="12"/>
      <c r="L546" s="12"/>
      <c r="M546" s="12" t="s">
        <v>733</v>
      </c>
    </row>
    <row r="547">
      <c r="C547" s="12"/>
      <c r="G547" s="17"/>
      <c r="I547" s="123"/>
      <c r="K547" s="12"/>
      <c r="L547" s="12"/>
      <c r="M547" s="12" t="s">
        <v>733</v>
      </c>
    </row>
    <row r="548">
      <c r="C548" s="12"/>
      <c r="G548" s="17"/>
      <c r="I548" s="123"/>
      <c r="K548" s="12"/>
      <c r="L548" s="12"/>
      <c r="M548" s="12" t="s">
        <v>733</v>
      </c>
    </row>
    <row r="549">
      <c r="C549" s="12"/>
      <c r="G549" s="17"/>
      <c r="I549" s="123"/>
      <c r="K549" s="12"/>
      <c r="L549" s="12"/>
      <c r="M549" s="12" t="s">
        <v>733</v>
      </c>
    </row>
    <row r="550">
      <c r="C550" s="12"/>
      <c r="G550" s="17"/>
      <c r="I550" s="123"/>
      <c r="K550" s="12"/>
      <c r="L550" s="12"/>
      <c r="M550" s="12" t="s">
        <v>733</v>
      </c>
    </row>
    <row r="551">
      <c r="C551" s="12"/>
      <c r="G551" s="17"/>
      <c r="I551" s="123"/>
      <c r="K551" s="12"/>
      <c r="L551" s="12"/>
      <c r="M551" s="12" t="s">
        <v>733</v>
      </c>
    </row>
    <row r="552">
      <c r="C552" s="12"/>
      <c r="G552" s="17"/>
      <c r="I552" s="123"/>
      <c r="K552" s="12"/>
      <c r="L552" s="12"/>
      <c r="M552" s="12" t="s">
        <v>733</v>
      </c>
    </row>
    <row r="553">
      <c r="C553" s="12"/>
      <c r="G553" s="17"/>
      <c r="I553" s="123"/>
      <c r="K553" s="12"/>
      <c r="L553" s="12"/>
      <c r="M553" s="12" t="s">
        <v>733</v>
      </c>
    </row>
    <row r="554">
      <c r="C554" s="12"/>
      <c r="G554" s="17"/>
      <c r="I554" s="123"/>
      <c r="K554" s="12"/>
      <c r="L554" s="12"/>
      <c r="M554" s="12" t="s">
        <v>733</v>
      </c>
    </row>
    <row r="555">
      <c r="C555" s="12"/>
      <c r="G555" s="17"/>
      <c r="I555" s="123"/>
      <c r="K555" s="12"/>
      <c r="L555" s="12"/>
      <c r="M555" s="12" t="s">
        <v>733</v>
      </c>
    </row>
    <row r="556">
      <c r="C556" s="12"/>
      <c r="G556" s="17"/>
      <c r="I556" s="123"/>
      <c r="K556" s="12"/>
      <c r="L556" s="12"/>
      <c r="M556" s="12" t="s">
        <v>733</v>
      </c>
    </row>
    <row r="557">
      <c r="C557" s="12"/>
      <c r="G557" s="17"/>
      <c r="I557" s="123"/>
      <c r="K557" s="12"/>
      <c r="L557" s="12"/>
      <c r="M557" s="12" t="s">
        <v>733</v>
      </c>
    </row>
    <row r="558">
      <c r="C558" s="12"/>
      <c r="G558" s="17"/>
      <c r="I558" s="123"/>
      <c r="K558" s="12"/>
      <c r="L558" s="12"/>
      <c r="M558" s="12" t="s">
        <v>733</v>
      </c>
    </row>
    <row r="559">
      <c r="C559" s="12"/>
      <c r="G559" s="17"/>
      <c r="I559" s="123"/>
      <c r="K559" s="12"/>
      <c r="L559" s="12"/>
      <c r="M559" s="12" t="s">
        <v>733</v>
      </c>
    </row>
    <row r="560">
      <c r="C560" s="12"/>
      <c r="G560" s="17"/>
      <c r="I560" s="123"/>
      <c r="K560" s="12"/>
      <c r="L560" s="12"/>
      <c r="M560" s="12" t="s">
        <v>733</v>
      </c>
    </row>
    <row r="561">
      <c r="C561" s="12"/>
      <c r="G561" s="17"/>
      <c r="I561" s="123"/>
      <c r="K561" s="12"/>
      <c r="L561" s="12"/>
      <c r="M561" s="12" t="s">
        <v>733</v>
      </c>
    </row>
    <row r="562">
      <c r="C562" s="12"/>
      <c r="G562" s="17"/>
      <c r="I562" s="123"/>
      <c r="K562" s="12"/>
      <c r="L562" s="12"/>
      <c r="M562" s="12" t="s">
        <v>733</v>
      </c>
    </row>
    <row r="563">
      <c r="C563" s="12"/>
      <c r="G563" s="17"/>
      <c r="I563" s="123"/>
      <c r="K563" s="12"/>
      <c r="L563" s="12"/>
      <c r="M563" s="12" t="s">
        <v>733</v>
      </c>
    </row>
    <row r="564">
      <c r="C564" s="12"/>
      <c r="G564" s="17"/>
      <c r="I564" s="123"/>
      <c r="K564" s="12"/>
      <c r="L564" s="12"/>
      <c r="M564" s="12" t="s">
        <v>733</v>
      </c>
    </row>
    <row r="565">
      <c r="C565" s="12"/>
      <c r="G565" s="17"/>
      <c r="I565" s="123"/>
      <c r="K565" s="12"/>
      <c r="L565" s="12"/>
      <c r="M565" s="12" t="s">
        <v>733</v>
      </c>
    </row>
    <row r="566">
      <c r="C566" s="12"/>
      <c r="G566" s="17"/>
      <c r="I566" s="123"/>
      <c r="K566" s="12"/>
      <c r="L566" s="12"/>
      <c r="M566" s="12" t="s">
        <v>733</v>
      </c>
    </row>
    <row r="567">
      <c r="C567" s="12"/>
      <c r="G567" s="17"/>
      <c r="I567" s="123"/>
      <c r="K567" s="12"/>
      <c r="L567" s="12"/>
      <c r="M567" s="12" t="s">
        <v>733</v>
      </c>
    </row>
    <row r="568">
      <c r="C568" s="12"/>
      <c r="G568" s="17"/>
      <c r="I568" s="123"/>
      <c r="K568" s="12"/>
      <c r="L568" s="12"/>
      <c r="M568" s="12" t="s">
        <v>733</v>
      </c>
    </row>
    <row r="569">
      <c r="C569" s="12"/>
      <c r="G569" s="17"/>
      <c r="I569" s="123"/>
      <c r="K569" s="12"/>
      <c r="L569" s="12"/>
      <c r="M569" s="12" t="s">
        <v>733</v>
      </c>
    </row>
    <row r="570">
      <c r="C570" s="12"/>
      <c r="G570" s="17"/>
      <c r="I570" s="123"/>
      <c r="K570" s="12"/>
      <c r="L570" s="12"/>
      <c r="M570" s="12" t="s">
        <v>733</v>
      </c>
    </row>
    <row r="571">
      <c r="C571" s="12"/>
      <c r="G571" s="17"/>
      <c r="I571" s="123"/>
      <c r="K571" s="12"/>
      <c r="L571" s="12"/>
      <c r="M571" s="12" t="s">
        <v>733</v>
      </c>
    </row>
    <row r="572">
      <c r="C572" s="12"/>
      <c r="G572" s="17"/>
      <c r="I572" s="123"/>
      <c r="K572" s="12"/>
      <c r="L572" s="12"/>
      <c r="M572" s="12" t="s">
        <v>733</v>
      </c>
    </row>
    <row r="573">
      <c r="C573" s="12"/>
      <c r="G573" s="17"/>
      <c r="I573" s="123"/>
      <c r="K573" s="12"/>
      <c r="L573" s="12"/>
      <c r="M573" s="12" t="s">
        <v>733</v>
      </c>
    </row>
    <row r="574">
      <c r="C574" s="12"/>
      <c r="G574" s="17"/>
      <c r="I574" s="123"/>
      <c r="K574" s="12"/>
      <c r="L574" s="12"/>
      <c r="M574" s="12" t="s">
        <v>733</v>
      </c>
    </row>
    <row r="575">
      <c r="C575" s="12"/>
      <c r="G575" s="17"/>
      <c r="I575" s="123"/>
      <c r="K575" s="12"/>
      <c r="L575" s="12"/>
      <c r="M575" s="12" t="s">
        <v>733</v>
      </c>
    </row>
    <row r="576">
      <c r="C576" s="12"/>
      <c r="G576" s="17"/>
      <c r="I576" s="123"/>
      <c r="K576" s="12"/>
      <c r="L576" s="12"/>
      <c r="M576" s="12" t="s">
        <v>733</v>
      </c>
    </row>
    <row r="577">
      <c r="C577" s="12"/>
      <c r="G577" s="17"/>
      <c r="I577" s="123"/>
      <c r="K577" s="12"/>
      <c r="L577" s="12"/>
      <c r="M577" s="12" t="s">
        <v>733</v>
      </c>
    </row>
    <row r="578">
      <c r="C578" s="12"/>
      <c r="G578" s="17"/>
      <c r="I578" s="123"/>
      <c r="K578" s="12"/>
      <c r="L578" s="12"/>
      <c r="M578" s="12" t="s">
        <v>733</v>
      </c>
    </row>
    <row r="579">
      <c r="C579" s="12"/>
      <c r="G579" s="17"/>
      <c r="I579" s="123"/>
      <c r="K579" s="12"/>
      <c r="L579" s="12"/>
      <c r="M579" s="12" t="s">
        <v>733</v>
      </c>
    </row>
    <row r="580">
      <c r="C580" s="12"/>
      <c r="G580" s="17"/>
      <c r="I580" s="123"/>
      <c r="K580" s="12"/>
      <c r="L580" s="12"/>
      <c r="M580" s="12" t="s">
        <v>733</v>
      </c>
    </row>
    <row r="581">
      <c r="C581" s="12"/>
      <c r="G581" s="17"/>
      <c r="I581" s="123"/>
      <c r="K581" s="12"/>
      <c r="L581" s="12"/>
      <c r="M581" s="12" t="s">
        <v>733</v>
      </c>
    </row>
    <row r="582">
      <c r="C582" s="12"/>
      <c r="G582" s="17"/>
      <c r="I582" s="123"/>
      <c r="K582" s="12"/>
      <c r="L582" s="12"/>
      <c r="M582" s="12" t="s">
        <v>733</v>
      </c>
    </row>
    <row r="583">
      <c r="C583" s="12"/>
      <c r="G583" s="17"/>
      <c r="I583" s="123"/>
      <c r="K583" s="12"/>
      <c r="L583" s="12"/>
      <c r="M583" s="12" t="s">
        <v>733</v>
      </c>
    </row>
    <row r="584">
      <c r="C584" s="12"/>
      <c r="G584" s="17"/>
      <c r="I584" s="123"/>
      <c r="K584" s="12"/>
      <c r="L584" s="12"/>
      <c r="M584" s="12" t="s">
        <v>733</v>
      </c>
    </row>
    <row r="585">
      <c r="C585" s="12"/>
      <c r="G585" s="17"/>
      <c r="I585" s="123"/>
      <c r="K585" s="12"/>
      <c r="L585" s="12"/>
      <c r="M585" s="12" t="s">
        <v>733</v>
      </c>
    </row>
    <row r="586">
      <c r="C586" s="12"/>
      <c r="G586" s="17"/>
      <c r="I586" s="123"/>
      <c r="K586" s="12"/>
      <c r="L586" s="12"/>
      <c r="M586" s="12" t="s">
        <v>733</v>
      </c>
    </row>
    <row r="587">
      <c r="C587" s="12"/>
      <c r="G587" s="17"/>
      <c r="I587" s="123"/>
      <c r="K587" s="12"/>
      <c r="L587" s="12"/>
      <c r="M587" s="12" t="s">
        <v>733</v>
      </c>
    </row>
    <row r="588">
      <c r="C588" s="12"/>
      <c r="G588" s="17"/>
      <c r="I588" s="123"/>
      <c r="K588" s="12"/>
      <c r="L588" s="12"/>
      <c r="M588" s="12" t="s">
        <v>733</v>
      </c>
    </row>
    <row r="589">
      <c r="C589" s="12"/>
      <c r="G589" s="17"/>
      <c r="I589" s="123"/>
      <c r="K589" s="12"/>
      <c r="L589" s="12"/>
      <c r="M589" s="12" t="s">
        <v>733</v>
      </c>
    </row>
    <row r="590">
      <c r="C590" s="12"/>
      <c r="G590" s="17"/>
      <c r="I590" s="123"/>
      <c r="K590" s="12"/>
      <c r="L590" s="12"/>
      <c r="M590" s="12" t="s">
        <v>733</v>
      </c>
    </row>
    <row r="591">
      <c r="C591" s="12"/>
      <c r="G591" s="17"/>
      <c r="I591" s="123"/>
      <c r="K591" s="12"/>
      <c r="L591" s="12"/>
      <c r="M591" s="12" t="s">
        <v>733</v>
      </c>
    </row>
    <row r="592">
      <c r="C592" s="12"/>
      <c r="G592" s="17"/>
      <c r="I592" s="123"/>
      <c r="K592" s="12"/>
      <c r="L592" s="12"/>
      <c r="M592" s="12" t="s">
        <v>733</v>
      </c>
    </row>
    <row r="593">
      <c r="C593" s="12"/>
      <c r="G593" s="17"/>
      <c r="I593" s="123"/>
      <c r="K593" s="12"/>
      <c r="L593" s="12"/>
      <c r="M593" s="12" t="s">
        <v>733</v>
      </c>
    </row>
    <row r="594">
      <c r="C594" s="12"/>
      <c r="G594" s="17"/>
      <c r="I594" s="123"/>
      <c r="K594" s="12"/>
      <c r="L594" s="12"/>
      <c r="M594" s="12" t="s">
        <v>733</v>
      </c>
    </row>
    <row r="595">
      <c r="C595" s="12"/>
      <c r="G595" s="17"/>
      <c r="I595" s="123"/>
      <c r="K595" s="12"/>
      <c r="L595" s="12"/>
      <c r="M595" s="12" t="s">
        <v>733</v>
      </c>
    </row>
    <row r="596">
      <c r="C596" s="12"/>
      <c r="G596" s="17"/>
      <c r="I596" s="123"/>
      <c r="K596" s="12"/>
      <c r="L596" s="12"/>
      <c r="M596" s="12" t="s">
        <v>733</v>
      </c>
    </row>
    <row r="597">
      <c r="C597" s="12"/>
      <c r="G597" s="17"/>
      <c r="I597" s="123"/>
      <c r="K597" s="12"/>
      <c r="L597" s="12"/>
      <c r="M597" s="12" t="s">
        <v>733</v>
      </c>
    </row>
    <row r="598">
      <c r="C598" s="12"/>
      <c r="G598" s="17"/>
      <c r="I598" s="123"/>
      <c r="K598" s="12"/>
      <c r="L598" s="12"/>
      <c r="M598" s="12" t="s">
        <v>733</v>
      </c>
    </row>
    <row r="599">
      <c r="C599" s="12"/>
      <c r="G599" s="17"/>
      <c r="I599" s="123"/>
      <c r="K599" s="12"/>
      <c r="L599" s="12"/>
      <c r="M599" s="12" t="s">
        <v>733</v>
      </c>
    </row>
    <row r="600">
      <c r="C600" s="12"/>
      <c r="G600" s="17"/>
      <c r="I600" s="123"/>
      <c r="K600" s="12"/>
      <c r="L600" s="12"/>
      <c r="M600" s="12" t="s">
        <v>733</v>
      </c>
    </row>
    <row r="601">
      <c r="C601" s="12"/>
      <c r="G601" s="17"/>
      <c r="I601" s="123"/>
      <c r="K601" s="12"/>
      <c r="L601" s="12"/>
      <c r="M601" s="12" t="s">
        <v>733</v>
      </c>
    </row>
    <row r="602">
      <c r="C602" s="12"/>
      <c r="G602" s="17"/>
      <c r="I602" s="123"/>
      <c r="K602" s="12"/>
      <c r="L602" s="12"/>
      <c r="M602" s="12" t="s">
        <v>733</v>
      </c>
    </row>
    <row r="603">
      <c r="C603" s="12"/>
      <c r="G603" s="17"/>
      <c r="I603" s="123"/>
      <c r="K603" s="12"/>
      <c r="L603" s="12"/>
      <c r="M603" s="12" t="s">
        <v>733</v>
      </c>
    </row>
    <row r="604">
      <c r="C604" s="12"/>
      <c r="G604" s="17"/>
      <c r="I604" s="123"/>
      <c r="K604" s="12"/>
      <c r="L604" s="12"/>
      <c r="M604" s="12" t="s">
        <v>733</v>
      </c>
    </row>
    <row r="605">
      <c r="C605" s="12"/>
      <c r="G605" s="17"/>
      <c r="I605" s="123"/>
      <c r="K605" s="12"/>
      <c r="L605" s="12"/>
      <c r="M605" s="12" t="s">
        <v>733</v>
      </c>
    </row>
    <row r="606">
      <c r="C606" s="12"/>
      <c r="G606" s="17"/>
      <c r="I606" s="123"/>
      <c r="K606" s="12"/>
      <c r="L606" s="12"/>
      <c r="M606" s="12" t="s">
        <v>733</v>
      </c>
    </row>
    <row r="607">
      <c r="C607" s="12"/>
      <c r="G607" s="17"/>
      <c r="I607" s="123"/>
      <c r="K607" s="12"/>
      <c r="L607" s="12"/>
      <c r="M607" s="12" t="s">
        <v>733</v>
      </c>
    </row>
    <row r="608">
      <c r="C608" s="12"/>
      <c r="G608" s="17"/>
      <c r="I608" s="123"/>
      <c r="K608" s="12"/>
      <c r="L608" s="12"/>
      <c r="M608" s="12" t="s">
        <v>733</v>
      </c>
    </row>
    <row r="609">
      <c r="C609" s="12"/>
      <c r="G609" s="17"/>
      <c r="I609" s="123"/>
      <c r="K609" s="12"/>
      <c r="L609" s="12"/>
      <c r="M609" s="12" t="s">
        <v>733</v>
      </c>
    </row>
    <row r="610">
      <c r="C610" s="12"/>
      <c r="G610" s="17"/>
      <c r="I610" s="123"/>
      <c r="K610" s="12"/>
      <c r="L610" s="12"/>
      <c r="M610" s="12" t="s">
        <v>733</v>
      </c>
    </row>
    <row r="611">
      <c r="C611" s="12"/>
      <c r="G611" s="17"/>
      <c r="I611" s="123"/>
      <c r="K611" s="12"/>
      <c r="L611" s="12"/>
      <c r="M611" s="12" t="s">
        <v>733</v>
      </c>
    </row>
    <row r="612">
      <c r="C612" s="12"/>
      <c r="G612" s="17"/>
      <c r="I612" s="123"/>
      <c r="K612" s="12"/>
      <c r="L612" s="12"/>
      <c r="M612" s="12" t="s">
        <v>733</v>
      </c>
    </row>
    <row r="613">
      <c r="C613" s="12"/>
      <c r="G613" s="17"/>
      <c r="I613" s="123"/>
      <c r="K613" s="12"/>
      <c r="L613" s="12"/>
      <c r="M613" s="12" t="s">
        <v>733</v>
      </c>
    </row>
    <row r="614">
      <c r="C614" s="12"/>
      <c r="G614" s="17"/>
      <c r="I614" s="123"/>
      <c r="K614" s="12"/>
      <c r="L614" s="12"/>
      <c r="M614" s="12" t="s">
        <v>733</v>
      </c>
    </row>
    <row r="615">
      <c r="C615" s="12"/>
      <c r="G615" s="17"/>
      <c r="I615" s="123"/>
      <c r="K615" s="12"/>
      <c r="L615" s="12"/>
      <c r="M615" s="12" t="s">
        <v>733</v>
      </c>
    </row>
    <row r="616">
      <c r="C616" s="12"/>
      <c r="G616" s="17"/>
      <c r="I616" s="123"/>
      <c r="K616" s="12"/>
      <c r="L616" s="12"/>
      <c r="M616" s="12" t="s">
        <v>733</v>
      </c>
    </row>
    <row r="617">
      <c r="C617" s="12"/>
      <c r="G617" s="17"/>
      <c r="I617" s="123"/>
      <c r="K617" s="12"/>
      <c r="L617" s="12"/>
      <c r="M617" s="12" t="s">
        <v>733</v>
      </c>
    </row>
    <row r="618">
      <c r="C618" s="12"/>
      <c r="G618" s="17"/>
      <c r="I618" s="123"/>
      <c r="K618" s="12"/>
      <c r="L618" s="12"/>
      <c r="M618" s="12" t="s">
        <v>733</v>
      </c>
    </row>
    <row r="619">
      <c r="C619" s="12"/>
      <c r="G619" s="17"/>
      <c r="I619" s="123"/>
      <c r="K619" s="12"/>
      <c r="L619" s="12"/>
      <c r="M619" s="12" t="s">
        <v>733</v>
      </c>
    </row>
    <row r="620">
      <c r="C620" s="12"/>
      <c r="G620" s="17"/>
      <c r="I620" s="123"/>
      <c r="K620" s="12"/>
      <c r="L620" s="12"/>
      <c r="M620" s="12" t="s">
        <v>733</v>
      </c>
    </row>
    <row r="621">
      <c r="C621" s="12"/>
      <c r="G621" s="17"/>
      <c r="I621" s="123"/>
      <c r="K621" s="12"/>
      <c r="L621" s="12"/>
      <c r="M621" s="12" t="s">
        <v>733</v>
      </c>
    </row>
    <row r="622">
      <c r="C622" s="12"/>
      <c r="G622" s="17"/>
      <c r="I622" s="123"/>
      <c r="K622" s="12"/>
      <c r="L622" s="12"/>
      <c r="M622" s="12" t="s">
        <v>733</v>
      </c>
    </row>
    <row r="623">
      <c r="C623" s="12"/>
      <c r="G623" s="17"/>
      <c r="I623" s="123"/>
      <c r="K623" s="12"/>
      <c r="L623" s="12"/>
      <c r="M623" s="12" t="s">
        <v>733</v>
      </c>
    </row>
    <row r="624">
      <c r="C624" s="12"/>
      <c r="G624" s="17"/>
      <c r="I624" s="123"/>
      <c r="K624" s="12"/>
      <c r="L624" s="12"/>
      <c r="M624" s="12" t="s">
        <v>733</v>
      </c>
    </row>
    <row r="625">
      <c r="C625" s="12"/>
      <c r="G625" s="17"/>
      <c r="I625" s="123"/>
      <c r="K625" s="12"/>
      <c r="L625" s="12"/>
      <c r="M625" s="12" t="s">
        <v>733</v>
      </c>
    </row>
    <row r="626">
      <c r="C626" s="12"/>
      <c r="G626" s="17"/>
      <c r="I626" s="123"/>
      <c r="K626" s="12"/>
      <c r="L626" s="12"/>
      <c r="M626" s="12" t="s">
        <v>733</v>
      </c>
    </row>
    <row r="627">
      <c r="C627" s="12"/>
      <c r="G627" s="17"/>
      <c r="I627" s="123"/>
      <c r="K627" s="12"/>
      <c r="L627" s="12"/>
      <c r="M627" s="12" t="s">
        <v>733</v>
      </c>
    </row>
    <row r="628">
      <c r="C628" s="12"/>
      <c r="G628" s="17"/>
      <c r="I628" s="123"/>
      <c r="K628" s="12"/>
      <c r="L628" s="12"/>
      <c r="M628" s="12" t="s">
        <v>733</v>
      </c>
    </row>
    <row r="629">
      <c r="C629" s="12"/>
      <c r="G629" s="17"/>
      <c r="I629" s="123"/>
      <c r="K629" s="12"/>
      <c r="L629" s="12"/>
      <c r="M629" s="12" t="s">
        <v>733</v>
      </c>
    </row>
    <row r="630">
      <c r="C630" s="12"/>
      <c r="G630" s="17"/>
      <c r="I630" s="123"/>
      <c r="K630" s="12"/>
      <c r="L630" s="12"/>
      <c r="M630" s="12" t="s">
        <v>733</v>
      </c>
    </row>
    <row r="631">
      <c r="C631" s="12"/>
      <c r="G631" s="17"/>
      <c r="I631" s="123"/>
      <c r="K631" s="12"/>
      <c r="L631" s="12"/>
      <c r="M631" s="12" t="s">
        <v>733</v>
      </c>
    </row>
    <row r="632">
      <c r="C632" s="12"/>
      <c r="G632" s="17"/>
      <c r="I632" s="123"/>
      <c r="K632" s="12"/>
      <c r="L632" s="12"/>
      <c r="M632" s="12" t="s">
        <v>733</v>
      </c>
    </row>
    <row r="633">
      <c r="C633" s="12"/>
      <c r="G633" s="17"/>
      <c r="I633" s="123"/>
      <c r="K633" s="12"/>
      <c r="L633" s="12"/>
      <c r="M633" s="12" t="s">
        <v>733</v>
      </c>
    </row>
    <row r="634">
      <c r="C634" s="12"/>
      <c r="G634" s="17"/>
      <c r="I634" s="123"/>
      <c r="K634" s="12"/>
      <c r="L634" s="12"/>
      <c r="M634" s="12" t="s">
        <v>733</v>
      </c>
    </row>
    <row r="635">
      <c r="C635" s="12"/>
      <c r="G635" s="17"/>
      <c r="I635" s="123"/>
      <c r="K635" s="12"/>
      <c r="L635" s="12"/>
      <c r="M635" s="12" t="s">
        <v>733</v>
      </c>
    </row>
    <row r="636">
      <c r="C636" s="12"/>
      <c r="G636" s="17"/>
      <c r="I636" s="123"/>
      <c r="K636" s="12"/>
      <c r="L636" s="12"/>
      <c r="M636" s="12" t="s">
        <v>733</v>
      </c>
    </row>
    <row r="637">
      <c r="C637" s="12"/>
      <c r="G637" s="17"/>
      <c r="I637" s="123"/>
      <c r="K637" s="12"/>
      <c r="L637" s="12"/>
      <c r="M637" s="12" t="s">
        <v>733</v>
      </c>
    </row>
    <row r="638">
      <c r="C638" s="12"/>
      <c r="G638" s="17"/>
      <c r="I638" s="123"/>
      <c r="K638" s="12"/>
      <c r="L638" s="12"/>
      <c r="M638" s="12" t="s">
        <v>733</v>
      </c>
    </row>
    <row r="639">
      <c r="C639" s="12"/>
      <c r="G639" s="17"/>
      <c r="I639" s="123"/>
      <c r="K639" s="12"/>
      <c r="L639" s="12"/>
      <c r="M639" s="12" t="s">
        <v>733</v>
      </c>
    </row>
    <row r="640">
      <c r="C640" s="12"/>
      <c r="G640" s="17"/>
      <c r="I640" s="123"/>
      <c r="K640" s="12"/>
      <c r="L640" s="12"/>
      <c r="M640" s="12" t="s">
        <v>733</v>
      </c>
    </row>
    <row r="641">
      <c r="C641" s="12"/>
      <c r="G641" s="17"/>
      <c r="I641" s="123"/>
      <c r="K641" s="12"/>
      <c r="L641" s="12"/>
      <c r="M641" s="12" t="s">
        <v>733</v>
      </c>
    </row>
    <row r="642">
      <c r="C642" s="12"/>
      <c r="G642" s="17"/>
      <c r="I642" s="123"/>
      <c r="K642" s="12"/>
      <c r="L642" s="12"/>
      <c r="M642" s="12" t="s">
        <v>733</v>
      </c>
    </row>
    <row r="643">
      <c r="C643" s="12"/>
      <c r="G643" s="17"/>
      <c r="I643" s="123"/>
      <c r="K643" s="12"/>
      <c r="L643" s="12"/>
      <c r="M643" s="12" t="s">
        <v>733</v>
      </c>
    </row>
    <row r="644">
      <c r="C644" s="12"/>
      <c r="G644" s="17"/>
      <c r="I644" s="123"/>
      <c r="K644" s="12"/>
      <c r="L644" s="12"/>
      <c r="M644" s="12" t="s">
        <v>733</v>
      </c>
    </row>
    <row r="645">
      <c r="C645" s="12"/>
      <c r="G645" s="17"/>
      <c r="I645" s="123"/>
      <c r="K645" s="12"/>
      <c r="L645" s="12"/>
      <c r="M645" s="12" t="s">
        <v>733</v>
      </c>
    </row>
    <row r="646">
      <c r="C646" s="12"/>
      <c r="G646" s="17"/>
      <c r="I646" s="123"/>
      <c r="K646" s="12"/>
      <c r="L646" s="12"/>
      <c r="M646" s="12" t="s">
        <v>733</v>
      </c>
    </row>
    <row r="647">
      <c r="C647" s="12"/>
      <c r="G647" s="17"/>
      <c r="I647" s="123"/>
      <c r="K647" s="12"/>
      <c r="L647" s="12"/>
      <c r="M647" s="12" t="s">
        <v>733</v>
      </c>
    </row>
    <row r="648">
      <c r="C648" s="12"/>
      <c r="G648" s="17"/>
      <c r="I648" s="123"/>
      <c r="K648" s="12"/>
      <c r="L648" s="12"/>
      <c r="M648" s="12" t="s">
        <v>733</v>
      </c>
    </row>
    <row r="649">
      <c r="C649" s="12"/>
      <c r="G649" s="17"/>
      <c r="I649" s="123"/>
      <c r="K649" s="12"/>
      <c r="L649" s="12"/>
      <c r="M649" s="12" t="s">
        <v>733</v>
      </c>
    </row>
    <row r="650">
      <c r="C650" s="12"/>
      <c r="G650" s="17"/>
      <c r="I650" s="123"/>
      <c r="K650" s="12"/>
      <c r="L650" s="12"/>
      <c r="M650" s="12" t="s">
        <v>733</v>
      </c>
    </row>
    <row r="651">
      <c r="C651" s="12"/>
      <c r="G651" s="17"/>
      <c r="I651" s="123"/>
      <c r="K651" s="12"/>
      <c r="L651" s="12"/>
      <c r="M651" s="12" t="s">
        <v>733</v>
      </c>
    </row>
    <row r="652">
      <c r="C652" s="12"/>
      <c r="G652" s="17"/>
      <c r="I652" s="123"/>
      <c r="K652" s="12"/>
      <c r="L652" s="12"/>
      <c r="M652" s="12" t="s">
        <v>733</v>
      </c>
    </row>
    <row r="653">
      <c r="C653" s="12"/>
      <c r="G653" s="17"/>
      <c r="I653" s="123"/>
      <c r="K653" s="12"/>
      <c r="L653" s="12"/>
      <c r="M653" s="12" t="s">
        <v>733</v>
      </c>
    </row>
    <row r="654">
      <c r="C654" s="12"/>
      <c r="G654" s="17"/>
      <c r="I654" s="123"/>
      <c r="K654" s="12"/>
      <c r="L654" s="12"/>
      <c r="M654" s="12" t="s">
        <v>733</v>
      </c>
    </row>
    <row r="655">
      <c r="C655" s="12"/>
      <c r="G655" s="17"/>
      <c r="I655" s="123"/>
      <c r="K655" s="12"/>
      <c r="L655" s="12"/>
      <c r="M655" s="12" t="s">
        <v>733</v>
      </c>
    </row>
    <row r="656">
      <c r="C656" s="12"/>
      <c r="G656" s="17"/>
      <c r="I656" s="123"/>
      <c r="K656" s="12"/>
      <c r="L656" s="12"/>
      <c r="M656" s="12" t="s">
        <v>733</v>
      </c>
    </row>
    <row r="657">
      <c r="C657" s="12"/>
      <c r="G657" s="17"/>
      <c r="I657" s="123"/>
      <c r="K657" s="12"/>
      <c r="L657" s="12"/>
      <c r="M657" s="12" t="s">
        <v>733</v>
      </c>
    </row>
    <row r="658">
      <c r="C658" s="12"/>
      <c r="G658" s="17"/>
      <c r="I658" s="123"/>
      <c r="K658" s="12"/>
      <c r="L658" s="12"/>
      <c r="M658" s="12" t="s">
        <v>733</v>
      </c>
    </row>
    <row r="659">
      <c r="C659" s="12"/>
      <c r="G659" s="17"/>
      <c r="I659" s="123"/>
      <c r="K659" s="12"/>
      <c r="L659" s="12"/>
      <c r="M659" s="12" t="s">
        <v>733</v>
      </c>
    </row>
    <row r="660">
      <c r="C660" s="12"/>
      <c r="G660" s="17"/>
      <c r="I660" s="123"/>
      <c r="K660" s="12"/>
      <c r="L660" s="12"/>
      <c r="M660" s="12" t="s">
        <v>733</v>
      </c>
    </row>
    <row r="661">
      <c r="C661" s="12"/>
      <c r="G661" s="17"/>
      <c r="I661" s="123"/>
      <c r="K661" s="12"/>
      <c r="L661" s="12"/>
      <c r="M661" s="12" t="s">
        <v>733</v>
      </c>
    </row>
    <row r="662">
      <c r="C662" s="12"/>
      <c r="G662" s="17"/>
      <c r="I662" s="123"/>
      <c r="K662" s="12"/>
      <c r="L662" s="12"/>
      <c r="M662" s="12" t="s">
        <v>733</v>
      </c>
    </row>
    <row r="663">
      <c r="C663" s="12"/>
      <c r="G663" s="17"/>
      <c r="I663" s="123"/>
      <c r="K663" s="12"/>
      <c r="L663" s="12"/>
      <c r="M663" s="12" t="s">
        <v>733</v>
      </c>
    </row>
    <row r="664">
      <c r="C664" s="12"/>
      <c r="G664" s="17"/>
      <c r="I664" s="123"/>
      <c r="K664" s="12"/>
      <c r="L664" s="12"/>
      <c r="M664" s="12" t="s">
        <v>733</v>
      </c>
    </row>
    <row r="665">
      <c r="C665" s="12"/>
      <c r="G665" s="17"/>
      <c r="I665" s="123"/>
      <c r="K665" s="12"/>
      <c r="L665" s="12"/>
      <c r="M665" s="12" t="s">
        <v>733</v>
      </c>
    </row>
    <row r="666">
      <c r="C666" s="12"/>
      <c r="G666" s="17"/>
      <c r="I666" s="123"/>
      <c r="K666" s="12"/>
      <c r="L666" s="12"/>
      <c r="M666" s="12" t="s">
        <v>733</v>
      </c>
    </row>
    <row r="667">
      <c r="C667" s="12"/>
      <c r="G667" s="17"/>
      <c r="I667" s="123"/>
      <c r="K667" s="12"/>
      <c r="L667" s="12"/>
      <c r="M667" s="12" t="s">
        <v>733</v>
      </c>
    </row>
    <row r="668">
      <c r="C668" s="12"/>
      <c r="G668" s="17"/>
      <c r="I668" s="123"/>
      <c r="K668" s="12"/>
      <c r="L668" s="12"/>
      <c r="M668" s="12" t="s">
        <v>733</v>
      </c>
    </row>
    <row r="669">
      <c r="C669" s="12"/>
      <c r="G669" s="17"/>
      <c r="I669" s="123"/>
      <c r="K669" s="12"/>
      <c r="L669" s="12"/>
      <c r="M669" s="12" t="s">
        <v>733</v>
      </c>
    </row>
    <row r="670">
      <c r="C670" s="12"/>
      <c r="G670" s="17"/>
      <c r="I670" s="123"/>
      <c r="K670" s="12"/>
      <c r="L670" s="12"/>
      <c r="M670" s="12" t="s">
        <v>733</v>
      </c>
    </row>
    <row r="671">
      <c r="C671" s="12"/>
      <c r="G671" s="17"/>
      <c r="I671" s="123"/>
      <c r="K671" s="12"/>
      <c r="L671" s="12"/>
      <c r="M671" s="12" t="s">
        <v>733</v>
      </c>
    </row>
    <row r="672">
      <c r="C672" s="12"/>
      <c r="G672" s="17"/>
      <c r="I672" s="123"/>
      <c r="K672" s="12"/>
      <c r="L672" s="12"/>
      <c r="M672" s="12" t="s">
        <v>733</v>
      </c>
    </row>
    <row r="673">
      <c r="C673" s="12"/>
      <c r="G673" s="17"/>
      <c r="I673" s="123"/>
      <c r="K673" s="12"/>
      <c r="L673" s="12"/>
      <c r="M673" s="12" t="s">
        <v>733</v>
      </c>
    </row>
    <row r="674">
      <c r="C674" s="12"/>
      <c r="G674" s="17"/>
      <c r="I674" s="123"/>
      <c r="K674" s="12"/>
      <c r="L674" s="12"/>
      <c r="M674" s="12" t="s">
        <v>733</v>
      </c>
    </row>
    <row r="675">
      <c r="C675" s="12"/>
      <c r="G675" s="17"/>
      <c r="I675" s="123"/>
      <c r="K675" s="12"/>
      <c r="L675" s="12"/>
      <c r="M675" s="12" t="s">
        <v>733</v>
      </c>
    </row>
    <row r="676">
      <c r="C676" s="12"/>
      <c r="G676" s="17"/>
      <c r="I676" s="123"/>
      <c r="K676" s="12"/>
      <c r="L676" s="12"/>
      <c r="M676" s="12" t="s">
        <v>733</v>
      </c>
    </row>
    <row r="677">
      <c r="C677" s="12"/>
      <c r="G677" s="17"/>
      <c r="I677" s="123"/>
      <c r="K677" s="12"/>
      <c r="L677" s="12"/>
      <c r="M677" s="12" t="s">
        <v>733</v>
      </c>
    </row>
    <row r="678">
      <c r="C678" s="12"/>
      <c r="G678" s="17"/>
      <c r="I678" s="123"/>
      <c r="K678" s="12"/>
      <c r="L678" s="12"/>
      <c r="M678" s="12" t="s">
        <v>733</v>
      </c>
    </row>
    <row r="679">
      <c r="C679" s="12"/>
      <c r="G679" s="17"/>
      <c r="I679" s="123"/>
      <c r="K679" s="12"/>
      <c r="L679" s="12"/>
      <c r="M679" s="12" t="s">
        <v>733</v>
      </c>
    </row>
    <row r="680">
      <c r="C680" s="12"/>
      <c r="G680" s="17"/>
      <c r="I680" s="123"/>
      <c r="K680" s="12"/>
      <c r="L680" s="12"/>
      <c r="M680" s="12" t="s">
        <v>733</v>
      </c>
    </row>
    <row r="681">
      <c r="C681" s="12"/>
      <c r="G681" s="17"/>
      <c r="I681" s="123"/>
      <c r="K681" s="12"/>
      <c r="L681" s="12"/>
      <c r="M681" s="12" t="s">
        <v>733</v>
      </c>
    </row>
    <row r="682">
      <c r="C682" s="12"/>
      <c r="G682" s="17"/>
      <c r="I682" s="123"/>
      <c r="K682" s="12"/>
      <c r="L682" s="12"/>
      <c r="M682" s="12" t="s">
        <v>733</v>
      </c>
    </row>
    <row r="683">
      <c r="C683" s="12"/>
      <c r="G683" s="17"/>
      <c r="I683" s="123"/>
      <c r="K683" s="12"/>
      <c r="L683" s="12"/>
      <c r="M683" s="12" t="s">
        <v>733</v>
      </c>
    </row>
    <row r="684">
      <c r="C684" s="12"/>
      <c r="G684" s="17"/>
      <c r="I684" s="123"/>
      <c r="K684" s="12"/>
      <c r="L684" s="12"/>
      <c r="M684" s="12" t="s">
        <v>733</v>
      </c>
    </row>
    <row r="685">
      <c r="C685" s="12"/>
      <c r="G685" s="17"/>
      <c r="I685" s="123"/>
      <c r="K685" s="12"/>
      <c r="L685" s="12"/>
      <c r="M685" s="12" t="s">
        <v>733</v>
      </c>
    </row>
    <row r="686">
      <c r="C686" s="12"/>
      <c r="G686" s="17"/>
      <c r="I686" s="123"/>
      <c r="K686" s="12"/>
      <c r="L686" s="12"/>
      <c r="M686" s="12" t="s">
        <v>733</v>
      </c>
    </row>
    <row r="687">
      <c r="C687" s="12"/>
      <c r="G687" s="17"/>
      <c r="I687" s="123"/>
      <c r="K687" s="12"/>
      <c r="L687" s="12"/>
      <c r="M687" s="12" t="s">
        <v>733</v>
      </c>
    </row>
    <row r="688">
      <c r="C688" s="12"/>
      <c r="G688" s="17"/>
      <c r="I688" s="123"/>
      <c r="K688" s="12"/>
      <c r="L688" s="12"/>
      <c r="M688" s="12" t="s">
        <v>733</v>
      </c>
    </row>
    <row r="689">
      <c r="C689" s="12"/>
      <c r="G689" s="17"/>
      <c r="I689" s="123"/>
      <c r="K689" s="12"/>
      <c r="L689" s="12"/>
      <c r="M689" s="12" t="s">
        <v>733</v>
      </c>
    </row>
    <row r="690">
      <c r="C690" s="12"/>
      <c r="G690" s="17"/>
      <c r="I690" s="123"/>
      <c r="K690" s="12"/>
      <c r="L690" s="12"/>
      <c r="M690" s="12" t="s">
        <v>733</v>
      </c>
    </row>
    <row r="691">
      <c r="C691" s="12"/>
      <c r="G691" s="17"/>
      <c r="I691" s="123"/>
      <c r="K691" s="12"/>
      <c r="L691" s="12"/>
      <c r="M691" s="12" t="s">
        <v>733</v>
      </c>
    </row>
    <row r="692">
      <c r="C692" s="12"/>
      <c r="G692" s="17"/>
      <c r="I692" s="123"/>
      <c r="K692" s="12"/>
      <c r="L692" s="12"/>
      <c r="M692" s="12" t="s">
        <v>733</v>
      </c>
    </row>
    <row r="693">
      <c r="C693" s="12"/>
      <c r="G693" s="17"/>
      <c r="I693" s="123"/>
      <c r="K693" s="12"/>
      <c r="L693" s="12"/>
      <c r="M693" s="12" t="s">
        <v>733</v>
      </c>
    </row>
    <row r="694">
      <c r="C694" s="12"/>
      <c r="G694" s="17"/>
      <c r="I694" s="123"/>
      <c r="K694" s="12"/>
      <c r="L694" s="12"/>
      <c r="M694" s="12" t="s">
        <v>733</v>
      </c>
    </row>
    <row r="695">
      <c r="C695" s="12"/>
      <c r="G695" s="17"/>
      <c r="I695" s="123"/>
      <c r="K695" s="12"/>
      <c r="L695" s="12"/>
      <c r="M695" s="12" t="s">
        <v>733</v>
      </c>
    </row>
    <row r="696">
      <c r="C696" s="12"/>
      <c r="G696" s="17"/>
      <c r="I696" s="123"/>
      <c r="K696" s="12"/>
      <c r="L696" s="12"/>
      <c r="M696" s="12" t="s">
        <v>733</v>
      </c>
    </row>
    <row r="697">
      <c r="C697" s="12"/>
      <c r="G697" s="17"/>
      <c r="I697" s="123"/>
      <c r="K697" s="12"/>
      <c r="L697" s="12"/>
      <c r="M697" s="12" t="s">
        <v>733</v>
      </c>
    </row>
    <row r="698">
      <c r="C698" s="12"/>
      <c r="G698" s="17"/>
      <c r="I698" s="123"/>
      <c r="K698" s="12"/>
      <c r="L698" s="12"/>
      <c r="M698" s="12" t="s">
        <v>733</v>
      </c>
    </row>
    <row r="699">
      <c r="C699" s="12"/>
      <c r="G699" s="17"/>
      <c r="I699" s="123"/>
      <c r="K699" s="12"/>
      <c r="L699" s="12"/>
      <c r="M699" s="12" t="s">
        <v>733</v>
      </c>
    </row>
    <row r="700">
      <c r="C700" s="12"/>
      <c r="G700" s="17"/>
      <c r="I700" s="123"/>
      <c r="K700" s="12"/>
      <c r="L700" s="12"/>
      <c r="M700" s="12" t="s">
        <v>733</v>
      </c>
    </row>
    <row r="701">
      <c r="C701" s="12"/>
      <c r="G701" s="17"/>
      <c r="I701" s="123"/>
      <c r="K701" s="12"/>
      <c r="L701" s="12"/>
      <c r="M701" s="12" t="s">
        <v>733</v>
      </c>
    </row>
    <row r="702">
      <c r="C702" s="12"/>
      <c r="G702" s="17"/>
      <c r="I702" s="123"/>
      <c r="K702" s="12"/>
      <c r="L702" s="12"/>
      <c r="M702" s="12" t="s">
        <v>733</v>
      </c>
    </row>
    <row r="703">
      <c r="C703" s="12"/>
      <c r="G703" s="17"/>
      <c r="I703" s="123"/>
      <c r="K703" s="12"/>
      <c r="L703" s="12"/>
      <c r="M703" s="12" t="s">
        <v>733</v>
      </c>
    </row>
    <row r="704">
      <c r="C704" s="12"/>
      <c r="G704" s="17"/>
      <c r="I704" s="123"/>
      <c r="K704" s="12"/>
      <c r="L704" s="12"/>
      <c r="M704" s="12" t="s">
        <v>733</v>
      </c>
    </row>
    <row r="705">
      <c r="C705" s="12"/>
      <c r="G705" s="17"/>
      <c r="I705" s="123"/>
      <c r="K705" s="12"/>
      <c r="L705" s="12"/>
      <c r="M705" s="12" t="s">
        <v>733</v>
      </c>
    </row>
    <row r="706">
      <c r="C706" s="12"/>
      <c r="G706" s="17"/>
      <c r="I706" s="123"/>
      <c r="K706" s="12"/>
      <c r="L706" s="12"/>
      <c r="M706" s="12" t="s">
        <v>733</v>
      </c>
    </row>
    <row r="707">
      <c r="C707" s="12"/>
      <c r="G707" s="17"/>
      <c r="I707" s="123"/>
      <c r="K707" s="12"/>
      <c r="L707" s="12"/>
      <c r="M707" s="12" t="s">
        <v>733</v>
      </c>
    </row>
    <row r="708">
      <c r="C708" s="12"/>
      <c r="G708" s="17"/>
      <c r="I708" s="123"/>
      <c r="K708" s="12"/>
      <c r="L708" s="12"/>
      <c r="M708" s="12" t="s">
        <v>733</v>
      </c>
    </row>
    <row r="709">
      <c r="C709" s="12"/>
      <c r="G709" s="17"/>
      <c r="I709" s="123"/>
      <c r="K709" s="12"/>
      <c r="L709" s="12"/>
      <c r="M709" s="12" t="s">
        <v>733</v>
      </c>
    </row>
    <row r="710">
      <c r="C710" s="12"/>
      <c r="G710" s="17"/>
      <c r="I710" s="123"/>
      <c r="K710" s="12"/>
      <c r="L710" s="12"/>
      <c r="M710" s="12" t="s">
        <v>733</v>
      </c>
    </row>
    <row r="711">
      <c r="C711" s="12"/>
      <c r="G711" s="17"/>
      <c r="I711" s="123"/>
      <c r="K711" s="12"/>
      <c r="L711" s="12"/>
      <c r="M711" s="12" t="s">
        <v>733</v>
      </c>
    </row>
    <row r="712">
      <c r="C712" s="12"/>
      <c r="G712" s="17"/>
      <c r="I712" s="123"/>
      <c r="K712" s="12"/>
      <c r="L712" s="12"/>
      <c r="M712" s="12" t="s">
        <v>733</v>
      </c>
    </row>
    <row r="713">
      <c r="C713" s="12"/>
      <c r="G713" s="17"/>
      <c r="I713" s="123"/>
      <c r="K713" s="12"/>
      <c r="L713" s="12"/>
      <c r="M713" s="12" t="s">
        <v>733</v>
      </c>
    </row>
    <row r="714">
      <c r="C714" s="12"/>
      <c r="G714" s="17"/>
      <c r="I714" s="123"/>
      <c r="K714" s="12"/>
      <c r="L714" s="12"/>
      <c r="M714" s="12" t="s">
        <v>733</v>
      </c>
    </row>
    <row r="715">
      <c r="C715" s="12"/>
      <c r="G715" s="17"/>
      <c r="I715" s="123"/>
      <c r="K715" s="12"/>
      <c r="L715" s="12"/>
      <c r="M715" s="12" t="s">
        <v>733</v>
      </c>
    </row>
    <row r="716">
      <c r="C716" s="12"/>
      <c r="G716" s="17"/>
      <c r="I716" s="123"/>
      <c r="K716" s="12"/>
      <c r="L716" s="12"/>
      <c r="M716" s="12" t="s">
        <v>733</v>
      </c>
    </row>
    <row r="717">
      <c r="C717" s="12"/>
      <c r="G717" s="17"/>
      <c r="I717" s="123"/>
      <c r="K717" s="12"/>
      <c r="L717" s="12"/>
      <c r="M717" s="12" t="s">
        <v>733</v>
      </c>
    </row>
    <row r="718">
      <c r="C718" s="12"/>
      <c r="G718" s="17"/>
      <c r="I718" s="123"/>
      <c r="K718" s="12"/>
      <c r="L718" s="12"/>
      <c r="M718" s="12" t="s">
        <v>733</v>
      </c>
    </row>
    <row r="719">
      <c r="C719" s="12"/>
      <c r="G719" s="17"/>
      <c r="I719" s="123"/>
      <c r="K719" s="12"/>
      <c r="L719" s="12"/>
      <c r="M719" s="12" t="s">
        <v>733</v>
      </c>
    </row>
    <row r="720">
      <c r="C720" s="12"/>
      <c r="G720" s="17"/>
      <c r="I720" s="123"/>
      <c r="K720" s="12"/>
      <c r="L720" s="12"/>
      <c r="M720" s="12" t="s">
        <v>733</v>
      </c>
    </row>
    <row r="721">
      <c r="C721" s="12"/>
      <c r="G721" s="17"/>
      <c r="I721" s="123"/>
      <c r="K721" s="12"/>
      <c r="L721" s="12"/>
      <c r="M721" s="12" t="s">
        <v>733</v>
      </c>
    </row>
    <row r="722">
      <c r="C722" s="12"/>
      <c r="G722" s="17"/>
      <c r="I722" s="123"/>
      <c r="K722" s="12"/>
      <c r="L722" s="12"/>
      <c r="M722" s="12" t="s">
        <v>733</v>
      </c>
    </row>
    <row r="723">
      <c r="C723" s="12"/>
      <c r="G723" s="17"/>
      <c r="I723" s="123"/>
      <c r="K723" s="12"/>
      <c r="L723" s="12"/>
      <c r="M723" s="12" t="s">
        <v>733</v>
      </c>
    </row>
    <row r="724">
      <c r="C724" s="12"/>
      <c r="G724" s="17"/>
      <c r="I724" s="123"/>
      <c r="K724" s="12"/>
      <c r="L724" s="12"/>
      <c r="M724" s="12" t="s">
        <v>733</v>
      </c>
    </row>
    <row r="725">
      <c r="C725" s="12"/>
      <c r="G725" s="17"/>
      <c r="I725" s="123"/>
      <c r="K725" s="12"/>
      <c r="L725" s="12"/>
      <c r="M725" s="12" t="s">
        <v>733</v>
      </c>
    </row>
    <row r="726">
      <c r="C726" s="12"/>
      <c r="G726" s="17"/>
      <c r="I726" s="123"/>
      <c r="K726" s="12"/>
      <c r="L726" s="12"/>
      <c r="M726" s="12" t="s">
        <v>733</v>
      </c>
    </row>
    <row r="727">
      <c r="C727" s="12"/>
      <c r="G727" s="17"/>
      <c r="I727" s="123"/>
      <c r="K727" s="12"/>
      <c r="L727" s="12"/>
      <c r="M727" s="12" t="s">
        <v>733</v>
      </c>
    </row>
    <row r="728">
      <c r="C728" s="12"/>
      <c r="G728" s="17"/>
      <c r="I728" s="123"/>
      <c r="K728" s="12"/>
      <c r="L728" s="12"/>
      <c r="M728" s="12" t="s">
        <v>733</v>
      </c>
    </row>
    <row r="729">
      <c r="C729" s="12"/>
      <c r="G729" s="17"/>
      <c r="I729" s="123"/>
      <c r="K729" s="12"/>
      <c r="L729" s="12"/>
      <c r="M729" s="12" t="s">
        <v>733</v>
      </c>
    </row>
    <row r="730">
      <c r="C730" s="12"/>
      <c r="G730" s="17"/>
      <c r="I730" s="123"/>
      <c r="K730" s="12"/>
      <c r="L730" s="12"/>
      <c r="M730" s="12" t="s">
        <v>733</v>
      </c>
    </row>
    <row r="731">
      <c r="C731" s="12"/>
      <c r="G731" s="17"/>
      <c r="I731" s="123"/>
      <c r="K731" s="12"/>
      <c r="L731" s="12"/>
      <c r="M731" s="12" t="s">
        <v>733</v>
      </c>
    </row>
    <row r="732">
      <c r="C732" s="12"/>
      <c r="G732" s="17"/>
      <c r="I732" s="123"/>
      <c r="K732" s="12"/>
      <c r="L732" s="12"/>
      <c r="M732" s="12" t="s">
        <v>733</v>
      </c>
    </row>
    <row r="733">
      <c r="C733" s="12"/>
      <c r="G733" s="17"/>
      <c r="I733" s="123"/>
      <c r="K733" s="12"/>
      <c r="L733" s="12"/>
      <c r="M733" s="12" t="s">
        <v>733</v>
      </c>
    </row>
    <row r="734">
      <c r="C734" s="12"/>
      <c r="G734" s="17"/>
      <c r="I734" s="123"/>
      <c r="K734" s="12"/>
      <c r="L734" s="12"/>
      <c r="M734" s="12" t="s">
        <v>733</v>
      </c>
    </row>
    <row r="735">
      <c r="C735" s="12"/>
      <c r="G735" s="17"/>
      <c r="I735" s="123"/>
      <c r="K735" s="12"/>
      <c r="L735" s="12"/>
      <c r="M735" s="12" t="s">
        <v>733</v>
      </c>
    </row>
    <row r="736">
      <c r="C736" s="12"/>
      <c r="G736" s="17"/>
      <c r="I736" s="123"/>
      <c r="K736" s="12"/>
      <c r="L736" s="12"/>
      <c r="M736" s="12" t="s">
        <v>733</v>
      </c>
    </row>
    <row r="737">
      <c r="C737" s="12"/>
      <c r="G737" s="17"/>
      <c r="I737" s="123"/>
      <c r="K737" s="12"/>
      <c r="L737" s="12"/>
      <c r="M737" s="12" t="s">
        <v>733</v>
      </c>
    </row>
    <row r="738">
      <c r="C738" s="12"/>
      <c r="G738" s="17"/>
      <c r="I738" s="123"/>
      <c r="K738" s="12"/>
      <c r="L738" s="12"/>
      <c r="M738" s="12" t="s">
        <v>733</v>
      </c>
    </row>
    <row r="739">
      <c r="C739" s="12"/>
      <c r="G739" s="17"/>
      <c r="I739" s="123"/>
      <c r="K739" s="12"/>
      <c r="L739" s="12"/>
      <c r="M739" s="12" t="s">
        <v>733</v>
      </c>
    </row>
    <row r="740">
      <c r="C740" s="12"/>
      <c r="G740" s="17"/>
      <c r="I740" s="123"/>
      <c r="K740" s="12"/>
      <c r="L740" s="12"/>
      <c r="M740" s="12" t="s">
        <v>733</v>
      </c>
    </row>
    <row r="741">
      <c r="C741" s="12"/>
      <c r="G741" s="17"/>
      <c r="I741" s="123"/>
      <c r="K741" s="12"/>
      <c r="L741" s="12"/>
      <c r="M741" s="12" t="s">
        <v>733</v>
      </c>
    </row>
    <row r="742">
      <c r="C742" s="12"/>
      <c r="G742" s="17"/>
      <c r="I742" s="123"/>
      <c r="K742" s="12"/>
      <c r="L742" s="12"/>
      <c r="M742" s="12" t="s">
        <v>733</v>
      </c>
    </row>
    <row r="743">
      <c r="C743" s="12"/>
      <c r="G743" s="17"/>
      <c r="I743" s="123"/>
      <c r="K743" s="12"/>
      <c r="L743" s="12"/>
      <c r="M743" s="12" t="s">
        <v>733</v>
      </c>
    </row>
    <row r="744">
      <c r="C744" s="12"/>
      <c r="G744" s="17"/>
      <c r="I744" s="123"/>
      <c r="K744" s="12"/>
      <c r="L744" s="12"/>
      <c r="M744" s="12" t="s">
        <v>733</v>
      </c>
    </row>
    <row r="745">
      <c r="C745" s="12"/>
      <c r="G745" s="17"/>
      <c r="I745" s="123"/>
      <c r="K745" s="12"/>
      <c r="L745" s="12"/>
      <c r="M745" s="12" t="s">
        <v>733</v>
      </c>
    </row>
    <row r="746">
      <c r="C746" s="12"/>
      <c r="G746" s="17"/>
      <c r="I746" s="123"/>
      <c r="K746" s="12"/>
      <c r="L746" s="12"/>
      <c r="M746" s="12" t="s">
        <v>733</v>
      </c>
    </row>
    <row r="747">
      <c r="C747" s="12"/>
      <c r="G747" s="17"/>
      <c r="I747" s="123"/>
      <c r="K747" s="12"/>
      <c r="L747" s="12"/>
      <c r="M747" s="12" t="s">
        <v>733</v>
      </c>
    </row>
    <row r="748">
      <c r="C748" s="12"/>
      <c r="G748" s="17"/>
      <c r="I748" s="123"/>
      <c r="K748" s="12"/>
      <c r="L748" s="12"/>
      <c r="M748" s="12" t="s">
        <v>733</v>
      </c>
    </row>
    <row r="749">
      <c r="C749" s="12"/>
      <c r="G749" s="17"/>
      <c r="I749" s="123"/>
      <c r="K749" s="12"/>
      <c r="L749" s="12"/>
      <c r="M749" s="12" t="s">
        <v>733</v>
      </c>
    </row>
    <row r="750">
      <c r="C750" s="12"/>
      <c r="G750" s="17"/>
      <c r="I750" s="123"/>
      <c r="K750" s="12"/>
      <c r="L750" s="12"/>
      <c r="M750" s="12" t="s">
        <v>733</v>
      </c>
    </row>
    <row r="751">
      <c r="C751" s="12"/>
      <c r="G751" s="17"/>
      <c r="I751" s="123"/>
      <c r="K751" s="12"/>
      <c r="L751" s="12"/>
      <c r="M751" s="12" t="s">
        <v>733</v>
      </c>
    </row>
    <row r="752">
      <c r="C752" s="12"/>
      <c r="G752" s="17"/>
      <c r="I752" s="123"/>
      <c r="K752" s="12"/>
      <c r="L752" s="12"/>
      <c r="M752" s="12" t="s">
        <v>733</v>
      </c>
    </row>
    <row r="753">
      <c r="C753" s="12"/>
      <c r="G753" s="17"/>
      <c r="I753" s="123"/>
      <c r="K753" s="12"/>
      <c r="L753" s="12"/>
      <c r="M753" s="12" t="s">
        <v>733</v>
      </c>
    </row>
    <row r="754">
      <c r="C754" s="12"/>
      <c r="G754" s="17"/>
      <c r="I754" s="123"/>
      <c r="K754" s="12"/>
      <c r="L754" s="12"/>
      <c r="M754" s="12" t="s">
        <v>733</v>
      </c>
    </row>
    <row r="755">
      <c r="C755" s="12"/>
      <c r="G755" s="17"/>
      <c r="I755" s="123"/>
      <c r="K755" s="12"/>
      <c r="L755" s="12"/>
      <c r="M755" s="12" t="s">
        <v>733</v>
      </c>
    </row>
    <row r="756">
      <c r="C756" s="12"/>
      <c r="G756" s="17"/>
      <c r="I756" s="123"/>
      <c r="K756" s="12"/>
      <c r="L756" s="12"/>
      <c r="M756" s="12" t="s">
        <v>733</v>
      </c>
    </row>
    <row r="757">
      <c r="C757" s="12"/>
      <c r="G757" s="17"/>
      <c r="I757" s="123"/>
      <c r="K757" s="12"/>
      <c r="L757" s="12"/>
      <c r="M757" s="12" t="s">
        <v>733</v>
      </c>
    </row>
    <row r="758">
      <c r="C758" s="12"/>
      <c r="G758" s="17"/>
      <c r="I758" s="123"/>
      <c r="K758" s="12"/>
      <c r="L758" s="12"/>
      <c r="M758" s="12" t="s">
        <v>733</v>
      </c>
    </row>
    <row r="759">
      <c r="C759" s="12"/>
      <c r="G759" s="17"/>
      <c r="I759" s="123"/>
      <c r="K759" s="12"/>
      <c r="L759" s="12"/>
      <c r="M759" s="12" t="s">
        <v>733</v>
      </c>
    </row>
    <row r="760">
      <c r="C760" s="12"/>
      <c r="G760" s="17"/>
      <c r="I760" s="123"/>
      <c r="K760" s="12"/>
      <c r="L760" s="12"/>
      <c r="M760" s="12" t="s">
        <v>733</v>
      </c>
    </row>
    <row r="761">
      <c r="C761" s="12"/>
      <c r="G761" s="17"/>
      <c r="I761" s="123"/>
      <c r="K761" s="12"/>
      <c r="L761" s="12"/>
      <c r="M761" s="12" t="s">
        <v>733</v>
      </c>
    </row>
    <row r="762">
      <c r="C762" s="12"/>
      <c r="G762" s="17"/>
      <c r="I762" s="123"/>
      <c r="K762" s="12"/>
      <c r="L762" s="12"/>
      <c r="M762" s="12" t="s">
        <v>733</v>
      </c>
    </row>
    <row r="763">
      <c r="C763" s="12"/>
      <c r="G763" s="17"/>
      <c r="I763" s="123"/>
      <c r="K763" s="12"/>
      <c r="L763" s="12"/>
      <c r="M763" s="12" t="s">
        <v>733</v>
      </c>
    </row>
    <row r="764">
      <c r="C764" s="12"/>
      <c r="G764" s="17"/>
      <c r="I764" s="123"/>
      <c r="K764" s="12"/>
      <c r="L764" s="12"/>
      <c r="M764" s="12" t="s">
        <v>733</v>
      </c>
    </row>
    <row r="765">
      <c r="C765" s="12"/>
      <c r="G765" s="17"/>
      <c r="I765" s="123"/>
      <c r="K765" s="12"/>
      <c r="L765" s="12"/>
      <c r="M765" s="12" t="s">
        <v>733</v>
      </c>
    </row>
    <row r="766">
      <c r="C766" s="12"/>
      <c r="G766" s="17"/>
      <c r="I766" s="123"/>
      <c r="K766" s="12"/>
      <c r="L766" s="12"/>
      <c r="M766" s="12" t="s">
        <v>733</v>
      </c>
    </row>
    <row r="767">
      <c r="C767" s="12"/>
      <c r="G767" s="17"/>
      <c r="I767" s="123"/>
      <c r="K767" s="12"/>
      <c r="L767" s="12"/>
      <c r="M767" s="12" t="s">
        <v>733</v>
      </c>
    </row>
    <row r="768">
      <c r="C768" s="12"/>
      <c r="G768" s="17"/>
      <c r="I768" s="123"/>
      <c r="K768" s="12"/>
      <c r="L768" s="12"/>
      <c r="M768" s="12" t="s">
        <v>733</v>
      </c>
    </row>
    <row r="769">
      <c r="C769" s="12"/>
      <c r="G769" s="17"/>
      <c r="I769" s="123"/>
      <c r="K769" s="12"/>
      <c r="L769" s="12"/>
      <c r="M769" s="12" t="s">
        <v>733</v>
      </c>
    </row>
    <row r="770">
      <c r="C770" s="12"/>
      <c r="G770" s="17"/>
      <c r="I770" s="123"/>
      <c r="K770" s="12"/>
      <c r="L770" s="12"/>
      <c r="M770" s="12" t="s">
        <v>733</v>
      </c>
    </row>
    <row r="771">
      <c r="C771" s="12"/>
      <c r="G771" s="17"/>
      <c r="I771" s="123"/>
      <c r="K771" s="12"/>
      <c r="L771" s="12"/>
      <c r="M771" s="12" t="s">
        <v>733</v>
      </c>
    </row>
    <row r="772">
      <c r="C772" s="12"/>
      <c r="G772" s="17"/>
      <c r="I772" s="123"/>
      <c r="K772" s="12"/>
      <c r="L772" s="12"/>
      <c r="M772" s="12" t="s">
        <v>733</v>
      </c>
    </row>
    <row r="773">
      <c r="C773" s="12"/>
      <c r="G773" s="17"/>
      <c r="I773" s="123"/>
      <c r="K773" s="12"/>
      <c r="L773" s="12"/>
      <c r="M773" s="12" t="s">
        <v>733</v>
      </c>
    </row>
    <row r="774">
      <c r="C774" s="12"/>
      <c r="G774" s="17"/>
      <c r="I774" s="123"/>
      <c r="K774" s="12"/>
      <c r="L774" s="12"/>
      <c r="M774" s="12" t="s">
        <v>733</v>
      </c>
    </row>
    <row r="775">
      <c r="C775" s="12"/>
      <c r="G775" s="17"/>
      <c r="I775" s="123"/>
      <c r="K775" s="12"/>
      <c r="L775" s="12"/>
      <c r="M775" s="12" t="s">
        <v>733</v>
      </c>
    </row>
    <row r="776">
      <c r="C776" s="12"/>
      <c r="G776" s="17"/>
      <c r="I776" s="123"/>
      <c r="K776" s="12"/>
      <c r="L776" s="12"/>
      <c r="M776" s="12" t="s">
        <v>733</v>
      </c>
    </row>
    <row r="777">
      <c r="C777" s="12"/>
      <c r="G777" s="17"/>
      <c r="I777" s="123"/>
      <c r="K777" s="12"/>
      <c r="L777" s="12"/>
      <c r="M777" s="12" t="s">
        <v>733</v>
      </c>
    </row>
    <row r="778">
      <c r="C778" s="12"/>
      <c r="G778" s="17"/>
      <c r="I778" s="123"/>
      <c r="K778" s="12"/>
      <c r="L778" s="12"/>
      <c r="M778" s="12" t="s">
        <v>733</v>
      </c>
    </row>
    <row r="779">
      <c r="C779" s="12"/>
      <c r="G779" s="17"/>
      <c r="I779" s="123"/>
      <c r="K779" s="12"/>
      <c r="L779" s="12"/>
      <c r="M779" s="12" t="s">
        <v>733</v>
      </c>
    </row>
    <row r="780">
      <c r="C780" s="12"/>
      <c r="G780" s="17"/>
      <c r="I780" s="123"/>
      <c r="K780" s="12"/>
      <c r="L780" s="12"/>
      <c r="M780" s="12" t="s">
        <v>733</v>
      </c>
    </row>
    <row r="781">
      <c r="C781" s="12"/>
      <c r="G781" s="17"/>
      <c r="I781" s="123"/>
      <c r="K781" s="12"/>
      <c r="L781" s="12"/>
      <c r="M781" s="12" t="s">
        <v>733</v>
      </c>
    </row>
    <row r="782">
      <c r="C782" s="12"/>
      <c r="G782" s="17"/>
      <c r="I782" s="123"/>
      <c r="K782" s="12"/>
      <c r="L782" s="12"/>
      <c r="M782" s="12" t="s">
        <v>733</v>
      </c>
    </row>
    <row r="783">
      <c r="C783" s="12"/>
      <c r="G783" s="17"/>
      <c r="I783" s="123"/>
      <c r="K783" s="12"/>
      <c r="L783" s="12"/>
      <c r="M783" s="12" t="s">
        <v>733</v>
      </c>
    </row>
    <row r="784">
      <c r="C784" s="12"/>
      <c r="G784" s="17"/>
      <c r="I784" s="123"/>
      <c r="K784" s="12"/>
      <c r="L784" s="12"/>
      <c r="M784" s="12" t="s">
        <v>733</v>
      </c>
    </row>
    <row r="785">
      <c r="C785" s="12"/>
      <c r="G785" s="17"/>
      <c r="I785" s="123"/>
      <c r="K785" s="12"/>
      <c r="L785" s="12"/>
      <c r="M785" s="12" t="s">
        <v>733</v>
      </c>
    </row>
    <row r="786">
      <c r="C786" s="12"/>
      <c r="G786" s="17"/>
      <c r="I786" s="123"/>
      <c r="K786" s="12"/>
      <c r="L786" s="12"/>
      <c r="M786" s="12" t="s">
        <v>733</v>
      </c>
    </row>
    <row r="787">
      <c r="C787" s="12"/>
      <c r="G787" s="17"/>
      <c r="I787" s="123"/>
      <c r="K787" s="12"/>
      <c r="L787" s="12"/>
      <c r="M787" s="12" t="s">
        <v>733</v>
      </c>
    </row>
    <row r="788">
      <c r="C788" s="12"/>
      <c r="G788" s="17"/>
      <c r="I788" s="123"/>
      <c r="K788" s="12"/>
      <c r="L788" s="12"/>
      <c r="M788" s="12" t="s">
        <v>733</v>
      </c>
    </row>
    <row r="789">
      <c r="C789" s="12"/>
      <c r="G789" s="17"/>
      <c r="I789" s="123"/>
      <c r="K789" s="12"/>
      <c r="L789" s="12"/>
      <c r="M789" s="12" t="s">
        <v>733</v>
      </c>
    </row>
    <row r="790">
      <c r="C790" s="12"/>
      <c r="G790" s="17"/>
      <c r="I790" s="123"/>
      <c r="K790" s="12"/>
      <c r="L790" s="12"/>
      <c r="M790" s="12" t="s">
        <v>733</v>
      </c>
    </row>
    <row r="791">
      <c r="C791" s="12"/>
      <c r="G791" s="17"/>
      <c r="I791" s="123"/>
      <c r="K791" s="12"/>
      <c r="L791" s="12"/>
      <c r="M791" s="12" t="s">
        <v>733</v>
      </c>
    </row>
    <row r="792">
      <c r="C792" s="12"/>
      <c r="G792" s="17"/>
      <c r="I792" s="123"/>
      <c r="K792" s="12"/>
      <c r="L792" s="12"/>
      <c r="M792" s="12" t="s">
        <v>733</v>
      </c>
    </row>
    <row r="793">
      <c r="C793" s="12"/>
      <c r="G793" s="17"/>
      <c r="I793" s="123"/>
      <c r="K793" s="12"/>
      <c r="L793" s="12"/>
      <c r="M793" s="12" t="s">
        <v>733</v>
      </c>
    </row>
    <row r="794">
      <c r="C794" s="12"/>
      <c r="G794" s="17"/>
      <c r="I794" s="123"/>
      <c r="K794" s="12"/>
      <c r="L794" s="12"/>
      <c r="M794" s="12" t="s">
        <v>733</v>
      </c>
    </row>
    <row r="795">
      <c r="C795" s="12"/>
      <c r="G795" s="17"/>
      <c r="I795" s="123"/>
      <c r="K795" s="12"/>
      <c r="L795" s="12"/>
      <c r="M795" s="12" t="s">
        <v>733</v>
      </c>
    </row>
    <row r="796">
      <c r="C796" s="12"/>
      <c r="G796" s="17"/>
      <c r="I796" s="123"/>
      <c r="K796" s="12"/>
      <c r="L796" s="12"/>
      <c r="M796" s="12" t="s">
        <v>733</v>
      </c>
    </row>
    <row r="797">
      <c r="C797" s="12"/>
      <c r="G797" s="17"/>
      <c r="I797" s="123"/>
      <c r="K797" s="12"/>
      <c r="L797" s="12"/>
      <c r="M797" s="12" t="s">
        <v>733</v>
      </c>
    </row>
    <row r="798">
      <c r="C798" s="12"/>
      <c r="G798" s="17"/>
      <c r="I798" s="123"/>
      <c r="K798" s="12"/>
      <c r="L798" s="12"/>
      <c r="M798" s="12" t="s">
        <v>733</v>
      </c>
    </row>
    <row r="799">
      <c r="C799" s="12"/>
      <c r="G799" s="17"/>
      <c r="I799" s="123"/>
      <c r="K799" s="12"/>
      <c r="L799" s="12"/>
      <c r="M799" s="12" t="s">
        <v>733</v>
      </c>
    </row>
    <row r="800">
      <c r="C800" s="12"/>
      <c r="G800" s="17"/>
      <c r="I800" s="123"/>
      <c r="K800" s="12"/>
      <c r="L800" s="12"/>
      <c r="M800" s="12" t="s">
        <v>733</v>
      </c>
    </row>
    <row r="801">
      <c r="C801" s="12"/>
      <c r="G801" s="17"/>
      <c r="I801" s="123"/>
      <c r="K801" s="12"/>
      <c r="L801" s="12"/>
      <c r="M801" s="12" t="s">
        <v>733</v>
      </c>
    </row>
    <row r="802">
      <c r="C802" s="12"/>
      <c r="G802" s="17"/>
      <c r="I802" s="123"/>
      <c r="K802" s="12"/>
      <c r="L802" s="12"/>
      <c r="M802" s="12" t="s">
        <v>733</v>
      </c>
    </row>
    <row r="803">
      <c r="C803" s="12"/>
      <c r="G803" s="17"/>
      <c r="I803" s="123"/>
      <c r="K803" s="12"/>
      <c r="L803" s="12"/>
      <c r="M803" s="12" t="s">
        <v>733</v>
      </c>
    </row>
    <row r="804">
      <c r="C804" s="12"/>
      <c r="G804" s="17"/>
      <c r="I804" s="123"/>
      <c r="K804" s="12"/>
      <c r="L804" s="12"/>
      <c r="M804" s="12" t="s">
        <v>733</v>
      </c>
    </row>
    <row r="805">
      <c r="C805" s="12"/>
      <c r="G805" s="17"/>
      <c r="I805" s="123"/>
      <c r="K805" s="12"/>
      <c r="L805" s="12"/>
      <c r="M805" s="12" t="s">
        <v>733</v>
      </c>
    </row>
    <row r="806">
      <c r="C806" s="12"/>
      <c r="G806" s="17"/>
      <c r="I806" s="123"/>
      <c r="K806" s="12"/>
      <c r="L806" s="12"/>
      <c r="M806" s="12" t="s">
        <v>733</v>
      </c>
    </row>
    <row r="807">
      <c r="C807" s="12"/>
      <c r="G807" s="17"/>
      <c r="I807" s="123"/>
      <c r="K807" s="12"/>
      <c r="L807" s="12"/>
      <c r="M807" s="12" t="s">
        <v>733</v>
      </c>
    </row>
    <row r="808">
      <c r="C808" s="12"/>
      <c r="G808" s="17"/>
      <c r="I808" s="123"/>
      <c r="K808" s="12"/>
      <c r="L808" s="12"/>
      <c r="M808" s="12" t="s">
        <v>733</v>
      </c>
    </row>
    <row r="809">
      <c r="C809" s="12"/>
      <c r="G809" s="17"/>
      <c r="I809" s="123"/>
      <c r="K809" s="12"/>
      <c r="L809" s="12"/>
      <c r="M809" s="12" t="s">
        <v>733</v>
      </c>
    </row>
    <row r="810">
      <c r="C810" s="12"/>
      <c r="G810" s="17"/>
      <c r="I810" s="123"/>
      <c r="K810" s="12"/>
      <c r="L810" s="12"/>
      <c r="M810" s="12" t="s">
        <v>733</v>
      </c>
    </row>
    <row r="811">
      <c r="C811" s="12"/>
      <c r="G811" s="17"/>
      <c r="I811" s="123"/>
      <c r="K811" s="12"/>
      <c r="L811" s="12"/>
      <c r="M811" s="12" t="s">
        <v>733</v>
      </c>
    </row>
    <row r="812">
      <c r="C812" s="12"/>
      <c r="G812" s="17"/>
      <c r="I812" s="123"/>
      <c r="K812" s="12"/>
      <c r="L812" s="12"/>
      <c r="M812" s="12" t="s">
        <v>733</v>
      </c>
    </row>
    <row r="813">
      <c r="C813" s="12"/>
      <c r="G813" s="17"/>
      <c r="I813" s="123"/>
      <c r="K813" s="12"/>
      <c r="L813" s="12"/>
      <c r="M813" s="12" t="s">
        <v>733</v>
      </c>
    </row>
    <row r="814">
      <c r="C814" s="12"/>
      <c r="G814" s="17"/>
      <c r="I814" s="123"/>
      <c r="K814" s="12"/>
      <c r="L814" s="12"/>
      <c r="M814" s="12" t="s">
        <v>733</v>
      </c>
    </row>
    <row r="815">
      <c r="C815" s="12"/>
      <c r="G815" s="17"/>
      <c r="I815" s="123"/>
      <c r="K815" s="12"/>
      <c r="L815" s="12"/>
      <c r="M815" s="12" t="s">
        <v>733</v>
      </c>
    </row>
    <row r="816">
      <c r="C816" s="12"/>
      <c r="G816" s="17"/>
      <c r="I816" s="123"/>
      <c r="K816" s="12"/>
      <c r="L816" s="12"/>
      <c r="M816" s="12" t="s">
        <v>733</v>
      </c>
    </row>
    <row r="817">
      <c r="C817" s="12"/>
      <c r="G817" s="17"/>
      <c r="I817" s="123"/>
      <c r="K817" s="12"/>
      <c r="L817" s="12"/>
      <c r="M817" s="12" t="s">
        <v>733</v>
      </c>
    </row>
    <row r="818">
      <c r="C818" s="12"/>
      <c r="G818" s="17"/>
      <c r="I818" s="123"/>
      <c r="K818" s="12"/>
      <c r="L818" s="12"/>
      <c r="M818" s="12" t="s">
        <v>733</v>
      </c>
    </row>
    <row r="819">
      <c r="C819" s="12"/>
      <c r="G819" s="17"/>
      <c r="I819" s="123"/>
      <c r="K819" s="12"/>
      <c r="L819" s="12"/>
      <c r="M819" s="12" t="s">
        <v>733</v>
      </c>
    </row>
    <row r="820">
      <c r="C820" s="12"/>
      <c r="G820" s="17"/>
      <c r="I820" s="123"/>
      <c r="K820" s="12"/>
      <c r="L820" s="12"/>
      <c r="M820" s="12" t="s">
        <v>733</v>
      </c>
    </row>
    <row r="821">
      <c r="C821" s="12"/>
      <c r="G821" s="17"/>
      <c r="I821" s="123"/>
      <c r="K821" s="12"/>
      <c r="L821" s="12"/>
      <c r="M821" s="12" t="s">
        <v>733</v>
      </c>
    </row>
    <row r="822">
      <c r="C822" s="12"/>
      <c r="G822" s="17"/>
      <c r="I822" s="123"/>
      <c r="K822" s="12"/>
      <c r="L822" s="12"/>
      <c r="M822" s="12" t="s">
        <v>733</v>
      </c>
    </row>
    <row r="823">
      <c r="C823" s="12"/>
      <c r="G823" s="17"/>
      <c r="I823" s="123"/>
      <c r="K823" s="12"/>
      <c r="L823" s="12"/>
      <c r="M823" s="12" t="s">
        <v>733</v>
      </c>
    </row>
    <row r="824">
      <c r="C824" s="12"/>
      <c r="G824" s="17"/>
      <c r="I824" s="123"/>
      <c r="K824" s="12"/>
      <c r="L824" s="12"/>
      <c r="M824" s="12" t="s">
        <v>733</v>
      </c>
    </row>
    <row r="825">
      <c r="C825" s="12"/>
      <c r="G825" s="17"/>
      <c r="I825" s="123"/>
      <c r="K825" s="12"/>
      <c r="L825" s="12"/>
      <c r="M825" s="12" t="s">
        <v>733</v>
      </c>
    </row>
    <row r="826">
      <c r="C826" s="12"/>
      <c r="G826" s="17"/>
      <c r="I826" s="123"/>
      <c r="K826" s="12"/>
      <c r="L826" s="12"/>
      <c r="M826" s="12" t="s">
        <v>733</v>
      </c>
    </row>
    <row r="827">
      <c r="C827" s="12"/>
      <c r="G827" s="17"/>
      <c r="I827" s="123"/>
      <c r="K827" s="12"/>
      <c r="L827" s="12"/>
      <c r="M827" s="12" t="s">
        <v>733</v>
      </c>
    </row>
    <row r="828">
      <c r="C828" s="12"/>
      <c r="G828" s="17"/>
      <c r="I828" s="123"/>
      <c r="K828" s="12"/>
      <c r="L828" s="12"/>
      <c r="M828" s="12" t="s">
        <v>733</v>
      </c>
    </row>
    <row r="829">
      <c r="C829" s="12"/>
      <c r="G829" s="17"/>
      <c r="I829" s="123"/>
      <c r="K829" s="12"/>
      <c r="L829" s="12"/>
      <c r="M829" s="12" t="s">
        <v>733</v>
      </c>
    </row>
    <row r="830">
      <c r="C830" s="12"/>
      <c r="G830" s="17"/>
      <c r="I830" s="123"/>
      <c r="K830" s="12"/>
      <c r="L830" s="12"/>
      <c r="M830" s="12" t="s">
        <v>733</v>
      </c>
    </row>
    <row r="831">
      <c r="C831" s="12"/>
      <c r="G831" s="17"/>
      <c r="I831" s="123"/>
      <c r="K831" s="12"/>
      <c r="L831" s="12"/>
      <c r="M831" s="12" t="s">
        <v>733</v>
      </c>
    </row>
    <row r="832">
      <c r="C832" s="12"/>
      <c r="G832" s="17"/>
      <c r="I832" s="123"/>
      <c r="K832" s="12"/>
      <c r="L832" s="12"/>
      <c r="M832" s="12" t="s">
        <v>733</v>
      </c>
    </row>
    <row r="833">
      <c r="C833" s="12"/>
      <c r="G833" s="17"/>
      <c r="I833" s="123"/>
      <c r="K833" s="12"/>
      <c r="L833" s="12"/>
      <c r="M833" s="12" t="s">
        <v>733</v>
      </c>
    </row>
    <row r="834">
      <c r="C834" s="12"/>
      <c r="G834" s="17"/>
      <c r="I834" s="123"/>
      <c r="K834" s="12"/>
      <c r="L834" s="12"/>
      <c r="M834" s="12" t="s">
        <v>733</v>
      </c>
    </row>
    <row r="835">
      <c r="C835" s="12"/>
      <c r="G835" s="17"/>
      <c r="I835" s="123"/>
      <c r="K835" s="12"/>
      <c r="L835" s="12"/>
      <c r="M835" s="12" t="s">
        <v>733</v>
      </c>
    </row>
    <row r="836">
      <c r="C836" s="12"/>
      <c r="G836" s="17"/>
      <c r="I836" s="123"/>
      <c r="K836" s="12"/>
      <c r="L836" s="12"/>
      <c r="M836" s="12" t="s">
        <v>733</v>
      </c>
    </row>
    <row r="837">
      <c r="C837" s="12"/>
      <c r="G837" s="17"/>
      <c r="I837" s="123"/>
      <c r="K837" s="12"/>
      <c r="L837" s="12"/>
      <c r="M837" s="12" t="s">
        <v>733</v>
      </c>
    </row>
    <row r="838">
      <c r="C838" s="12"/>
      <c r="G838" s="17"/>
      <c r="I838" s="123"/>
      <c r="K838" s="12"/>
      <c r="L838" s="12"/>
      <c r="M838" s="12" t="s">
        <v>733</v>
      </c>
    </row>
    <row r="839">
      <c r="C839" s="12"/>
      <c r="G839" s="17"/>
      <c r="I839" s="123"/>
      <c r="K839" s="12"/>
      <c r="L839" s="12"/>
      <c r="M839" s="12" t="s">
        <v>733</v>
      </c>
    </row>
    <row r="840">
      <c r="C840" s="12"/>
      <c r="G840" s="17"/>
      <c r="I840" s="123"/>
      <c r="K840" s="12"/>
      <c r="L840" s="12"/>
      <c r="M840" s="12" t="s">
        <v>733</v>
      </c>
    </row>
    <row r="841">
      <c r="C841" s="12"/>
      <c r="G841" s="17"/>
      <c r="I841" s="123"/>
      <c r="K841" s="12"/>
      <c r="L841" s="12"/>
      <c r="M841" s="12" t="s">
        <v>733</v>
      </c>
    </row>
    <row r="842">
      <c r="C842" s="12"/>
      <c r="G842" s="17"/>
      <c r="I842" s="123"/>
      <c r="K842" s="12"/>
      <c r="L842" s="12"/>
      <c r="M842" s="12" t="s">
        <v>733</v>
      </c>
    </row>
    <row r="843">
      <c r="C843" s="12"/>
      <c r="G843" s="17"/>
      <c r="I843" s="123"/>
      <c r="K843" s="12"/>
      <c r="L843" s="12"/>
      <c r="M843" s="12" t="s">
        <v>733</v>
      </c>
    </row>
    <row r="844">
      <c r="C844" s="12"/>
      <c r="G844" s="17"/>
      <c r="I844" s="123"/>
      <c r="K844" s="12"/>
      <c r="L844" s="12"/>
      <c r="M844" s="12" t="s">
        <v>733</v>
      </c>
    </row>
    <row r="845">
      <c r="C845" s="12"/>
      <c r="G845" s="17"/>
      <c r="I845" s="123"/>
      <c r="K845" s="12"/>
      <c r="L845" s="12"/>
      <c r="M845" s="12" t="s">
        <v>733</v>
      </c>
    </row>
    <row r="846">
      <c r="C846" s="12"/>
      <c r="G846" s="17"/>
      <c r="I846" s="123"/>
      <c r="K846" s="12"/>
      <c r="L846" s="12"/>
      <c r="M846" s="12" t="s">
        <v>733</v>
      </c>
    </row>
    <row r="847">
      <c r="C847" s="12"/>
      <c r="G847" s="17"/>
      <c r="I847" s="123"/>
      <c r="K847" s="12"/>
      <c r="L847" s="12"/>
      <c r="M847" s="12" t="s">
        <v>733</v>
      </c>
    </row>
    <row r="848">
      <c r="C848" s="12"/>
      <c r="G848" s="17"/>
      <c r="I848" s="123"/>
      <c r="K848" s="12"/>
      <c r="L848" s="12"/>
      <c r="M848" s="12" t="s">
        <v>733</v>
      </c>
    </row>
    <row r="849">
      <c r="C849" s="12"/>
      <c r="G849" s="17"/>
      <c r="I849" s="123"/>
      <c r="K849" s="12"/>
      <c r="L849" s="12"/>
      <c r="M849" s="12" t="s">
        <v>733</v>
      </c>
    </row>
    <row r="850">
      <c r="C850" s="12"/>
      <c r="G850" s="17"/>
      <c r="I850" s="123"/>
      <c r="K850" s="12"/>
      <c r="L850" s="12"/>
      <c r="M850" s="12" t="s">
        <v>733</v>
      </c>
    </row>
    <row r="851">
      <c r="C851" s="12"/>
      <c r="G851" s="17"/>
      <c r="I851" s="123"/>
      <c r="K851" s="12"/>
      <c r="L851" s="12"/>
      <c r="M851" s="12" t="s">
        <v>733</v>
      </c>
    </row>
    <row r="852">
      <c r="C852" s="12"/>
      <c r="G852" s="17"/>
      <c r="I852" s="123"/>
      <c r="K852" s="12"/>
      <c r="L852" s="12"/>
      <c r="M852" s="12" t="s">
        <v>733</v>
      </c>
    </row>
    <row r="853">
      <c r="C853" s="12"/>
      <c r="G853" s="17"/>
      <c r="I853" s="123"/>
      <c r="K853" s="12"/>
      <c r="L853" s="12"/>
      <c r="M853" s="12" t="s">
        <v>733</v>
      </c>
    </row>
    <row r="854">
      <c r="C854" s="12"/>
      <c r="G854" s="17"/>
      <c r="I854" s="123"/>
      <c r="K854" s="12"/>
      <c r="L854" s="12"/>
      <c r="M854" s="12" t="s">
        <v>733</v>
      </c>
    </row>
    <row r="855">
      <c r="C855" s="12"/>
      <c r="G855" s="17"/>
      <c r="I855" s="123"/>
      <c r="K855" s="12"/>
      <c r="L855" s="12"/>
      <c r="M855" s="12" t="s">
        <v>733</v>
      </c>
    </row>
    <row r="856">
      <c r="C856" s="12"/>
      <c r="G856" s="17"/>
      <c r="I856" s="123"/>
      <c r="K856" s="12"/>
      <c r="L856" s="12"/>
      <c r="M856" s="12" t="s">
        <v>733</v>
      </c>
    </row>
    <row r="857">
      <c r="C857" s="12"/>
      <c r="G857" s="17"/>
      <c r="I857" s="123"/>
      <c r="K857" s="12"/>
      <c r="L857" s="12"/>
      <c r="M857" s="12" t="s">
        <v>733</v>
      </c>
    </row>
    <row r="858">
      <c r="C858" s="12"/>
      <c r="G858" s="17"/>
      <c r="I858" s="123"/>
      <c r="K858" s="12"/>
      <c r="L858" s="12"/>
      <c r="M858" s="12" t="s">
        <v>733</v>
      </c>
    </row>
    <row r="859">
      <c r="C859" s="12"/>
      <c r="G859" s="17"/>
      <c r="I859" s="123"/>
      <c r="K859" s="12"/>
      <c r="L859" s="12"/>
      <c r="M859" s="12" t="s">
        <v>733</v>
      </c>
    </row>
    <row r="860">
      <c r="C860" s="12"/>
      <c r="G860" s="17"/>
      <c r="I860" s="123"/>
      <c r="K860" s="12"/>
      <c r="L860" s="12"/>
      <c r="M860" s="12" t="s">
        <v>733</v>
      </c>
    </row>
    <row r="861">
      <c r="C861" s="12"/>
      <c r="G861" s="17"/>
      <c r="I861" s="123"/>
      <c r="K861" s="12"/>
      <c r="L861" s="12"/>
      <c r="M861" s="12" t="s">
        <v>733</v>
      </c>
    </row>
    <row r="862">
      <c r="C862" s="12"/>
      <c r="G862" s="17"/>
      <c r="I862" s="123"/>
      <c r="K862" s="12"/>
      <c r="L862" s="12"/>
      <c r="M862" s="12" t="s">
        <v>733</v>
      </c>
    </row>
    <row r="863">
      <c r="C863" s="12"/>
      <c r="G863" s="17"/>
      <c r="I863" s="123"/>
      <c r="K863" s="12"/>
      <c r="L863" s="12"/>
      <c r="M863" s="12" t="s">
        <v>733</v>
      </c>
    </row>
    <row r="864">
      <c r="C864" s="12"/>
      <c r="G864" s="17"/>
      <c r="I864" s="123"/>
      <c r="K864" s="12"/>
      <c r="L864" s="12"/>
      <c r="M864" s="12" t="s">
        <v>733</v>
      </c>
    </row>
    <row r="865">
      <c r="C865" s="12"/>
      <c r="G865" s="17"/>
      <c r="I865" s="123"/>
      <c r="K865" s="12"/>
      <c r="L865" s="12"/>
      <c r="M865" s="12" t="s">
        <v>733</v>
      </c>
    </row>
    <row r="866">
      <c r="C866" s="12"/>
      <c r="G866" s="17"/>
      <c r="I866" s="123"/>
      <c r="K866" s="12"/>
      <c r="L866" s="12"/>
      <c r="M866" s="12" t="s">
        <v>733</v>
      </c>
    </row>
    <row r="867">
      <c r="C867" s="12"/>
      <c r="G867" s="17"/>
      <c r="I867" s="123"/>
      <c r="K867" s="12"/>
      <c r="L867" s="12"/>
      <c r="M867" s="12" t="s">
        <v>733</v>
      </c>
    </row>
    <row r="868">
      <c r="C868" s="12"/>
      <c r="G868" s="17"/>
      <c r="I868" s="123"/>
      <c r="K868" s="12"/>
      <c r="L868" s="12"/>
      <c r="M868" s="12" t="s">
        <v>733</v>
      </c>
    </row>
    <row r="869">
      <c r="C869" s="12"/>
      <c r="G869" s="17"/>
      <c r="I869" s="123"/>
      <c r="K869" s="12"/>
      <c r="L869" s="12"/>
      <c r="M869" s="12" t="s">
        <v>733</v>
      </c>
    </row>
    <row r="870">
      <c r="C870" s="12"/>
      <c r="G870" s="17"/>
      <c r="I870" s="123"/>
      <c r="K870" s="12"/>
      <c r="L870" s="12"/>
      <c r="M870" s="12" t="s">
        <v>733</v>
      </c>
    </row>
    <row r="871">
      <c r="C871" s="12"/>
      <c r="G871" s="17"/>
      <c r="I871" s="123"/>
      <c r="K871" s="12"/>
      <c r="L871" s="12"/>
      <c r="M871" s="12" t="s">
        <v>733</v>
      </c>
    </row>
    <row r="872">
      <c r="C872" s="12"/>
      <c r="G872" s="17"/>
      <c r="I872" s="123"/>
      <c r="K872" s="12"/>
      <c r="L872" s="12"/>
      <c r="M872" s="12" t="s">
        <v>733</v>
      </c>
    </row>
    <row r="873">
      <c r="C873" s="12"/>
      <c r="G873" s="17"/>
      <c r="I873" s="123"/>
      <c r="K873" s="12"/>
      <c r="L873" s="12"/>
      <c r="M873" s="12" t="s">
        <v>733</v>
      </c>
    </row>
    <row r="874">
      <c r="C874" s="12"/>
      <c r="G874" s="17"/>
      <c r="I874" s="123"/>
      <c r="K874" s="12"/>
      <c r="L874" s="12"/>
      <c r="M874" s="12" t="s">
        <v>733</v>
      </c>
    </row>
    <row r="875">
      <c r="C875" s="12"/>
      <c r="G875" s="17"/>
      <c r="I875" s="123"/>
      <c r="K875" s="12"/>
      <c r="L875" s="12"/>
      <c r="M875" s="12" t="s">
        <v>733</v>
      </c>
    </row>
    <row r="876">
      <c r="C876" s="12"/>
      <c r="G876" s="17"/>
      <c r="I876" s="123"/>
      <c r="K876" s="12"/>
      <c r="L876" s="12"/>
      <c r="M876" s="12" t="s">
        <v>733</v>
      </c>
    </row>
    <row r="877">
      <c r="C877" s="12"/>
      <c r="G877" s="17"/>
      <c r="I877" s="123"/>
      <c r="K877" s="12"/>
      <c r="L877" s="12"/>
      <c r="M877" s="12" t="s">
        <v>733</v>
      </c>
    </row>
    <row r="878">
      <c r="C878" s="12"/>
      <c r="G878" s="17"/>
      <c r="I878" s="123"/>
      <c r="K878" s="12"/>
      <c r="L878" s="12"/>
      <c r="M878" s="12" t="s">
        <v>733</v>
      </c>
    </row>
    <row r="879">
      <c r="C879" s="12"/>
      <c r="G879" s="17"/>
      <c r="I879" s="123"/>
      <c r="K879" s="12"/>
      <c r="L879" s="12"/>
      <c r="M879" s="12" t="s">
        <v>733</v>
      </c>
    </row>
    <row r="880">
      <c r="C880" s="12"/>
      <c r="G880" s="17"/>
      <c r="I880" s="123"/>
      <c r="K880" s="12"/>
      <c r="L880" s="12"/>
      <c r="M880" s="12" t="s">
        <v>733</v>
      </c>
    </row>
    <row r="881">
      <c r="C881" s="12"/>
      <c r="G881" s="17"/>
      <c r="I881" s="123"/>
      <c r="K881" s="12"/>
      <c r="L881" s="12"/>
      <c r="M881" s="12" t="s">
        <v>733</v>
      </c>
    </row>
    <row r="882">
      <c r="C882" s="12"/>
      <c r="G882" s="17"/>
      <c r="I882" s="123"/>
      <c r="K882" s="12"/>
      <c r="L882" s="12"/>
      <c r="M882" s="12" t="s">
        <v>733</v>
      </c>
    </row>
    <row r="883">
      <c r="C883" s="12"/>
      <c r="G883" s="17"/>
      <c r="I883" s="123"/>
      <c r="K883" s="12"/>
      <c r="L883" s="12"/>
      <c r="M883" s="12" t="s">
        <v>733</v>
      </c>
    </row>
    <row r="884">
      <c r="C884" s="12"/>
      <c r="G884" s="17"/>
      <c r="I884" s="123"/>
      <c r="K884" s="12"/>
      <c r="L884" s="12"/>
      <c r="M884" s="12" t="s">
        <v>733</v>
      </c>
    </row>
    <row r="885">
      <c r="C885" s="12"/>
      <c r="G885" s="17"/>
      <c r="I885" s="123"/>
      <c r="K885" s="12"/>
      <c r="L885" s="12"/>
      <c r="M885" s="12" t="s">
        <v>733</v>
      </c>
    </row>
    <row r="886">
      <c r="C886" s="12"/>
      <c r="G886" s="17"/>
      <c r="I886" s="123"/>
      <c r="K886" s="12"/>
      <c r="L886" s="12"/>
      <c r="M886" s="12" t="s">
        <v>733</v>
      </c>
    </row>
    <row r="887">
      <c r="C887" s="12"/>
      <c r="G887" s="17"/>
      <c r="I887" s="123"/>
      <c r="K887" s="12"/>
      <c r="L887" s="12"/>
      <c r="M887" s="12" t="s">
        <v>733</v>
      </c>
    </row>
    <row r="888">
      <c r="C888" s="12"/>
      <c r="G888" s="17"/>
      <c r="I888" s="123"/>
      <c r="K888" s="12"/>
      <c r="L888" s="12"/>
      <c r="M888" s="12" t="s">
        <v>733</v>
      </c>
    </row>
    <row r="889">
      <c r="C889" s="12"/>
      <c r="G889" s="17"/>
      <c r="I889" s="123"/>
      <c r="K889" s="12"/>
      <c r="L889" s="12"/>
      <c r="M889" s="12" t="s">
        <v>733</v>
      </c>
    </row>
    <row r="890">
      <c r="C890" s="12"/>
      <c r="G890" s="17"/>
      <c r="I890" s="123"/>
      <c r="K890" s="12"/>
      <c r="L890" s="12"/>
      <c r="M890" s="12" t="s">
        <v>733</v>
      </c>
    </row>
    <row r="891">
      <c r="C891" s="12"/>
      <c r="G891" s="17"/>
      <c r="I891" s="123"/>
      <c r="K891" s="12"/>
      <c r="L891" s="12"/>
      <c r="M891" s="12" t="s">
        <v>733</v>
      </c>
    </row>
    <row r="892">
      <c r="C892" s="12"/>
      <c r="G892" s="17"/>
      <c r="I892" s="123"/>
      <c r="K892" s="12"/>
      <c r="L892" s="12"/>
      <c r="M892" s="12" t="s">
        <v>733</v>
      </c>
    </row>
    <row r="893">
      <c r="C893" s="12"/>
      <c r="G893" s="17"/>
      <c r="I893" s="123"/>
      <c r="K893" s="12"/>
      <c r="L893" s="12"/>
      <c r="M893" s="12" t="s">
        <v>733</v>
      </c>
    </row>
    <row r="894">
      <c r="C894" s="12"/>
      <c r="G894" s="17"/>
      <c r="I894" s="123"/>
      <c r="K894" s="12"/>
      <c r="L894" s="12"/>
      <c r="M894" s="12" t="s">
        <v>733</v>
      </c>
    </row>
    <row r="895">
      <c r="C895" s="12"/>
      <c r="G895" s="17"/>
      <c r="I895" s="123"/>
      <c r="K895" s="12"/>
      <c r="L895" s="12"/>
      <c r="M895" s="12" t="s">
        <v>733</v>
      </c>
    </row>
    <row r="896">
      <c r="C896" s="12"/>
      <c r="G896" s="17"/>
      <c r="I896" s="123"/>
      <c r="K896" s="12"/>
      <c r="L896" s="12"/>
      <c r="M896" s="12" t="s">
        <v>733</v>
      </c>
    </row>
    <row r="897">
      <c r="C897" s="12"/>
      <c r="G897" s="17"/>
      <c r="I897" s="123"/>
      <c r="K897" s="12"/>
      <c r="L897" s="12"/>
      <c r="M897" s="12" t="s">
        <v>733</v>
      </c>
    </row>
    <row r="898">
      <c r="C898" s="12"/>
      <c r="G898" s="17"/>
      <c r="I898" s="123"/>
      <c r="K898" s="12"/>
      <c r="L898" s="12"/>
      <c r="M898" s="12" t="s">
        <v>733</v>
      </c>
    </row>
    <row r="899">
      <c r="C899" s="12"/>
      <c r="G899" s="17"/>
      <c r="I899" s="123"/>
      <c r="K899" s="12"/>
      <c r="L899" s="12"/>
      <c r="M899" s="12" t="s">
        <v>733</v>
      </c>
    </row>
    <row r="900">
      <c r="C900" s="12"/>
      <c r="G900" s="17"/>
      <c r="I900" s="123"/>
      <c r="K900" s="12"/>
      <c r="L900" s="12"/>
      <c r="M900" s="12" t="s">
        <v>733</v>
      </c>
    </row>
    <row r="901">
      <c r="C901" s="12"/>
      <c r="G901" s="17"/>
      <c r="I901" s="123"/>
      <c r="K901" s="12"/>
      <c r="L901" s="12"/>
      <c r="M901" s="12" t="s">
        <v>733</v>
      </c>
    </row>
    <row r="902">
      <c r="C902" s="12"/>
      <c r="G902" s="17"/>
      <c r="I902" s="123"/>
      <c r="K902" s="12"/>
      <c r="L902" s="12"/>
      <c r="M902" s="12" t="s">
        <v>733</v>
      </c>
    </row>
    <row r="903">
      <c r="C903" s="12"/>
      <c r="G903" s="17"/>
      <c r="I903" s="123"/>
      <c r="K903" s="12"/>
      <c r="L903" s="12"/>
      <c r="M903" s="12" t="s">
        <v>733</v>
      </c>
    </row>
    <row r="904">
      <c r="C904" s="12"/>
      <c r="G904" s="17"/>
      <c r="I904" s="123"/>
      <c r="K904" s="12"/>
      <c r="L904" s="12"/>
      <c r="M904" s="12" t="s">
        <v>733</v>
      </c>
    </row>
    <row r="905">
      <c r="C905" s="12"/>
      <c r="G905" s="17"/>
      <c r="I905" s="123"/>
      <c r="K905" s="12"/>
      <c r="L905" s="12"/>
      <c r="M905" s="12" t="s">
        <v>733</v>
      </c>
    </row>
    <row r="906">
      <c r="C906" s="12"/>
      <c r="G906" s="17"/>
      <c r="I906" s="123"/>
      <c r="K906" s="12"/>
      <c r="L906" s="12"/>
      <c r="M906" s="12" t="s">
        <v>733</v>
      </c>
    </row>
    <row r="907">
      <c r="C907" s="12"/>
      <c r="G907" s="17"/>
      <c r="I907" s="123"/>
      <c r="K907" s="12"/>
      <c r="L907" s="12"/>
      <c r="M907" s="12" t="s">
        <v>733</v>
      </c>
    </row>
    <row r="908">
      <c r="C908" s="12"/>
      <c r="G908" s="17"/>
      <c r="I908" s="123"/>
      <c r="K908" s="12"/>
      <c r="L908" s="12"/>
      <c r="M908" s="12" t="s">
        <v>733</v>
      </c>
    </row>
    <row r="909">
      <c r="C909" s="12"/>
      <c r="G909" s="17"/>
      <c r="I909" s="123"/>
      <c r="K909" s="12"/>
      <c r="L909" s="12"/>
      <c r="M909" s="12" t="s">
        <v>733</v>
      </c>
    </row>
    <row r="910">
      <c r="C910" s="12"/>
      <c r="G910" s="17"/>
      <c r="I910" s="123"/>
      <c r="K910" s="12"/>
      <c r="L910" s="12"/>
      <c r="M910" s="12" t="s">
        <v>733</v>
      </c>
    </row>
    <row r="911">
      <c r="C911" s="12"/>
      <c r="G911" s="17"/>
      <c r="I911" s="123"/>
      <c r="K911" s="12"/>
      <c r="L911" s="12"/>
      <c r="M911" s="12" t="s">
        <v>733</v>
      </c>
    </row>
    <row r="912">
      <c r="C912" s="12"/>
      <c r="G912" s="17"/>
      <c r="I912" s="123"/>
      <c r="K912" s="12"/>
      <c r="L912" s="12"/>
      <c r="M912" s="12" t="s">
        <v>733</v>
      </c>
    </row>
    <row r="913">
      <c r="C913" s="12"/>
      <c r="G913" s="17"/>
      <c r="I913" s="123"/>
      <c r="K913" s="12"/>
      <c r="L913" s="12"/>
      <c r="M913" s="12" t="s">
        <v>733</v>
      </c>
    </row>
    <row r="914">
      <c r="C914" s="12"/>
      <c r="G914" s="17"/>
      <c r="I914" s="123"/>
      <c r="K914" s="12"/>
      <c r="L914" s="12"/>
      <c r="M914" s="12" t="s">
        <v>733</v>
      </c>
    </row>
    <row r="915">
      <c r="C915" s="12"/>
      <c r="G915" s="17"/>
      <c r="I915" s="123"/>
      <c r="K915" s="12"/>
      <c r="L915" s="12"/>
      <c r="M915" s="12" t="s">
        <v>733</v>
      </c>
    </row>
    <row r="916">
      <c r="C916" s="12"/>
      <c r="G916" s="17"/>
      <c r="I916" s="123"/>
      <c r="K916" s="12"/>
      <c r="L916" s="12"/>
      <c r="M916" s="12" t="s">
        <v>733</v>
      </c>
    </row>
    <row r="917">
      <c r="C917" s="12"/>
      <c r="G917" s="17"/>
      <c r="I917" s="123"/>
      <c r="K917" s="12"/>
      <c r="L917" s="12"/>
      <c r="M917" s="12" t="s">
        <v>733</v>
      </c>
    </row>
    <row r="918">
      <c r="C918" s="12"/>
      <c r="G918" s="17"/>
      <c r="I918" s="123"/>
      <c r="K918" s="12"/>
      <c r="L918" s="12"/>
      <c r="M918" s="12" t="s">
        <v>733</v>
      </c>
    </row>
    <row r="919">
      <c r="C919" s="12"/>
      <c r="G919" s="17"/>
      <c r="I919" s="123"/>
      <c r="K919" s="12"/>
      <c r="L919" s="12"/>
      <c r="M919" s="12" t="s">
        <v>733</v>
      </c>
    </row>
    <row r="920">
      <c r="C920" s="12"/>
      <c r="G920" s="17"/>
      <c r="I920" s="123"/>
      <c r="K920" s="12"/>
      <c r="L920" s="12"/>
      <c r="M920" s="12" t="s">
        <v>733</v>
      </c>
    </row>
    <row r="921">
      <c r="C921" s="12"/>
      <c r="G921" s="17"/>
      <c r="I921" s="123"/>
      <c r="K921" s="12"/>
      <c r="L921" s="12"/>
      <c r="M921" s="12" t="s">
        <v>733</v>
      </c>
    </row>
    <row r="922">
      <c r="C922" s="12"/>
      <c r="G922" s="17"/>
      <c r="I922" s="123"/>
      <c r="K922" s="12"/>
      <c r="L922" s="12"/>
      <c r="M922" s="12" t="s">
        <v>733</v>
      </c>
    </row>
    <row r="923">
      <c r="C923" s="12"/>
      <c r="G923" s="17"/>
      <c r="I923" s="123"/>
      <c r="K923" s="12"/>
      <c r="L923" s="12"/>
      <c r="M923" s="12" t="s">
        <v>733</v>
      </c>
    </row>
    <row r="924">
      <c r="C924" s="12"/>
      <c r="G924" s="17"/>
      <c r="I924" s="123"/>
      <c r="K924" s="12"/>
      <c r="L924" s="12"/>
      <c r="M924" s="12" t="s">
        <v>733</v>
      </c>
    </row>
    <row r="925">
      <c r="C925" s="12"/>
      <c r="G925" s="17"/>
      <c r="I925" s="123"/>
      <c r="K925" s="12"/>
      <c r="L925" s="12"/>
      <c r="M925" s="12" t="s">
        <v>733</v>
      </c>
    </row>
    <row r="926">
      <c r="C926" s="12"/>
      <c r="G926" s="17"/>
      <c r="I926" s="123"/>
      <c r="K926" s="12"/>
      <c r="L926" s="12"/>
      <c r="M926" s="12" t="s">
        <v>733</v>
      </c>
    </row>
    <row r="927">
      <c r="C927" s="12"/>
      <c r="G927" s="17"/>
      <c r="I927" s="123"/>
      <c r="K927" s="12"/>
      <c r="L927" s="12"/>
      <c r="M927" s="12" t="s">
        <v>733</v>
      </c>
    </row>
    <row r="928">
      <c r="C928" s="12"/>
      <c r="G928" s="17"/>
      <c r="I928" s="123"/>
      <c r="K928" s="12"/>
      <c r="L928" s="12"/>
      <c r="M928" s="12" t="s">
        <v>733</v>
      </c>
    </row>
    <row r="929">
      <c r="C929" s="12"/>
      <c r="G929" s="17"/>
      <c r="I929" s="123"/>
      <c r="K929" s="12"/>
      <c r="L929" s="12"/>
      <c r="M929" s="12" t="s">
        <v>733</v>
      </c>
    </row>
    <row r="930">
      <c r="C930" s="12"/>
      <c r="G930" s="17"/>
      <c r="I930" s="123"/>
      <c r="K930" s="12"/>
      <c r="L930" s="12"/>
      <c r="M930" s="12" t="s">
        <v>733</v>
      </c>
    </row>
    <row r="931">
      <c r="C931" s="12"/>
      <c r="G931" s="17"/>
      <c r="I931" s="123"/>
      <c r="K931" s="12"/>
      <c r="L931" s="12"/>
      <c r="M931" s="12" t="s">
        <v>733</v>
      </c>
    </row>
    <row r="932">
      <c r="C932" s="12"/>
      <c r="G932" s="17"/>
      <c r="I932" s="123"/>
      <c r="K932" s="12"/>
      <c r="L932" s="12"/>
      <c r="M932" s="12" t="s">
        <v>733</v>
      </c>
    </row>
    <row r="933">
      <c r="C933" s="12"/>
      <c r="G933" s="17"/>
      <c r="I933" s="123"/>
      <c r="K933" s="12"/>
      <c r="L933" s="12"/>
      <c r="M933" s="12" t="s">
        <v>733</v>
      </c>
    </row>
    <row r="934">
      <c r="C934" s="12"/>
      <c r="G934" s="17"/>
      <c r="I934" s="123"/>
      <c r="K934" s="12"/>
      <c r="L934" s="12"/>
      <c r="M934" s="12" t="s">
        <v>733</v>
      </c>
    </row>
    <row r="935">
      <c r="C935" s="12"/>
      <c r="G935" s="17"/>
      <c r="I935" s="123"/>
      <c r="K935" s="12"/>
      <c r="L935" s="12"/>
      <c r="M935" s="12" t="s">
        <v>733</v>
      </c>
    </row>
    <row r="936">
      <c r="C936" s="12"/>
      <c r="G936" s="17"/>
      <c r="I936" s="123"/>
      <c r="K936" s="12"/>
      <c r="L936" s="12"/>
      <c r="M936" s="12" t="s">
        <v>733</v>
      </c>
    </row>
    <row r="937">
      <c r="C937" s="12"/>
      <c r="G937" s="17"/>
      <c r="I937" s="123"/>
      <c r="K937" s="12"/>
      <c r="L937" s="12"/>
      <c r="M937" s="12" t="s">
        <v>733</v>
      </c>
    </row>
    <row r="938">
      <c r="C938" s="12"/>
      <c r="G938" s="17"/>
      <c r="I938" s="123"/>
      <c r="K938" s="12"/>
      <c r="L938" s="12"/>
      <c r="M938" s="12" t="s">
        <v>733</v>
      </c>
    </row>
    <row r="939">
      <c r="C939" s="12"/>
      <c r="G939" s="17"/>
      <c r="I939" s="123"/>
      <c r="K939" s="12"/>
      <c r="L939" s="12"/>
      <c r="M939" s="12" t="s">
        <v>733</v>
      </c>
    </row>
    <row r="940">
      <c r="C940" s="12"/>
      <c r="G940" s="17"/>
      <c r="I940" s="123"/>
      <c r="K940" s="12"/>
      <c r="L940" s="12"/>
      <c r="M940" s="12" t="s">
        <v>733</v>
      </c>
    </row>
    <row r="941">
      <c r="C941" s="12"/>
      <c r="G941" s="17"/>
      <c r="I941" s="123"/>
      <c r="K941" s="12"/>
      <c r="L941" s="12"/>
      <c r="M941" s="12" t="s">
        <v>733</v>
      </c>
    </row>
    <row r="942">
      <c r="C942" s="12"/>
      <c r="G942" s="17"/>
      <c r="I942" s="123"/>
      <c r="K942" s="12"/>
      <c r="L942" s="12"/>
      <c r="M942" s="12" t="s">
        <v>733</v>
      </c>
    </row>
    <row r="943">
      <c r="C943" s="12"/>
      <c r="G943" s="17"/>
      <c r="I943" s="123"/>
      <c r="K943" s="12"/>
      <c r="L943" s="12"/>
      <c r="M943" s="12" t="s">
        <v>733</v>
      </c>
    </row>
    <row r="944">
      <c r="C944" s="12"/>
      <c r="G944" s="17"/>
      <c r="I944" s="123"/>
      <c r="K944" s="12"/>
      <c r="L944" s="12"/>
      <c r="M944" s="12" t="s">
        <v>733</v>
      </c>
    </row>
    <row r="945">
      <c r="C945" s="12"/>
      <c r="G945" s="17"/>
      <c r="I945" s="123"/>
      <c r="K945" s="12"/>
      <c r="L945" s="12"/>
      <c r="M945" s="12" t="s">
        <v>733</v>
      </c>
    </row>
    <row r="946">
      <c r="C946" s="12"/>
      <c r="G946" s="17"/>
      <c r="I946" s="123"/>
      <c r="K946" s="12"/>
      <c r="L946" s="12"/>
      <c r="M946" s="12" t="s">
        <v>733</v>
      </c>
    </row>
    <row r="947">
      <c r="C947" s="12"/>
      <c r="G947" s="17"/>
      <c r="I947" s="123"/>
      <c r="K947" s="12"/>
      <c r="L947" s="12"/>
      <c r="M947" s="12" t="s">
        <v>733</v>
      </c>
    </row>
    <row r="948">
      <c r="C948" s="12"/>
      <c r="G948" s="17"/>
      <c r="I948" s="123"/>
      <c r="K948" s="12"/>
      <c r="L948" s="12"/>
      <c r="M948" s="12" t="s">
        <v>733</v>
      </c>
    </row>
    <row r="949">
      <c r="C949" s="12"/>
      <c r="G949" s="17"/>
      <c r="I949" s="123"/>
      <c r="K949" s="12"/>
      <c r="L949" s="12"/>
      <c r="M949" s="12" t="s">
        <v>733</v>
      </c>
    </row>
    <row r="950">
      <c r="C950" s="12"/>
      <c r="G950" s="17"/>
      <c r="I950" s="123"/>
      <c r="K950" s="12"/>
      <c r="L950" s="12"/>
      <c r="M950" s="12" t="s">
        <v>733</v>
      </c>
    </row>
    <row r="951">
      <c r="C951" s="12"/>
      <c r="G951" s="17"/>
      <c r="I951" s="123"/>
      <c r="K951" s="12"/>
      <c r="L951" s="12"/>
      <c r="M951" s="12" t="s">
        <v>733</v>
      </c>
    </row>
    <row r="952">
      <c r="C952" s="12"/>
      <c r="G952" s="17"/>
      <c r="I952" s="123"/>
      <c r="K952" s="12"/>
      <c r="L952" s="12"/>
      <c r="M952" s="12" t="s">
        <v>733</v>
      </c>
    </row>
    <row r="953">
      <c r="C953" s="12"/>
      <c r="G953" s="17"/>
      <c r="I953" s="123"/>
      <c r="K953" s="12"/>
      <c r="L953" s="12"/>
      <c r="M953" s="12" t="s">
        <v>733</v>
      </c>
    </row>
    <row r="954">
      <c r="C954" s="12"/>
      <c r="G954" s="17"/>
      <c r="I954" s="123"/>
      <c r="K954" s="12"/>
      <c r="L954" s="12"/>
      <c r="M954" s="12" t="s">
        <v>733</v>
      </c>
    </row>
    <row r="955">
      <c r="C955" s="12"/>
      <c r="G955" s="17"/>
      <c r="I955" s="123"/>
      <c r="K955" s="12"/>
      <c r="L955" s="12"/>
      <c r="M955" s="12" t="s">
        <v>733</v>
      </c>
    </row>
    <row r="956">
      <c r="C956" s="12"/>
      <c r="G956" s="17"/>
      <c r="I956" s="123"/>
      <c r="K956" s="12"/>
      <c r="L956" s="12"/>
      <c r="M956" s="12" t="s">
        <v>733</v>
      </c>
    </row>
    <row r="957">
      <c r="C957" s="12"/>
      <c r="G957" s="17"/>
      <c r="I957" s="123"/>
      <c r="K957" s="12"/>
      <c r="L957" s="12"/>
      <c r="M957" s="12" t="s">
        <v>733</v>
      </c>
    </row>
    <row r="958">
      <c r="C958" s="12"/>
      <c r="G958" s="17"/>
      <c r="I958" s="123"/>
      <c r="K958" s="12"/>
      <c r="L958" s="12"/>
      <c r="M958" s="12" t="s">
        <v>733</v>
      </c>
    </row>
    <row r="959">
      <c r="C959" s="12"/>
      <c r="G959" s="17"/>
      <c r="I959" s="123"/>
      <c r="K959" s="12"/>
      <c r="L959" s="12"/>
      <c r="M959" s="12" t="s">
        <v>733</v>
      </c>
    </row>
    <row r="960">
      <c r="C960" s="12"/>
      <c r="G960" s="17"/>
      <c r="I960" s="123"/>
      <c r="K960" s="12"/>
      <c r="L960" s="12"/>
      <c r="M960" s="12" t="s">
        <v>733</v>
      </c>
    </row>
    <row r="961">
      <c r="C961" s="12"/>
      <c r="G961" s="17"/>
      <c r="I961" s="123"/>
      <c r="K961" s="12"/>
      <c r="L961" s="12"/>
      <c r="M961" s="12" t="s">
        <v>733</v>
      </c>
    </row>
    <row r="962">
      <c r="C962" s="12"/>
      <c r="G962" s="17"/>
      <c r="I962" s="123"/>
      <c r="K962" s="12"/>
      <c r="L962" s="12"/>
      <c r="M962" s="12" t="s">
        <v>733</v>
      </c>
    </row>
    <row r="963">
      <c r="C963" s="12"/>
      <c r="G963" s="17"/>
      <c r="I963" s="123"/>
      <c r="K963" s="12"/>
      <c r="L963" s="12"/>
      <c r="M963" s="12" t="s">
        <v>733</v>
      </c>
    </row>
    <row r="964">
      <c r="C964" s="12"/>
      <c r="G964" s="17"/>
      <c r="I964" s="123"/>
      <c r="K964" s="12"/>
      <c r="L964" s="12"/>
      <c r="M964" s="12" t="s">
        <v>733</v>
      </c>
    </row>
    <row r="965">
      <c r="C965" s="12"/>
      <c r="G965" s="17"/>
      <c r="I965" s="123"/>
      <c r="K965" s="12"/>
      <c r="L965" s="12"/>
      <c r="M965" s="12" t="s">
        <v>733</v>
      </c>
    </row>
    <row r="966">
      <c r="C966" s="12"/>
      <c r="G966" s="17"/>
      <c r="I966" s="123"/>
      <c r="K966" s="12"/>
      <c r="L966" s="12"/>
      <c r="M966" s="12" t="s">
        <v>733</v>
      </c>
    </row>
    <row r="967">
      <c r="C967" s="12"/>
      <c r="G967" s="17"/>
      <c r="I967" s="123"/>
      <c r="K967" s="12"/>
      <c r="L967" s="12"/>
      <c r="M967" s="12" t="s">
        <v>733</v>
      </c>
    </row>
    <row r="968">
      <c r="C968" s="12"/>
      <c r="G968" s="17"/>
      <c r="I968" s="123"/>
      <c r="K968" s="12"/>
      <c r="L968" s="12"/>
      <c r="M968" s="12" t="s">
        <v>733</v>
      </c>
    </row>
    <row r="969">
      <c r="C969" s="12"/>
      <c r="G969" s="17"/>
      <c r="I969" s="123"/>
      <c r="K969" s="12"/>
      <c r="L969" s="12"/>
      <c r="M969" s="12" t="s">
        <v>733</v>
      </c>
    </row>
    <row r="970">
      <c r="C970" s="12"/>
      <c r="G970" s="17"/>
      <c r="I970" s="123"/>
      <c r="K970" s="12"/>
      <c r="L970" s="12"/>
      <c r="M970" s="12" t="s">
        <v>733</v>
      </c>
    </row>
    <row r="971">
      <c r="C971" s="12"/>
      <c r="G971" s="17"/>
      <c r="I971" s="123"/>
      <c r="K971" s="12"/>
      <c r="L971" s="12"/>
      <c r="M971" s="12" t="s">
        <v>733</v>
      </c>
    </row>
    <row r="972">
      <c r="C972" s="12"/>
      <c r="G972" s="17"/>
      <c r="I972" s="123"/>
      <c r="K972" s="12"/>
      <c r="L972" s="12"/>
      <c r="M972" s="12" t="s">
        <v>733</v>
      </c>
    </row>
    <row r="973">
      <c r="C973" s="12"/>
      <c r="G973" s="17"/>
      <c r="I973" s="123"/>
      <c r="K973" s="12"/>
      <c r="L973" s="12"/>
      <c r="M973" s="12" t="s">
        <v>733</v>
      </c>
    </row>
    <row r="974">
      <c r="C974" s="12"/>
      <c r="G974" s="17"/>
      <c r="I974" s="123"/>
      <c r="K974" s="12"/>
      <c r="L974" s="12"/>
      <c r="M974" s="12" t="s">
        <v>733</v>
      </c>
    </row>
    <row r="975">
      <c r="C975" s="12"/>
      <c r="G975" s="17"/>
      <c r="I975" s="123"/>
      <c r="K975" s="12"/>
      <c r="L975" s="12"/>
      <c r="M975" s="12" t="s">
        <v>733</v>
      </c>
    </row>
    <row r="976">
      <c r="C976" s="12"/>
      <c r="G976" s="17"/>
      <c r="I976" s="123"/>
      <c r="K976" s="12"/>
      <c r="L976" s="12"/>
      <c r="M976" s="12" t="s">
        <v>733</v>
      </c>
    </row>
    <row r="977">
      <c r="C977" s="12"/>
      <c r="G977" s="17"/>
      <c r="I977" s="123"/>
      <c r="K977" s="12"/>
      <c r="L977" s="12"/>
      <c r="M977" s="12" t="s">
        <v>733</v>
      </c>
    </row>
    <row r="978">
      <c r="C978" s="12"/>
      <c r="G978" s="17"/>
      <c r="I978" s="123"/>
      <c r="K978" s="12"/>
      <c r="L978" s="12"/>
      <c r="M978" s="12" t="s">
        <v>733</v>
      </c>
    </row>
    <row r="979">
      <c r="C979" s="12"/>
      <c r="G979" s="17"/>
      <c r="I979" s="123"/>
      <c r="K979" s="12"/>
      <c r="L979" s="12"/>
      <c r="M979" s="12" t="s">
        <v>733</v>
      </c>
    </row>
    <row r="980">
      <c r="C980" s="12"/>
      <c r="G980" s="17"/>
      <c r="I980" s="123"/>
      <c r="K980" s="12"/>
      <c r="L980" s="12"/>
      <c r="M980" s="12" t="s">
        <v>733</v>
      </c>
    </row>
    <row r="981">
      <c r="C981" s="12"/>
      <c r="G981" s="17"/>
      <c r="I981" s="123"/>
      <c r="K981" s="12"/>
      <c r="L981" s="12"/>
      <c r="M981" s="12" t="s">
        <v>733</v>
      </c>
    </row>
    <row r="982">
      <c r="C982" s="12"/>
      <c r="G982" s="17"/>
      <c r="I982" s="123"/>
      <c r="K982" s="12"/>
      <c r="L982" s="12"/>
      <c r="M982" s="12" t="s">
        <v>733</v>
      </c>
    </row>
    <row r="983">
      <c r="C983" s="12"/>
      <c r="G983" s="17"/>
      <c r="I983" s="123"/>
      <c r="K983" s="12"/>
      <c r="L983" s="12"/>
      <c r="M983" s="12" t="s">
        <v>733</v>
      </c>
    </row>
    <row r="984">
      <c r="C984" s="12"/>
      <c r="G984" s="17"/>
      <c r="I984" s="123"/>
      <c r="K984" s="12"/>
      <c r="L984" s="12"/>
      <c r="M984" s="12" t="s">
        <v>733</v>
      </c>
    </row>
    <row r="985">
      <c r="C985" s="12"/>
      <c r="G985" s="17"/>
      <c r="I985" s="123"/>
      <c r="K985" s="12"/>
      <c r="L985" s="12"/>
      <c r="M985" s="12" t="s">
        <v>733</v>
      </c>
    </row>
    <row r="986">
      <c r="C986" s="12"/>
      <c r="G986" s="17"/>
      <c r="I986" s="123"/>
      <c r="K986" s="12"/>
      <c r="L986" s="12"/>
      <c r="M986" s="12" t="s">
        <v>733</v>
      </c>
    </row>
    <row r="987">
      <c r="C987" s="12"/>
      <c r="G987" s="17"/>
      <c r="I987" s="123"/>
      <c r="K987" s="12"/>
      <c r="L987" s="12"/>
      <c r="M987" s="12" t="s">
        <v>733</v>
      </c>
    </row>
    <row r="988">
      <c r="C988" s="12"/>
      <c r="G988" s="17"/>
      <c r="I988" s="123"/>
      <c r="K988" s="12"/>
      <c r="L988" s="12"/>
      <c r="M988" s="12" t="s">
        <v>733</v>
      </c>
    </row>
    <row r="989">
      <c r="C989" s="12"/>
      <c r="G989" s="17"/>
      <c r="I989" s="123"/>
      <c r="K989" s="12"/>
      <c r="L989" s="12"/>
      <c r="M989" s="12" t="s">
        <v>733</v>
      </c>
    </row>
    <row r="990">
      <c r="C990" s="12"/>
      <c r="G990" s="17"/>
      <c r="I990" s="123"/>
      <c r="K990" s="12"/>
      <c r="L990" s="12"/>
      <c r="M990" s="12" t="s">
        <v>733</v>
      </c>
    </row>
    <row r="991">
      <c r="C991" s="12"/>
      <c r="G991" s="17"/>
      <c r="I991" s="123"/>
      <c r="K991" s="12"/>
      <c r="L991" s="12"/>
      <c r="M991" s="12" t="s">
        <v>733</v>
      </c>
    </row>
    <row r="992">
      <c r="C992" s="12"/>
      <c r="G992" s="17"/>
      <c r="I992" s="123"/>
      <c r="K992" s="12"/>
      <c r="L992" s="12"/>
      <c r="M992" s="12" t="s">
        <v>733</v>
      </c>
    </row>
    <row r="993">
      <c r="C993" s="12"/>
      <c r="G993" s="17"/>
      <c r="I993" s="123"/>
      <c r="K993" s="12"/>
      <c r="L993" s="12"/>
      <c r="M993" s="12" t="s">
        <v>733</v>
      </c>
    </row>
    <row r="994">
      <c r="C994" s="12"/>
      <c r="G994" s="17"/>
      <c r="I994" s="123"/>
      <c r="K994" s="12"/>
      <c r="L994" s="12"/>
      <c r="M994" s="12" t="s">
        <v>733</v>
      </c>
    </row>
    <row r="995">
      <c r="C995" s="12"/>
      <c r="G995" s="17"/>
      <c r="I995" s="123"/>
      <c r="K995" s="12"/>
      <c r="L995" s="12"/>
      <c r="M995" s="12" t="s">
        <v>733</v>
      </c>
    </row>
    <row r="996">
      <c r="C996" s="12"/>
      <c r="G996" s="17"/>
      <c r="I996" s="123"/>
      <c r="K996" s="12"/>
      <c r="L996" s="12"/>
      <c r="M996" s="12" t="s">
        <v>733</v>
      </c>
    </row>
    <row r="997">
      <c r="C997" s="12"/>
      <c r="G997" s="17"/>
      <c r="I997" s="123"/>
      <c r="K997" s="12"/>
      <c r="L997" s="12"/>
      <c r="M997" s="12" t="s">
        <v>733</v>
      </c>
    </row>
    <row r="998">
      <c r="C998" s="12"/>
      <c r="G998" s="17"/>
      <c r="I998" s="123"/>
      <c r="K998" s="12"/>
      <c r="L998" s="12"/>
      <c r="M998" s="12" t="s">
        <v>733</v>
      </c>
    </row>
    <row r="999">
      <c r="C999" s="12"/>
      <c r="G999" s="17"/>
      <c r="I999" s="123"/>
      <c r="K999" s="12"/>
      <c r="L999" s="12"/>
      <c r="M999" s="12" t="s">
        <v>733</v>
      </c>
    </row>
    <row r="1000">
      <c r="C1000" s="12"/>
      <c r="G1000" s="17"/>
      <c r="I1000" s="123"/>
      <c r="K1000" s="12"/>
      <c r="L1000" s="12"/>
      <c r="M1000" s="12" t="s">
        <v>733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6" width="16.25"/>
  </cols>
  <sheetData>
    <row r="1">
      <c r="A1" s="2" t="s">
        <v>0</v>
      </c>
      <c r="B1" s="2" t="s">
        <v>1150</v>
      </c>
      <c r="C1" s="127" t="s">
        <v>1151</v>
      </c>
      <c r="D1" s="127" t="s">
        <v>1153</v>
      </c>
      <c r="E1" s="127" t="s">
        <v>1154</v>
      </c>
      <c r="F1" s="127" t="s">
        <v>1034</v>
      </c>
      <c r="G1" s="128" t="s">
        <v>1156</v>
      </c>
      <c r="H1" s="128" t="s">
        <v>1157</v>
      </c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</row>
    <row r="2">
      <c r="A2" s="4" t="s">
        <v>1159</v>
      </c>
      <c r="B2" s="130">
        <v>46373.0</v>
      </c>
      <c r="C2" s="9">
        <v>165000.0</v>
      </c>
      <c r="D2" s="17">
        <f t="shared" ref="D2:D25" si="1">C2*3.5%</f>
        <v>5775</v>
      </c>
      <c r="E2" s="17">
        <f t="shared" ref="E2:E25" si="2">C2-D2</f>
        <v>159225</v>
      </c>
      <c r="F2" s="17"/>
      <c r="G2" s="128" t="s">
        <v>1164</v>
      </c>
      <c r="H2" s="17"/>
      <c r="I2" s="12">
        <f>SUM(F2:F1077)</f>
        <v>-4353.88</v>
      </c>
    </row>
    <row r="3">
      <c r="A3" s="4" t="s">
        <v>1159</v>
      </c>
      <c r="B3" s="130">
        <v>46375.0</v>
      </c>
      <c r="C3" s="9">
        <v>163350.0</v>
      </c>
      <c r="D3" s="17">
        <f t="shared" si="1"/>
        <v>5717.25</v>
      </c>
      <c r="E3" s="17">
        <f t="shared" si="2"/>
        <v>157632.75</v>
      </c>
      <c r="F3" s="17"/>
      <c r="G3" s="128" t="s">
        <v>1164</v>
      </c>
      <c r="H3" s="17"/>
    </row>
    <row r="4">
      <c r="A4" s="4" t="s">
        <v>1159</v>
      </c>
      <c r="B4" s="130">
        <v>46378.0</v>
      </c>
      <c r="C4" s="9">
        <v>282150.0</v>
      </c>
      <c r="D4" s="17">
        <f t="shared" si="1"/>
        <v>9875.25</v>
      </c>
      <c r="E4" s="17">
        <f t="shared" si="2"/>
        <v>272274.75</v>
      </c>
      <c r="F4" s="17"/>
      <c r="G4" s="128" t="s">
        <v>1164</v>
      </c>
      <c r="H4" s="17"/>
    </row>
    <row r="5">
      <c r="A5" s="4" t="s">
        <v>1159</v>
      </c>
      <c r="B5" s="130">
        <v>46378.0</v>
      </c>
      <c r="C5" s="9">
        <v>500000.0</v>
      </c>
      <c r="D5" s="17">
        <f t="shared" si="1"/>
        <v>17500</v>
      </c>
      <c r="E5" s="17">
        <f t="shared" si="2"/>
        <v>482500</v>
      </c>
      <c r="F5" s="17"/>
      <c r="G5" s="128" t="s">
        <v>1164</v>
      </c>
      <c r="H5" s="17"/>
    </row>
    <row r="6">
      <c r="A6" s="4" t="s">
        <v>1159</v>
      </c>
      <c r="B6" s="130">
        <v>46379.0</v>
      </c>
      <c r="C6" s="9">
        <v>500000.0</v>
      </c>
      <c r="D6" s="17">
        <f t="shared" si="1"/>
        <v>17500</v>
      </c>
      <c r="E6" s="17">
        <f t="shared" si="2"/>
        <v>482500</v>
      </c>
      <c r="F6" s="17"/>
      <c r="G6" s="128" t="s">
        <v>1164</v>
      </c>
      <c r="H6" s="17"/>
    </row>
    <row r="7">
      <c r="A7" s="4" t="s">
        <v>1159</v>
      </c>
      <c r="B7" s="130">
        <v>46031.0</v>
      </c>
      <c r="C7" s="9">
        <v>75000.0</v>
      </c>
      <c r="D7" s="17">
        <f t="shared" si="1"/>
        <v>2625</v>
      </c>
      <c r="E7" s="17">
        <f t="shared" si="2"/>
        <v>72375</v>
      </c>
      <c r="F7" s="17"/>
      <c r="G7" s="128" t="s">
        <v>1164</v>
      </c>
      <c r="H7" s="17"/>
    </row>
    <row r="8">
      <c r="A8" s="4" t="s">
        <v>1159</v>
      </c>
      <c r="B8" s="130">
        <v>46032.0</v>
      </c>
      <c r="C8" s="9">
        <v>45000.0</v>
      </c>
      <c r="D8" s="17">
        <f t="shared" si="1"/>
        <v>1575</v>
      </c>
      <c r="E8" s="17">
        <f t="shared" si="2"/>
        <v>43425</v>
      </c>
      <c r="F8" s="17"/>
      <c r="G8" s="128" t="s">
        <v>1164</v>
      </c>
      <c r="H8" s="17"/>
    </row>
    <row r="9">
      <c r="A9" s="4" t="s">
        <v>1159</v>
      </c>
      <c r="B9" s="130">
        <v>46032.0</v>
      </c>
      <c r="C9" s="9">
        <v>75000.0</v>
      </c>
      <c r="D9" s="17">
        <f t="shared" si="1"/>
        <v>2625</v>
      </c>
      <c r="E9" s="17">
        <f t="shared" si="2"/>
        <v>72375</v>
      </c>
      <c r="F9" s="131">
        <v>1158.0</v>
      </c>
      <c r="G9" s="128" t="s">
        <v>1164</v>
      </c>
      <c r="H9" s="131">
        <v>1504.58</v>
      </c>
    </row>
    <row r="10">
      <c r="A10" s="19" t="s">
        <v>1170</v>
      </c>
      <c r="B10" s="132">
        <v>46053.0</v>
      </c>
      <c r="C10" s="125">
        <v>0.0</v>
      </c>
      <c r="D10" s="61">
        <f t="shared" si="1"/>
        <v>0</v>
      </c>
      <c r="E10" s="61">
        <f t="shared" si="2"/>
        <v>0</v>
      </c>
      <c r="F10" s="125">
        <v>-2180.0</v>
      </c>
      <c r="G10" s="128" t="s">
        <v>1164</v>
      </c>
      <c r="H10" s="17"/>
    </row>
    <row r="11">
      <c r="A11" s="4" t="s">
        <v>1159</v>
      </c>
      <c r="B11" s="130">
        <v>46058.0</v>
      </c>
      <c r="C11" s="9">
        <v>576000.0</v>
      </c>
      <c r="D11" s="17">
        <f t="shared" si="1"/>
        <v>20160</v>
      </c>
      <c r="E11" s="17">
        <f t="shared" si="2"/>
        <v>555840</v>
      </c>
      <c r="F11" s="131">
        <v>386.0</v>
      </c>
      <c r="G11" s="128" t="s">
        <v>1164</v>
      </c>
      <c r="H11" s="133">
        <f>E11/F11</f>
        <v>1440</v>
      </c>
    </row>
    <row r="12">
      <c r="A12" s="19" t="s">
        <v>1177</v>
      </c>
      <c r="B12" s="132">
        <v>46064.0</v>
      </c>
      <c r="C12" s="125">
        <v>0.0</v>
      </c>
      <c r="D12" s="61">
        <f t="shared" si="1"/>
        <v>0</v>
      </c>
      <c r="E12" s="61">
        <f t="shared" si="2"/>
        <v>0</v>
      </c>
      <c r="F12" s="125">
        <v>-4162.0</v>
      </c>
      <c r="G12" s="128" t="s">
        <v>1164</v>
      </c>
      <c r="H12" s="17"/>
    </row>
    <row r="13">
      <c r="A13" s="4" t="s">
        <v>1159</v>
      </c>
      <c r="B13" s="130">
        <v>46060.0</v>
      </c>
      <c r="C13" s="9">
        <v>150000.0</v>
      </c>
      <c r="D13" s="17">
        <f t="shared" si="1"/>
        <v>5250</v>
      </c>
      <c r="E13" s="17">
        <f t="shared" si="2"/>
        <v>144750</v>
      </c>
      <c r="F13" s="17"/>
      <c r="G13" s="128" t="s">
        <v>1164</v>
      </c>
      <c r="H13" s="17"/>
    </row>
    <row r="14">
      <c r="A14" s="4" t="s">
        <v>1159</v>
      </c>
      <c r="B14" s="130">
        <v>46063.0</v>
      </c>
      <c r="C14" s="9">
        <v>7300.0</v>
      </c>
      <c r="D14" s="17">
        <f t="shared" si="1"/>
        <v>255.5</v>
      </c>
      <c r="E14" s="17">
        <f t="shared" si="2"/>
        <v>7044.5</v>
      </c>
      <c r="F14" s="17"/>
      <c r="G14" s="128" t="s">
        <v>1164</v>
      </c>
      <c r="H14" s="17"/>
    </row>
    <row r="15">
      <c r="A15" s="4" t="s">
        <v>1159</v>
      </c>
      <c r="B15" s="130">
        <v>46063.0</v>
      </c>
      <c r="C15" s="9">
        <v>228000.0</v>
      </c>
      <c r="D15" s="17">
        <f t="shared" si="1"/>
        <v>7980</v>
      </c>
      <c r="E15" s="17">
        <f t="shared" si="2"/>
        <v>220020</v>
      </c>
      <c r="F15" s="17"/>
      <c r="G15" s="128" t="s">
        <v>1164</v>
      </c>
      <c r="H15" s="17"/>
    </row>
    <row r="16">
      <c r="A16" s="4" t="s">
        <v>1178</v>
      </c>
      <c r="B16" s="130">
        <v>46064.0</v>
      </c>
      <c r="C16" s="9">
        <v>0.0</v>
      </c>
      <c r="D16" s="17">
        <f t="shared" si="1"/>
        <v>0</v>
      </c>
      <c r="E16" s="17">
        <f t="shared" si="2"/>
        <v>0</v>
      </c>
      <c r="F16" s="9">
        <v>4000.0</v>
      </c>
      <c r="G16" s="128" t="s">
        <v>1164</v>
      </c>
      <c r="H16" s="17"/>
    </row>
    <row r="17">
      <c r="A17" s="4" t="s">
        <v>1159</v>
      </c>
      <c r="B17" s="130">
        <v>46064.0</v>
      </c>
      <c r="C17" s="9">
        <v>1988075.0</v>
      </c>
      <c r="D17" s="17">
        <f t="shared" si="1"/>
        <v>69582.625</v>
      </c>
      <c r="E17" s="17">
        <f t="shared" si="2"/>
        <v>1918492.375</v>
      </c>
      <c r="F17" s="17"/>
      <c r="G17" s="128" t="s">
        <v>1164</v>
      </c>
      <c r="H17" s="17"/>
    </row>
    <row r="18">
      <c r="A18" s="4" t="s">
        <v>1179</v>
      </c>
      <c r="B18" s="130">
        <v>46065.0</v>
      </c>
      <c r="C18" s="9">
        <v>1875000.0</v>
      </c>
      <c r="D18" s="17">
        <f t="shared" si="1"/>
        <v>65625</v>
      </c>
      <c r="E18" s="17">
        <f t="shared" si="2"/>
        <v>1809375</v>
      </c>
      <c r="F18" s="17"/>
      <c r="G18" s="128" t="s">
        <v>1164</v>
      </c>
      <c r="H18" s="17"/>
    </row>
    <row r="19">
      <c r="A19" s="4" t="s">
        <v>1180</v>
      </c>
      <c r="B19" s="130">
        <v>46065.0</v>
      </c>
      <c r="C19" s="9">
        <v>215250.0</v>
      </c>
      <c r="D19" s="17">
        <f t="shared" si="1"/>
        <v>7533.75</v>
      </c>
      <c r="E19" s="17">
        <f t="shared" si="2"/>
        <v>207716.25</v>
      </c>
      <c r="F19" s="17"/>
      <c r="G19" s="128" t="s">
        <v>1164</v>
      </c>
      <c r="H19" s="17"/>
    </row>
    <row r="20">
      <c r="A20" s="4" t="s">
        <v>1181</v>
      </c>
      <c r="B20" s="130">
        <v>46065.0</v>
      </c>
      <c r="C20" s="9">
        <v>230000.0</v>
      </c>
      <c r="D20" s="17">
        <f t="shared" si="1"/>
        <v>8050</v>
      </c>
      <c r="E20" s="17">
        <f t="shared" si="2"/>
        <v>221950</v>
      </c>
      <c r="F20" s="17"/>
      <c r="G20" s="128" t="s">
        <v>1164</v>
      </c>
      <c r="H20" s="17"/>
    </row>
    <row r="21">
      <c r="A21" s="4" t="s">
        <v>1182</v>
      </c>
      <c r="B21" s="130">
        <v>46066.0</v>
      </c>
      <c r="C21" s="9">
        <v>430000.0</v>
      </c>
      <c r="D21" s="17">
        <f t="shared" si="1"/>
        <v>15050</v>
      </c>
      <c r="E21" s="17">
        <f t="shared" si="2"/>
        <v>414950</v>
      </c>
      <c r="F21" s="17"/>
      <c r="G21" s="128" t="s">
        <v>1164</v>
      </c>
      <c r="H21" s="17"/>
    </row>
    <row r="22">
      <c r="A22" s="4" t="s">
        <v>1183</v>
      </c>
      <c r="B22" s="130">
        <v>46066.0</v>
      </c>
      <c r="C22" s="9">
        <v>426000.0</v>
      </c>
      <c r="D22" s="17">
        <f t="shared" si="1"/>
        <v>14910</v>
      </c>
      <c r="E22" s="17">
        <f t="shared" si="2"/>
        <v>411090</v>
      </c>
      <c r="F22" s="17"/>
      <c r="G22" s="128" t="s">
        <v>1164</v>
      </c>
      <c r="H22" s="17"/>
    </row>
    <row r="23">
      <c r="A23" s="4" t="s">
        <v>1184</v>
      </c>
      <c r="B23" s="130">
        <v>46066.0</v>
      </c>
      <c r="C23" s="9">
        <v>230400.0</v>
      </c>
      <c r="D23" s="17">
        <f t="shared" si="1"/>
        <v>8064</v>
      </c>
      <c r="E23" s="17">
        <f t="shared" si="2"/>
        <v>222336</v>
      </c>
      <c r="F23" s="17"/>
      <c r="G23" s="128" t="s">
        <v>1164</v>
      </c>
      <c r="H23" s="17"/>
    </row>
    <row r="24">
      <c r="A24" s="4" t="s">
        <v>1185</v>
      </c>
      <c r="B24" s="130">
        <v>46066.0</v>
      </c>
      <c r="C24" s="9">
        <v>288000.0</v>
      </c>
      <c r="D24" s="17">
        <f t="shared" si="1"/>
        <v>10080</v>
      </c>
      <c r="E24" s="17">
        <f t="shared" si="2"/>
        <v>277920</v>
      </c>
      <c r="F24" s="17"/>
      <c r="G24" s="128" t="s">
        <v>1164</v>
      </c>
      <c r="H24" s="17"/>
    </row>
    <row r="25">
      <c r="A25" s="4" t="s">
        <v>1183</v>
      </c>
      <c r="B25" s="130">
        <v>46070.0</v>
      </c>
      <c r="C25" s="9">
        <v>710000.0</v>
      </c>
      <c r="D25" s="17">
        <f t="shared" si="1"/>
        <v>24850</v>
      </c>
      <c r="E25" s="17">
        <f t="shared" si="2"/>
        <v>685150</v>
      </c>
      <c r="F25" s="131">
        <v>4542.0</v>
      </c>
      <c r="G25" s="128" t="s">
        <v>1164</v>
      </c>
      <c r="H25" s="133">
        <f>SUM(E13:E25)/F25</f>
        <v>1440.06916</v>
      </c>
    </row>
    <row r="26">
      <c r="A26" s="19" t="s">
        <v>1186</v>
      </c>
      <c r="B26" s="132">
        <v>46067.0</v>
      </c>
      <c r="C26" s="125"/>
      <c r="D26" s="61"/>
      <c r="E26" s="61"/>
      <c r="F26" s="125">
        <v>-2349.0</v>
      </c>
      <c r="G26" s="134" t="s">
        <v>1164</v>
      </c>
      <c r="H26" s="17"/>
    </row>
    <row r="27">
      <c r="A27" s="19" t="s">
        <v>1187</v>
      </c>
      <c r="B27" s="132">
        <v>46071.0</v>
      </c>
      <c r="C27" s="125"/>
      <c r="D27" s="61"/>
      <c r="E27" s="61"/>
      <c r="F27" s="125">
        <v>-3043.0</v>
      </c>
      <c r="G27" s="134" t="s">
        <v>1164</v>
      </c>
      <c r="H27" s="17"/>
    </row>
    <row r="28">
      <c r="A28" s="4" t="s">
        <v>1188</v>
      </c>
      <c r="B28" s="130">
        <v>46072.0</v>
      </c>
      <c r="C28" s="9">
        <v>1000000.0</v>
      </c>
      <c r="D28" s="17">
        <f>C28*3.5%</f>
        <v>35000</v>
      </c>
      <c r="E28" s="17">
        <f>C28-D28</f>
        <v>965000</v>
      </c>
      <c r="F28" s="131">
        <v>694.0</v>
      </c>
      <c r="G28" s="128" t="s">
        <v>1164</v>
      </c>
      <c r="H28" s="133">
        <f>E28/F28</f>
        <v>1390.489914</v>
      </c>
    </row>
    <row r="29">
      <c r="A29" s="4" t="s">
        <v>1188</v>
      </c>
      <c r="B29" s="130">
        <v>46072.0</v>
      </c>
      <c r="C29" s="17"/>
      <c r="D29" s="17"/>
      <c r="E29" s="17"/>
      <c r="F29" s="9">
        <v>1740.0</v>
      </c>
      <c r="G29" s="128" t="s">
        <v>1164</v>
      </c>
      <c r="H29" s="17"/>
    </row>
    <row r="30">
      <c r="A30" s="19" t="s">
        <v>1189</v>
      </c>
      <c r="B30" s="132">
        <v>46072.0</v>
      </c>
      <c r="C30" s="125"/>
      <c r="D30" s="61"/>
      <c r="E30" s="61"/>
      <c r="F30" s="125">
        <v>-304.0</v>
      </c>
      <c r="G30" s="134" t="s">
        <v>1164</v>
      </c>
      <c r="H30" s="17"/>
    </row>
    <row r="31">
      <c r="A31" s="19" t="s">
        <v>1190</v>
      </c>
      <c r="B31" s="132">
        <v>46072.0</v>
      </c>
      <c r="C31" s="125"/>
      <c r="D31" s="61"/>
      <c r="E31" s="61"/>
      <c r="F31" s="125">
        <v>-35.0</v>
      </c>
      <c r="G31" s="134" t="s">
        <v>1164</v>
      </c>
      <c r="H31" s="17"/>
    </row>
    <row r="32">
      <c r="A32" s="4" t="s">
        <v>1180</v>
      </c>
      <c r="B32" s="130">
        <v>46071.0</v>
      </c>
      <c r="C32" s="9">
        <v>452000.0</v>
      </c>
      <c r="D32" s="17">
        <f t="shared" ref="D32:D39" si="3">C32*3.5%</f>
        <v>15820</v>
      </c>
      <c r="E32" s="17">
        <f t="shared" ref="E32:E39" si="4">C32-D32</f>
        <v>436180</v>
      </c>
      <c r="F32" s="17"/>
      <c r="G32" s="128" t="s">
        <v>1164</v>
      </c>
      <c r="H32" s="17"/>
    </row>
    <row r="33">
      <c r="A33" s="4" t="s">
        <v>1191</v>
      </c>
      <c r="B33" s="130">
        <v>46072.0</v>
      </c>
      <c r="C33" s="9">
        <v>115000.0</v>
      </c>
      <c r="D33" s="17">
        <f t="shared" si="3"/>
        <v>4025</v>
      </c>
      <c r="E33" s="17">
        <f t="shared" si="4"/>
        <v>110975</v>
      </c>
      <c r="F33" s="17"/>
      <c r="G33" s="128" t="s">
        <v>1164</v>
      </c>
      <c r="H33" s="17"/>
    </row>
    <row r="34">
      <c r="A34" s="4" t="s">
        <v>1192</v>
      </c>
      <c r="B34" s="130">
        <v>46072.0</v>
      </c>
      <c r="C34" s="9">
        <v>145000.0</v>
      </c>
      <c r="D34" s="17">
        <f t="shared" si="3"/>
        <v>5075</v>
      </c>
      <c r="E34" s="17">
        <f t="shared" si="4"/>
        <v>139925</v>
      </c>
      <c r="F34" s="17"/>
      <c r="G34" s="128" t="s">
        <v>1164</v>
      </c>
      <c r="H34" s="17"/>
    </row>
    <row r="35">
      <c r="A35" s="4" t="s">
        <v>1193</v>
      </c>
      <c r="B35" s="130">
        <v>46072.0</v>
      </c>
      <c r="C35" s="9">
        <v>1022400.0</v>
      </c>
      <c r="D35" s="17">
        <f t="shared" si="3"/>
        <v>35784</v>
      </c>
      <c r="E35" s="17">
        <f t="shared" si="4"/>
        <v>986616</v>
      </c>
      <c r="F35" s="17"/>
      <c r="G35" s="128" t="s">
        <v>1164</v>
      </c>
      <c r="H35" s="17"/>
    </row>
    <row r="36">
      <c r="A36" s="4" t="s">
        <v>1182</v>
      </c>
      <c r="B36" s="130">
        <v>46072.0</v>
      </c>
      <c r="C36" s="9">
        <v>94000.0</v>
      </c>
      <c r="D36" s="17">
        <f t="shared" si="3"/>
        <v>3290</v>
      </c>
      <c r="E36" s="17">
        <f t="shared" si="4"/>
        <v>90710</v>
      </c>
      <c r="F36" s="17"/>
      <c r="G36" s="128" t="s">
        <v>1164</v>
      </c>
      <c r="H36" s="17"/>
    </row>
    <row r="37">
      <c r="A37" s="4" t="s">
        <v>1195</v>
      </c>
      <c r="B37" s="130">
        <v>46073.0</v>
      </c>
      <c r="C37" s="9">
        <v>500000.0</v>
      </c>
      <c r="D37" s="17">
        <f t="shared" si="3"/>
        <v>17500</v>
      </c>
      <c r="E37" s="17">
        <f t="shared" si="4"/>
        <v>482500</v>
      </c>
      <c r="F37" s="9"/>
      <c r="G37" s="128" t="s">
        <v>1164</v>
      </c>
      <c r="H37" s="17"/>
    </row>
    <row r="38">
      <c r="A38" s="4" t="s">
        <v>1196</v>
      </c>
      <c r="B38" s="130">
        <v>46073.0</v>
      </c>
      <c r="C38" s="9">
        <v>1591400.0</v>
      </c>
      <c r="D38" s="17">
        <f t="shared" si="3"/>
        <v>55699</v>
      </c>
      <c r="E38" s="17">
        <f t="shared" si="4"/>
        <v>1535701</v>
      </c>
      <c r="F38" s="17"/>
      <c r="G38" s="128" t="s">
        <v>1164</v>
      </c>
      <c r="H38" s="17"/>
    </row>
    <row r="39">
      <c r="A39" s="4" t="s">
        <v>1182</v>
      </c>
      <c r="B39" s="130">
        <v>46075.0</v>
      </c>
      <c r="C39" s="9">
        <v>543000.0</v>
      </c>
      <c r="D39" s="17">
        <f t="shared" si="3"/>
        <v>19005</v>
      </c>
      <c r="E39" s="17">
        <f t="shared" si="4"/>
        <v>523995</v>
      </c>
      <c r="F39" s="131">
        <v>3001.0</v>
      </c>
      <c r="G39" s="128" t="s">
        <v>1164</v>
      </c>
      <c r="H39" s="133">
        <f>SUM(E32:E39)/F39</f>
        <v>1435.055648</v>
      </c>
    </row>
    <row r="40">
      <c r="A40" s="19" t="s">
        <v>1199</v>
      </c>
      <c r="B40" s="132">
        <v>46077.0</v>
      </c>
      <c r="C40" s="125"/>
      <c r="D40" s="61"/>
      <c r="E40" s="61"/>
      <c r="F40" s="125">
        <v>-7190.0</v>
      </c>
      <c r="G40" s="134" t="s">
        <v>1164</v>
      </c>
      <c r="H40" s="17"/>
    </row>
    <row r="41">
      <c r="A41" s="4" t="s">
        <v>1200</v>
      </c>
      <c r="B41" s="130">
        <v>46077.0</v>
      </c>
      <c r="C41" s="9"/>
      <c r="D41" s="17"/>
      <c r="E41" s="17"/>
      <c r="F41" s="9">
        <v>2000.0</v>
      </c>
      <c r="G41" s="128" t="s">
        <v>1164</v>
      </c>
      <c r="H41" s="17"/>
    </row>
    <row r="42">
      <c r="A42" s="19" t="s">
        <v>1201</v>
      </c>
      <c r="B42" s="132">
        <v>46077.0</v>
      </c>
      <c r="C42" s="125"/>
      <c r="D42" s="61"/>
      <c r="E42" s="61"/>
      <c r="F42" s="125">
        <v>-3243.0</v>
      </c>
      <c r="G42" s="134" t="s">
        <v>1164</v>
      </c>
      <c r="H42" s="17"/>
    </row>
    <row r="43">
      <c r="A43" s="4" t="s">
        <v>1202</v>
      </c>
      <c r="B43" s="130">
        <v>46077.0</v>
      </c>
      <c r="C43" s="9">
        <v>267000.0</v>
      </c>
      <c r="D43" s="17">
        <f t="shared" ref="D43:D51" si="5">C43*3.5%</f>
        <v>9345</v>
      </c>
      <c r="E43" s="17">
        <f t="shared" ref="E43:E51" si="6">C43-D43</f>
        <v>257655</v>
      </c>
      <c r="F43" s="17"/>
      <c r="G43" s="128" t="s">
        <v>1164</v>
      </c>
      <c r="H43" s="17"/>
    </row>
    <row r="44">
      <c r="A44" s="4" t="s">
        <v>1205</v>
      </c>
      <c r="B44" s="130">
        <v>46077.0</v>
      </c>
      <c r="C44" s="9">
        <v>969540.0</v>
      </c>
      <c r="D44" s="17">
        <f t="shared" si="5"/>
        <v>33933.9</v>
      </c>
      <c r="E44" s="17">
        <f t="shared" si="6"/>
        <v>935606.1</v>
      </c>
      <c r="F44" s="17"/>
      <c r="G44" s="128" t="s">
        <v>1164</v>
      </c>
      <c r="H44" s="17"/>
    </row>
    <row r="45">
      <c r="A45" s="4" t="s">
        <v>1206</v>
      </c>
      <c r="B45" s="130">
        <v>46077.0</v>
      </c>
      <c r="C45" s="9">
        <v>171600.0</v>
      </c>
      <c r="D45" s="17">
        <f t="shared" si="5"/>
        <v>6006</v>
      </c>
      <c r="E45" s="17">
        <f t="shared" si="6"/>
        <v>165594</v>
      </c>
      <c r="F45" s="17"/>
      <c r="G45" s="128" t="s">
        <v>1164</v>
      </c>
      <c r="H45" s="17"/>
    </row>
    <row r="46">
      <c r="A46" s="4" t="s">
        <v>1207</v>
      </c>
      <c r="B46" s="130">
        <v>46077.0</v>
      </c>
      <c r="C46" s="9">
        <v>286000.0</v>
      </c>
      <c r="D46" s="17">
        <f t="shared" si="5"/>
        <v>10010</v>
      </c>
      <c r="E46" s="17">
        <f t="shared" si="6"/>
        <v>275990</v>
      </c>
      <c r="F46" s="17"/>
      <c r="G46" s="128" t="s">
        <v>1164</v>
      </c>
      <c r="H46" s="17"/>
    </row>
    <row r="47">
      <c r="A47" s="4" t="s">
        <v>1208</v>
      </c>
      <c r="B47" s="130">
        <v>46077.0</v>
      </c>
      <c r="C47" s="9">
        <v>143000.0</v>
      </c>
      <c r="D47" s="17">
        <f t="shared" si="5"/>
        <v>5005</v>
      </c>
      <c r="E47" s="17">
        <f t="shared" si="6"/>
        <v>137995</v>
      </c>
      <c r="F47" s="17"/>
      <c r="G47" s="128" t="s">
        <v>1164</v>
      </c>
      <c r="H47" s="17"/>
    </row>
    <row r="48">
      <c r="A48" s="4" t="s">
        <v>1209</v>
      </c>
      <c r="B48" s="130">
        <v>46078.0</v>
      </c>
      <c r="C48" s="9">
        <v>173000.0</v>
      </c>
      <c r="D48" s="17">
        <f t="shared" si="5"/>
        <v>6055</v>
      </c>
      <c r="E48" s="17">
        <f t="shared" si="6"/>
        <v>166945</v>
      </c>
      <c r="F48" s="17"/>
      <c r="G48" s="128" t="s">
        <v>1164</v>
      </c>
      <c r="H48" s="17"/>
    </row>
    <row r="49">
      <c r="A49" s="4" t="s">
        <v>1180</v>
      </c>
      <c r="B49" s="130">
        <v>46078.0</v>
      </c>
      <c r="C49" s="9">
        <v>215250.0</v>
      </c>
      <c r="D49" s="17">
        <f t="shared" si="5"/>
        <v>7533.75</v>
      </c>
      <c r="E49" s="17">
        <f t="shared" si="6"/>
        <v>207716.25</v>
      </c>
      <c r="F49" s="131">
        <v>1481.0</v>
      </c>
      <c r="G49" s="128" t="s">
        <v>1164</v>
      </c>
      <c r="H49" s="133">
        <f>SUM(E43:E49)/F49</f>
        <v>1450.034673</v>
      </c>
    </row>
    <row r="50">
      <c r="A50" s="4" t="s">
        <v>1210</v>
      </c>
      <c r="B50" s="130">
        <v>46079.0</v>
      </c>
      <c r="C50" s="9">
        <v>722500.0</v>
      </c>
      <c r="D50" s="17">
        <f t="shared" si="5"/>
        <v>25287.5</v>
      </c>
      <c r="E50" s="17">
        <f t="shared" si="6"/>
        <v>697212.5</v>
      </c>
      <c r="F50" s="17"/>
      <c r="G50" s="128" t="s">
        <v>1164</v>
      </c>
      <c r="H50" s="17"/>
    </row>
    <row r="51">
      <c r="A51" s="4" t="s">
        <v>1211</v>
      </c>
      <c r="B51" s="130">
        <v>46080.0</v>
      </c>
      <c r="C51" s="9">
        <v>170400.0</v>
      </c>
      <c r="D51" s="17">
        <f t="shared" si="5"/>
        <v>5964</v>
      </c>
      <c r="E51" s="17">
        <f t="shared" si="6"/>
        <v>164436</v>
      </c>
      <c r="F51" s="131">
        <v>609.0</v>
      </c>
      <c r="G51" s="128" t="s">
        <v>1164</v>
      </c>
      <c r="H51" s="133">
        <f>SUM(E50:E51)/F51</f>
        <v>1414.857964</v>
      </c>
    </row>
    <row r="52">
      <c r="A52" s="19" t="s">
        <v>1065</v>
      </c>
      <c r="B52" s="132">
        <v>46077.0</v>
      </c>
      <c r="C52" s="125"/>
      <c r="D52" s="61"/>
      <c r="E52" s="61"/>
      <c r="F52" s="125">
        <v>-3048.0</v>
      </c>
      <c r="G52" s="134" t="s">
        <v>1164</v>
      </c>
      <c r="H52" s="17"/>
    </row>
    <row r="53">
      <c r="A53" s="4" t="s">
        <v>1211</v>
      </c>
      <c r="B53" s="151">
        <v>46083.0</v>
      </c>
      <c r="C53" s="9">
        <v>122550.0</v>
      </c>
      <c r="D53" s="17">
        <f t="shared" ref="D53:D59" si="7">C53*3.5%</f>
        <v>4289.25</v>
      </c>
      <c r="E53" s="17">
        <f t="shared" ref="E53:E59" si="8">C53-D53</f>
        <v>118260.75</v>
      </c>
      <c r="F53" s="17"/>
      <c r="G53" s="128" t="s">
        <v>1164</v>
      </c>
      <c r="H53" s="17"/>
    </row>
    <row r="54">
      <c r="A54" s="4" t="s">
        <v>1212</v>
      </c>
      <c r="B54" s="151">
        <v>46084.0</v>
      </c>
      <c r="C54" s="9">
        <v>106500.0</v>
      </c>
      <c r="D54" s="17">
        <f t="shared" si="7"/>
        <v>3727.5</v>
      </c>
      <c r="E54" s="17">
        <f t="shared" si="8"/>
        <v>102772.5</v>
      </c>
      <c r="F54" s="17"/>
      <c r="G54" s="128" t="s">
        <v>1164</v>
      </c>
      <c r="H54" s="17"/>
    </row>
    <row r="55">
      <c r="A55" s="4" t="s">
        <v>1213</v>
      </c>
      <c r="B55" s="151">
        <v>46085.0</v>
      </c>
      <c r="C55" s="9">
        <v>424500.0</v>
      </c>
      <c r="D55" s="17">
        <f t="shared" si="7"/>
        <v>14857.5</v>
      </c>
      <c r="E55" s="17">
        <f t="shared" si="8"/>
        <v>409642.5</v>
      </c>
      <c r="F55" s="17"/>
      <c r="G55" s="128" t="s">
        <v>1164</v>
      </c>
      <c r="H55" s="17"/>
    </row>
    <row r="56">
      <c r="A56" s="4" t="s">
        <v>1214</v>
      </c>
      <c r="B56" s="151">
        <v>46085.0</v>
      </c>
      <c r="C56" s="9">
        <v>732720.0</v>
      </c>
      <c r="D56" s="17">
        <f t="shared" si="7"/>
        <v>25645.2</v>
      </c>
      <c r="E56" s="17">
        <f t="shared" si="8"/>
        <v>707074.8</v>
      </c>
      <c r="F56" s="17"/>
      <c r="G56" s="128" t="s">
        <v>1164</v>
      </c>
      <c r="H56" s="17"/>
    </row>
    <row r="57">
      <c r="A57" s="4" t="s">
        <v>1215</v>
      </c>
      <c r="B57" s="130">
        <v>46086.0</v>
      </c>
      <c r="C57" s="9">
        <v>300000.0</v>
      </c>
      <c r="D57" s="17">
        <f t="shared" si="7"/>
        <v>10500</v>
      </c>
      <c r="E57" s="17">
        <f t="shared" si="8"/>
        <v>289500</v>
      </c>
      <c r="F57" s="17"/>
      <c r="G57" s="128" t="s">
        <v>1164</v>
      </c>
      <c r="H57" s="17"/>
    </row>
    <row r="58">
      <c r="A58" s="4" t="s">
        <v>1216</v>
      </c>
      <c r="B58" s="130">
        <v>46087.0</v>
      </c>
      <c r="C58" s="9">
        <v>470000.0</v>
      </c>
      <c r="D58" s="17">
        <f t="shared" si="7"/>
        <v>16450</v>
      </c>
      <c r="E58" s="17">
        <f t="shared" si="8"/>
        <v>453550</v>
      </c>
      <c r="F58" s="17"/>
      <c r="G58" s="128" t="s">
        <v>1164</v>
      </c>
      <c r="H58" s="17"/>
    </row>
    <row r="59">
      <c r="A59" s="4" t="s">
        <v>1217</v>
      </c>
      <c r="B59" s="130">
        <v>46087.0</v>
      </c>
      <c r="C59" s="9">
        <v>490000.0</v>
      </c>
      <c r="D59" s="17">
        <f t="shared" si="7"/>
        <v>17150</v>
      </c>
      <c r="E59" s="17">
        <f t="shared" si="8"/>
        <v>472850</v>
      </c>
      <c r="F59" s="131">
        <v>1786.0</v>
      </c>
      <c r="G59" s="128" t="s">
        <v>1164</v>
      </c>
      <c r="H59" s="133">
        <f>SUM(E53:E59)/F59</f>
        <v>1429.815538</v>
      </c>
    </row>
    <row r="60">
      <c r="A60" s="4" t="s">
        <v>1188</v>
      </c>
      <c r="B60" s="130">
        <v>46072.0</v>
      </c>
      <c r="C60" s="17"/>
      <c r="D60" s="17"/>
      <c r="E60" s="17"/>
      <c r="F60" s="9">
        <v>5900.0</v>
      </c>
      <c r="G60" s="152"/>
      <c r="H60" s="17"/>
    </row>
    <row r="61">
      <c r="A61" s="19" t="s">
        <v>1218</v>
      </c>
      <c r="B61" s="132">
        <v>46077.0</v>
      </c>
      <c r="C61" s="125"/>
      <c r="D61" s="61"/>
      <c r="E61" s="61"/>
      <c r="F61" s="125">
        <v>-2785.0</v>
      </c>
      <c r="G61" s="134" t="s">
        <v>1164</v>
      </c>
      <c r="H61" s="17"/>
    </row>
    <row r="62">
      <c r="A62" s="19" t="s">
        <v>1065</v>
      </c>
      <c r="B62" s="132">
        <v>46077.0</v>
      </c>
      <c r="C62" s="125"/>
      <c r="D62" s="61"/>
      <c r="E62" s="61"/>
      <c r="F62" s="125">
        <v>-3572.0</v>
      </c>
      <c r="G62" s="134" t="s">
        <v>1164</v>
      </c>
      <c r="H62" s="17"/>
    </row>
    <row r="63">
      <c r="A63" s="4" t="s">
        <v>1219</v>
      </c>
      <c r="B63" s="130">
        <v>46091.0</v>
      </c>
      <c r="C63" s="9">
        <v>427500.0</v>
      </c>
      <c r="D63" s="17">
        <f t="shared" ref="D63:D65" si="9">C63*3.5%</f>
        <v>14962.5</v>
      </c>
      <c r="E63" s="17">
        <f t="shared" ref="E63:E65" si="10">C63-D63</f>
        <v>412537.5</v>
      </c>
      <c r="F63" s="17"/>
      <c r="G63" s="128" t="s">
        <v>1164</v>
      </c>
      <c r="H63" s="17"/>
    </row>
    <row r="64">
      <c r="A64" s="4" t="s">
        <v>1220</v>
      </c>
      <c r="B64" s="130">
        <v>46091.0</v>
      </c>
      <c r="C64" s="9">
        <v>429000.0</v>
      </c>
      <c r="D64" s="17">
        <f t="shared" si="9"/>
        <v>15015</v>
      </c>
      <c r="E64" s="17">
        <f t="shared" si="10"/>
        <v>413985</v>
      </c>
      <c r="F64" s="17"/>
      <c r="G64" s="128" t="s">
        <v>1164</v>
      </c>
      <c r="H64" s="17"/>
    </row>
    <row r="65">
      <c r="A65" s="4" t="s">
        <v>1221</v>
      </c>
      <c r="B65" s="130">
        <v>46092.0</v>
      </c>
      <c r="C65" s="9">
        <v>1148000.0</v>
      </c>
      <c r="D65" s="17">
        <f t="shared" si="9"/>
        <v>40180</v>
      </c>
      <c r="E65" s="17">
        <f t="shared" si="10"/>
        <v>1107820</v>
      </c>
      <c r="F65" s="17"/>
      <c r="G65" s="128" t="s">
        <v>1164</v>
      </c>
      <c r="H65" s="17"/>
    </row>
    <row r="66">
      <c r="A66" s="4" t="s">
        <v>1188</v>
      </c>
      <c r="B66" s="130">
        <v>46093.0</v>
      </c>
      <c r="C66" s="17"/>
      <c r="D66" s="17"/>
      <c r="E66" s="17"/>
      <c r="F66" s="9">
        <v>3680.0</v>
      </c>
      <c r="G66" s="128"/>
      <c r="H66" s="17"/>
    </row>
    <row r="67">
      <c r="A67" s="4" t="s">
        <v>1196</v>
      </c>
      <c r="B67" s="130">
        <v>46094.0</v>
      </c>
      <c r="C67" s="9">
        <v>1467781.01</v>
      </c>
      <c r="D67" s="17">
        <f t="shared" ref="D67:D70" si="11">C67*3.5%</f>
        <v>51372.33535</v>
      </c>
      <c r="E67" s="17">
        <f t="shared" ref="E67:E70" si="12">C67-D67</f>
        <v>1416408.675</v>
      </c>
      <c r="F67" s="17"/>
      <c r="G67" s="128" t="s">
        <v>1164</v>
      </c>
      <c r="H67" s="17"/>
    </row>
    <row r="68">
      <c r="B68" s="130">
        <v>46094.0</v>
      </c>
      <c r="C68" s="9">
        <v>91650.0</v>
      </c>
      <c r="D68" s="17">
        <f t="shared" si="11"/>
        <v>3207.75</v>
      </c>
      <c r="E68" s="17">
        <f t="shared" si="12"/>
        <v>88442.25</v>
      </c>
      <c r="F68" s="17"/>
      <c r="G68" s="128" t="s">
        <v>1164</v>
      </c>
      <c r="H68" s="17"/>
    </row>
    <row r="69">
      <c r="A69" s="4" t="s">
        <v>1223</v>
      </c>
      <c r="B69" s="130">
        <v>46097.0</v>
      </c>
      <c r="C69" s="9">
        <v>1200000.0</v>
      </c>
      <c r="D69" s="17">
        <f t="shared" si="11"/>
        <v>42000</v>
      </c>
      <c r="E69" s="17">
        <f t="shared" si="12"/>
        <v>1158000</v>
      </c>
      <c r="F69" s="131">
        <v>3215.0</v>
      </c>
      <c r="G69" s="128" t="s">
        <v>1164</v>
      </c>
      <c r="H69" s="133">
        <f>SUM(E62:E69)/F69</f>
        <v>1429.920194</v>
      </c>
    </row>
    <row r="70">
      <c r="A70" s="4" t="s">
        <v>1193</v>
      </c>
      <c r="B70" s="130">
        <v>46094.0</v>
      </c>
      <c r="C70" s="9">
        <v>4409100.0</v>
      </c>
      <c r="D70" s="17">
        <f t="shared" si="11"/>
        <v>154318.5</v>
      </c>
      <c r="E70" s="17">
        <f t="shared" si="12"/>
        <v>4254781.5</v>
      </c>
      <c r="F70" s="17"/>
      <c r="G70" s="128" t="s">
        <v>1164</v>
      </c>
      <c r="H70" s="17"/>
    </row>
    <row r="71">
      <c r="A71" s="19" t="s">
        <v>1199</v>
      </c>
      <c r="B71" s="132">
        <v>46098.0</v>
      </c>
      <c r="C71" s="125"/>
      <c r="D71" s="61"/>
      <c r="E71" s="61"/>
      <c r="F71" s="125">
        <v>-5175.0</v>
      </c>
      <c r="G71" s="134" t="s">
        <v>1164</v>
      </c>
      <c r="H71" s="17"/>
    </row>
    <row r="72">
      <c r="A72" s="4" t="s">
        <v>1219</v>
      </c>
      <c r="B72" s="130">
        <v>46098.0</v>
      </c>
      <c r="C72" s="9">
        <v>500000.0</v>
      </c>
      <c r="D72" s="17">
        <f t="shared" ref="D72:D88" si="13">C72*3.5%</f>
        <v>17500</v>
      </c>
      <c r="E72" s="17">
        <f t="shared" ref="E72:E88" si="14">C72-D72</f>
        <v>482500</v>
      </c>
      <c r="F72" s="17"/>
      <c r="G72" s="128" t="s">
        <v>1164</v>
      </c>
      <c r="H72" s="17"/>
    </row>
    <row r="73">
      <c r="A73" s="4" t="s">
        <v>1223</v>
      </c>
      <c r="B73" s="130">
        <v>46099.0</v>
      </c>
      <c r="C73" s="9">
        <v>752400.0</v>
      </c>
      <c r="D73" s="17">
        <f t="shared" si="13"/>
        <v>26334</v>
      </c>
      <c r="E73" s="17">
        <f t="shared" si="14"/>
        <v>726066</v>
      </c>
      <c r="F73" s="17"/>
      <c r="G73" s="128" t="s">
        <v>1164</v>
      </c>
      <c r="H73" s="17"/>
    </row>
    <row r="74">
      <c r="A74" s="4" t="s">
        <v>1224</v>
      </c>
      <c r="B74" s="130">
        <v>46099.0</v>
      </c>
      <c r="C74" s="9">
        <v>1780000.0</v>
      </c>
      <c r="D74" s="17">
        <f t="shared" si="13"/>
        <v>62300</v>
      </c>
      <c r="E74" s="17">
        <f t="shared" si="14"/>
        <v>1717700</v>
      </c>
      <c r="F74" s="17"/>
      <c r="G74" s="128" t="s">
        <v>1164</v>
      </c>
      <c r="H74" s="17"/>
    </row>
    <row r="75">
      <c r="A75" s="4" t="s">
        <v>1224</v>
      </c>
      <c r="B75" s="130">
        <v>46099.0</v>
      </c>
      <c r="C75" s="9">
        <v>800000.0</v>
      </c>
      <c r="D75" s="17">
        <f t="shared" si="13"/>
        <v>28000</v>
      </c>
      <c r="E75" s="17">
        <f t="shared" si="14"/>
        <v>772000</v>
      </c>
      <c r="F75" s="17"/>
      <c r="G75" s="128" t="s">
        <v>1164</v>
      </c>
      <c r="H75" s="17"/>
    </row>
    <row r="76">
      <c r="A76" s="4" t="s">
        <v>1224</v>
      </c>
      <c r="B76" s="130">
        <v>46099.0</v>
      </c>
      <c r="C76" s="9">
        <v>485160.0</v>
      </c>
      <c r="D76" s="17">
        <f t="shared" si="13"/>
        <v>16980.6</v>
      </c>
      <c r="E76" s="17">
        <f t="shared" si="14"/>
        <v>468179.4</v>
      </c>
      <c r="F76" s="17"/>
      <c r="G76" s="128" t="s">
        <v>1164</v>
      </c>
      <c r="H76" s="17"/>
    </row>
    <row r="77">
      <c r="A77" s="4" t="s">
        <v>1225</v>
      </c>
      <c r="B77" s="130">
        <v>46099.0</v>
      </c>
      <c r="C77" s="9">
        <v>156750.0</v>
      </c>
      <c r="D77" s="17">
        <f t="shared" si="13"/>
        <v>5486.25</v>
      </c>
      <c r="E77" s="17">
        <f t="shared" si="14"/>
        <v>151263.75</v>
      </c>
      <c r="F77" s="17"/>
      <c r="G77" s="128" t="s">
        <v>1164</v>
      </c>
      <c r="H77" s="17"/>
    </row>
    <row r="78">
      <c r="A78" s="4" t="s">
        <v>1226</v>
      </c>
      <c r="B78" s="130">
        <v>46100.0</v>
      </c>
      <c r="C78" s="9">
        <v>426000.0</v>
      </c>
      <c r="D78" s="17">
        <f t="shared" si="13"/>
        <v>14910</v>
      </c>
      <c r="E78" s="17">
        <f t="shared" si="14"/>
        <v>411090</v>
      </c>
      <c r="F78" s="17"/>
      <c r="G78" s="128" t="s">
        <v>1164</v>
      </c>
      <c r="H78" s="17"/>
    </row>
    <row r="79">
      <c r="A79" s="4" t="s">
        <v>1227</v>
      </c>
      <c r="B79" s="130">
        <v>46100.0</v>
      </c>
      <c r="C79" s="9">
        <v>343200.0</v>
      </c>
      <c r="D79" s="17">
        <f t="shared" si="13"/>
        <v>12012</v>
      </c>
      <c r="E79" s="17">
        <f t="shared" si="14"/>
        <v>331188</v>
      </c>
      <c r="F79" s="17"/>
      <c r="G79" s="128" t="s">
        <v>1164</v>
      </c>
      <c r="H79" s="17"/>
    </row>
    <row r="80">
      <c r="A80" s="4" t="s">
        <v>1228</v>
      </c>
      <c r="B80" s="130">
        <v>46100.0</v>
      </c>
      <c r="C80" s="9">
        <v>34000.0</v>
      </c>
      <c r="D80" s="17">
        <f t="shared" si="13"/>
        <v>1190</v>
      </c>
      <c r="E80" s="17">
        <f t="shared" si="14"/>
        <v>32810</v>
      </c>
      <c r="F80" s="17"/>
      <c r="G80" s="128" t="s">
        <v>1164</v>
      </c>
      <c r="H80" s="17"/>
    </row>
    <row r="81">
      <c r="A81" s="4" t="s">
        <v>1230</v>
      </c>
      <c r="B81" s="130">
        <v>46100.0</v>
      </c>
      <c r="C81" s="9">
        <v>142500.0</v>
      </c>
      <c r="D81" s="17">
        <f t="shared" si="13"/>
        <v>4987.5</v>
      </c>
      <c r="E81" s="17">
        <f t="shared" si="14"/>
        <v>137512.5</v>
      </c>
      <c r="F81" s="17"/>
      <c r="G81" s="128" t="s">
        <v>1164</v>
      </c>
      <c r="H81" s="17"/>
    </row>
    <row r="82">
      <c r="A82" s="4" t="s">
        <v>1231</v>
      </c>
      <c r="B82" s="130">
        <v>46100.0</v>
      </c>
      <c r="C82" s="9">
        <v>500000.0</v>
      </c>
      <c r="D82" s="17">
        <f t="shared" si="13"/>
        <v>17500</v>
      </c>
      <c r="E82" s="17">
        <f t="shared" si="14"/>
        <v>482500</v>
      </c>
      <c r="F82" s="131">
        <v>6946.0</v>
      </c>
      <c r="G82" s="128" t="s">
        <v>1164</v>
      </c>
      <c r="H82" s="133">
        <f>SUM(E72:E82)/F82</f>
        <v>822.4603585</v>
      </c>
      <c r="I82" s="155"/>
    </row>
    <row r="83">
      <c r="A83" s="4" t="s">
        <v>1232</v>
      </c>
      <c r="B83" s="130">
        <v>46101.0</v>
      </c>
      <c r="C83" s="9">
        <v>800000.0</v>
      </c>
      <c r="D83" s="17">
        <f t="shared" si="13"/>
        <v>28000</v>
      </c>
      <c r="E83" s="17">
        <f t="shared" si="14"/>
        <v>772000</v>
      </c>
      <c r="F83" s="17"/>
      <c r="G83" s="128" t="s">
        <v>1164</v>
      </c>
      <c r="H83" s="17"/>
    </row>
    <row r="84">
      <c r="A84" s="4" t="s">
        <v>1231</v>
      </c>
      <c r="B84" s="130">
        <v>46102.0</v>
      </c>
      <c r="C84" s="9">
        <v>200000.0</v>
      </c>
      <c r="D84" s="17">
        <f t="shared" si="13"/>
        <v>7000</v>
      </c>
      <c r="E84" s="17">
        <f t="shared" si="14"/>
        <v>193000</v>
      </c>
      <c r="F84" s="17"/>
      <c r="G84" s="128" t="s">
        <v>1164</v>
      </c>
      <c r="H84" s="17"/>
    </row>
    <row r="85">
      <c r="A85" s="4" t="s">
        <v>1233</v>
      </c>
      <c r="B85" s="130">
        <v>46102.0</v>
      </c>
      <c r="C85" s="9">
        <v>285000.0</v>
      </c>
      <c r="D85" s="17">
        <f t="shared" si="13"/>
        <v>9975</v>
      </c>
      <c r="E85" s="17">
        <f t="shared" si="14"/>
        <v>275025</v>
      </c>
      <c r="F85" s="17"/>
      <c r="G85" s="128" t="s">
        <v>1164</v>
      </c>
      <c r="H85" s="17"/>
    </row>
    <row r="86">
      <c r="A86" s="4" t="s">
        <v>1234</v>
      </c>
      <c r="B86" s="130">
        <v>46104.0</v>
      </c>
      <c r="C86" s="9">
        <v>300000.0</v>
      </c>
      <c r="D86" s="17">
        <f t="shared" si="13"/>
        <v>10500</v>
      </c>
      <c r="E86" s="17">
        <f t="shared" si="14"/>
        <v>289500</v>
      </c>
      <c r="F86" s="17"/>
      <c r="G86" s="128" t="s">
        <v>1164</v>
      </c>
      <c r="H86" s="17"/>
    </row>
    <row r="87">
      <c r="A87" s="4" t="s">
        <v>1219</v>
      </c>
      <c r="B87" s="130">
        <v>46104.0</v>
      </c>
      <c r="C87" s="9">
        <v>100000.0</v>
      </c>
      <c r="D87" s="17">
        <f t="shared" si="13"/>
        <v>3500</v>
      </c>
      <c r="E87" s="17">
        <f t="shared" si="14"/>
        <v>96500</v>
      </c>
      <c r="F87" s="17"/>
      <c r="G87" s="128" t="s">
        <v>1164</v>
      </c>
      <c r="H87" s="17"/>
    </row>
    <row r="88">
      <c r="A88" s="4" t="s">
        <v>1235</v>
      </c>
      <c r="B88" s="130">
        <v>46105.0</v>
      </c>
      <c r="C88" s="9">
        <v>350000.0</v>
      </c>
      <c r="D88" s="17">
        <f t="shared" si="13"/>
        <v>12250</v>
      </c>
      <c r="E88" s="17">
        <f t="shared" si="14"/>
        <v>337750</v>
      </c>
      <c r="F88" s="131">
        <v>1378.0</v>
      </c>
      <c r="G88" s="128" t="s">
        <v>1164</v>
      </c>
      <c r="H88" s="133">
        <f>SUM(E83:E88)/F88</f>
        <v>1425.090711</v>
      </c>
    </row>
    <row r="89">
      <c r="A89" s="4" t="s">
        <v>1188</v>
      </c>
      <c r="B89" s="130">
        <v>46106.0</v>
      </c>
      <c r="C89" s="9"/>
      <c r="D89" s="17"/>
      <c r="E89" s="17"/>
      <c r="F89" s="9">
        <v>7000.0</v>
      </c>
      <c r="G89" s="128"/>
      <c r="H89" s="17"/>
    </row>
    <row r="90">
      <c r="A90" s="4" t="s">
        <v>1213</v>
      </c>
      <c r="B90" s="130">
        <v>46106.0</v>
      </c>
      <c r="C90" s="9">
        <v>702500.0</v>
      </c>
      <c r="D90" s="17">
        <f t="shared" ref="D90:D99" si="15">C90*3.5%</f>
        <v>24587.5</v>
      </c>
      <c r="E90" s="17">
        <f t="shared" ref="E90:E99" si="16">C90-D90</f>
        <v>677912.5</v>
      </c>
      <c r="F90" s="17"/>
      <c r="G90" s="128" t="s">
        <v>1164</v>
      </c>
      <c r="H90" s="17"/>
    </row>
    <row r="91">
      <c r="A91" s="4" t="s">
        <v>1238</v>
      </c>
      <c r="B91" s="130">
        <v>46105.0</v>
      </c>
      <c r="C91" s="9">
        <v>170000.0</v>
      </c>
      <c r="D91" s="17">
        <f t="shared" si="15"/>
        <v>5950</v>
      </c>
      <c r="E91" s="17">
        <f t="shared" si="16"/>
        <v>164050</v>
      </c>
      <c r="F91" s="17"/>
      <c r="G91" s="128" t="s">
        <v>1164</v>
      </c>
      <c r="H91" s="17"/>
    </row>
    <row r="92">
      <c r="A92" s="4" t="s">
        <v>1239</v>
      </c>
      <c r="B92" s="130">
        <v>46106.0</v>
      </c>
      <c r="C92" s="9">
        <v>270750.0</v>
      </c>
      <c r="D92" s="17">
        <f t="shared" si="15"/>
        <v>9476.25</v>
      </c>
      <c r="E92" s="17">
        <f t="shared" si="16"/>
        <v>261273.75</v>
      </c>
      <c r="F92" s="17"/>
      <c r="G92" s="128" t="s">
        <v>1164</v>
      </c>
      <c r="H92" s="17"/>
    </row>
    <row r="93">
      <c r="A93" s="4" t="s">
        <v>1239</v>
      </c>
      <c r="B93" s="130">
        <v>46107.0</v>
      </c>
      <c r="C93" s="9">
        <v>270750.0</v>
      </c>
      <c r="D93" s="17">
        <f t="shared" si="15"/>
        <v>9476.25</v>
      </c>
      <c r="E93" s="17">
        <f t="shared" si="16"/>
        <v>261273.75</v>
      </c>
      <c r="F93" s="17"/>
      <c r="G93" s="128" t="s">
        <v>1164</v>
      </c>
      <c r="H93" s="17"/>
    </row>
    <row r="94">
      <c r="A94" s="4" t="s">
        <v>1240</v>
      </c>
      <c r="B94" s="130">
        <v>46107.0</v>
      </c>
      <c r="C94" s="9">
        <v>210000.0</v>
      </c>
      <c r="D94" s="17">
        <f t="shared" si="15"/>
        <v>7350</v>
      </c>
      <c r="E94" s="17">
        <f t="shared" si="16"/>
        <v>202650</v>
      </c>
      <c r="F94" s="17"/>
      <c r="G94" s="128" t="s">
        <v>1164</v>
      </c>
      <c r="H94" s="17"/>
    </row>
    <row r="95">
      <c r="B95" s="130">
        <v>46107.0</v>
      </c>
      <c r="C95" s="9">
        <v>270000.0</v>
      </c>
      <c r="D95" s="17">
        <f t="shared" si="15"/>
        <v>9450</v>
      </c>
      <c r="E95" s="17">
        <f t="shared" si="16"/>
        <v>260550</v>
      </c>
      <c r="F95" s="17"/>
      <c r="G95" s="128" t="s">
        <v>1164</v>
      </c>
      <c r="H95" s="17"/>
    </row>
    <row r="96">
      <c r="B96" s="130">
        <v>46107.0</v>
      </c>
      <c r="C96" s="9">
        <v>75000.0</v>
      </c>
      <c r="D96" s="17">
        <f t="shared" si="15"/>
        <v>2625</v>
      </c>
      <c r="E96" s="17">
        <f t="shared" si="16"/>
        <v>72375</v>
      </c>
      <c r="F96" s="17"/>
      <c r="G96" s="128" t="s">
        <v>1164</v>
      </c>
      <c r="H96" s="17"/>
    </row>
    <row r="97">
      <c r="A97" s="4" t="s">
        <v>1205</v>
      </c>
      <c r="B97" s="130">
        <v>46108.0</v>
      </c>
      <c r="C97" s="9">
        <v>255600.0</v>
      </c>
      <c r="D97" s="17">
        <f t="shared" si="15"/>
        <v>8946</v>
      </c>
      <c r="E97" s="17">
        <f t="shared" si="16"/>
        <v>246654</v>
      </c>
      <c r="F97" s="17"/>
      <c r="G97" s="128" t="s">
        <v>1164</v>
      </c>
      <c r="H97" s="17"/>
    </row>
    <row r="98">
      <c r="A98" s="4" t="s">
        <v>1241</v>
      </c>
      <c r="B98" s="130">
        <v>46108.0</v>
      </c>
      <c r="C98" s="9">
        <v>481000.0</v>
      </c>
      <c r="D98" s="17">
        <f t="shared" si="15"/>
        <v>16835</v>
      </c>
      <c r="E98" s="17">
        <f t="shared" si="16"/>
        <v>464165</v>
      </c>
      <c r="F98" s="17"/>
      <c r="G98" s="128" t="s">
        <v>1164</v>
      </c>
      <c r="H98" s="17"/>
    </row>
    <row r="99">
      <c r="B99" s="151">
        <v>46108.0</v>
      </c>
      <c r="C99" s="9">
        <v>850000.0</v>
      </c>
      <c r="D99" s="17">
        <f t="shared" si="15"/>
        <v>29750</v>
      </c>
      <c r="E99" s="17">
        <f t="shared" si="16"/>
        <v>820250</v>
      </c>
      <c r="F99" s="131">
        <v>2399.0</v>
      </c>
      <c r="G99" s="128" t="s">
        <v>1164</v>
      </c>
      <c r="H99" s="133">
        <f>SUM(E91:E99)/F99</f>
        <v>1147.662151</v>
      </c>
    </row>
    <row r="100">
      <c r="A100" s="19" t="s">
        <v>1242</v>
      </c>
      <c r="B100" s="132">
        <v>46098.0</v>
      </c>
      <c r="C100" s="125"/>
      <c r="D100" s="61"/>
      <c r="E100" s="61"/>
      <c r="F100" s="125">
        <v>-13665.0</v>
      </c>
      <c r="G100" s="134" t="s">
        <v>1164</v>
      </c>
      <c r="H100" s="17"/>
    </row>
    <row r="101">
      <c r="B101" s="151">
        <v>46109.0</v>
      </c>
      <c r="C101" s="9">
        <v>100000.0</v>
      </c>
      <c r="D101" s="17">
        <f t="shared" ref="D101:D109" si="17">C101*3.5%</f>
        <v>3500</v>
      </c>
      <c r="E101" s="17">
        <f t="shared" ref="E101:E109" si="18">C101-D101</f>
        <v>96500</v>
      </c>
      <c r="F101" s="17"/>
      <c r="G101" s="128" t="s">
        <v>1164</v>
      </c>
      <c r="H101" s="17"/>
    </row>
    <row r="102">
      <c r="B102" s="151">
        <v>46109.0</v>
      </c>
      <c r="C102" s="9">
        <v>170400.0</v>
      </c>
      <c r="D102" s="17">
        <f t="shared" si="17"/>
        <v>5964</v>
      </c>
      <c r="E102" s="17">
        <f t="shared" si="18"/>
        <v>164436</v>
      </c>
      <c r="F102" s="17"/>
      <c r="G102" s="128" t="s">
        <v>1164</v>
      </c>
      <c r="H102" s="17"/>
    </row>
    <row r="103">
      <c r="A103" s="4" t="s">
        <v>1243</v>
      </c>
      <c r="B103" s="130">
        <v>46111.0</v>
      </c>
      <c r="C103" s="9">
        <v>212500.0</v>
      </c>
      <c r="D103" s="17">
        <f t="shared" si="17"/>
        <v>7437.5</v>
      </c>
      <c r="E103" s="17">
        <f t="shared" si="18"/>
        <v>205062.5</v>
      </c>
      <c r="F103" s="17"/>
      <c r="G103" s="128" t="s">
        <v>1164</v>
      </c>
      <c r="H103" s="17"/>
    </row>
    <row r="104">
      <c r="A104" s="4" t="s">
        <v>1213</v>
      </c>
      <c r="B104" s="130">
        <v>46112.0</v>
      </c>
      <c r="C104" s="9">
        <v>705000.0</v>
      </c>
      <c r="D104" s="17">
        <f t="shared" si="17"/>
        <v>24675</v>
      </c>
      <c r="E104" s="17">
        <f t="shared" si="18"/>
        <v>680325</v>
      </c>
      <c r="F104" s="17"/>
      <c r="G104" s="128" t="s">
        <v>1164</v>
      </c>
      <c r="H104" s="17"/>
    </row>
    <row r="105">
      <c r="A105" s="4" t="s">
        <v>1244</v>
      </c>
      <c r="B105" s="130">
        <v>46112.0</v>
      </c>
      <c r="C105" s="9">
        <v>335355.0</v>
      </c>
      <c r="D105" s="17">
        <f t="shared" si="17"/>
        <v>11737.425</v>
      </c>
      <c r="E105" s="17">
        <f t="shared" si="18"/>
        <v>323617.575</v>
      </c>
      <c r="F105" s="17"/>
      <c r="G105" s="128" t="s">
        <v>1164</v>
      </c>
      <c r="H105" s="17"/>
    </row>
    <row r="106">
      <c r="A106" s="4" t="s">
        <v>1211</v>
      </c>
      <c r="B106" s="130">
        <v>46112.0</v>
      </c>
      <c r="C106" s="9">
        <v>414680.0</v>
      </c>
      <c r="D106" s="17">
        <f t="shared" si="17"/>
        <v>14513.8</v>
      </c>
      <c r="E106" s="17">
        <f t="shared" si="18"/>
        <v>400166.2</v>
      </c>
      <c r="F106" s="17"/>
      <c r="G106" s="128" t="s">
        <v>1164</v>
      </c>
      <c r="H106" s="17"/>
    </row>
    <row r="107">
      <c r="B107" s="130">
        <v>46112.0</v>
      </c>
      <c r="C107" s="9">
        <v>3291759.0</v>
      </c>
      <c r="D107" s="17">
        <f t="shared" si="17"/>
        <v>115211.565</v>
      </c>
      <c r="E107" s="17">
        <f t="shared" si="18"/>
        <v>3176547.435</v>
      </c>
      <c r="F107" s="17"/>
      <c r="G107" s="128" t="s">
        <v>1164</v>
      </c>
      <c r="H107" s="17"/>
    </row>
    <row r="108">
      <c r="A108" s="4" t="s">
        <v>1245</v>
      </c>
      <c r="B108" s="130">
        <v>46112.0</v>
      </c>
      <c r="C108" s="9">
        <v>140000.0</v>
      </c>
      <c r="D108" s="17">
        <f t="shared" si="17"/>
        <v>4900</v>
      </c>
      <c r="E108" s="17">
        <f t="shared" si="18"/>
        <v>135100</v>
      </c>
      <c r="F108" s="17"/>
      <c r="G108" s="128" t="s">
        <v>1164</v>
      </c>
      <c r="H108" s="17"/>
    </row>
    <row r="109">
      <c r="A109" s="4" t="s">
        <v>1244</v>
      </c>
      <c r="B109" s="130">
        <v>46115.0</v>
      </c>
      <c r="C109" s="9">
        <v>479667.0</v>
      </c>
      <c r="D109" s="17">
        <f t="shared" si="17"/>
        <v>16788.345</v>
      </c>
      <c r="E109" s="17">
        <f t="shared" si="18"/>
        <v>462878.655</v>
      </c>
      <c r="F109" s="131">
        <v>4003.0</v>
      </c>
      <c r="G109" s="128" t="s">
        <v>1164</v>
      </c>
      <c r="H109" s="133">
        <f>SUM(E101:E109)/F109</f>
        <v>1410.100766</v>
      </c>
    </row>
    <row r="110">
      <c r="A110" s="19" t="s">
        <v>34</v>
      </c>
      <c r="B110" s="132">
        <v>46111.0</v>
      </c>
      <c r="C110" s="125"/>
      <c r="D110" s="61"/>
      <c r="E110" s="61"/>
      <c r="F110" s="125">
        <v>-15450.0</v>
      </c>
      <c r="G110" s="134" t="s">
        <v>1164</v>
      </c>
      <c r="H110" s="17"/>
    </row>
    <row r="111">
      <c r="A111" s="4" t="s">
        <v>1239</v>
      </c>
      <c r="B111" s="130">
        <v>46120.0</v>
      </c>
      <c r="C111" s="9">
        <v>187650.0</v>
      </c>
      <c r="D111" s="17">
        <f t="shared" ref="D111:D145" si="19">C111*3.5%</f>
        <v>6567.75</v>
      </c>
      <c r="E111" s="17">
        <f t="shared" ref="E111:E145" si="20">C111-D111</f>
        <v>181082.25</v>
      </c>
      <c r="F111" s="17"/>
      <c r="G111" s="128" t="s">
        <v>1164</v>
      </c>
      <c r="H111" s="17"/>
    </row>
    <row r="112">
      <c r="A112" s="4" t="s">
        <v>1246</v>
      </c>
      <c r="B112" s="130">
        <v>46117.0</v>
      </c>
      <c r="C112" s="9">
        <v>214500.0</v>
      </c>
      <c r="D112" s="17">
        <f t="shared" si="19"/>
        <v>7507.5</v>
      </c>
      <c r="E112" s="17">
        <f t="shared" si="20"/>
        <v>206992.5</v>
      </c>
      <c r="F112" s="17"/>
      <c r="G112" s="128" t="s">
        <v>1164</v>
      </c>
      <c r="H112" s="17"/>
    </row>
    <row r="113">
      <c r="A113" s="4" t="s">
        <v>1235</v>
      </c>
      <c r="B113" s="130">
        <v>46119.0</v>
      </c>
      <c r="C113" s="9">
        <v>145000.0</v>
      </c>
      <c r="D113" s="17">
        <f t="shared" si="19"/>
        <v>5075</v>
      </c>
      <c r="E113" s="17">
        <f t="shared" si="20"/>
        <v>139925</v>
      </c>
      <c r="F113" s="17"/>
      <c r="G113" s="128" t="s">
        <v>1164</v>
      </c>
      <c r="H113" s="17"/>
    </row>
    <row r="114">
      <c r="A114" s="4" t="s">
        <v>1247</v>
      </c>
      <c r="B114" s="130">
        <v>46121.0</v>
      </c>
      <c r="C114" s="9">
        <v>710000.0</v>
      </c>
      <c r="D114" s="17">
        <f t="shared" si="19"/>
        <v>24850</v>
      </c>
      <c r="E114" s="17">
        <f t="shared" si="20"/>
        <v>685150</v>
      </c>
      <c r="F114" s="17"/>
      <c r="G114" s="128" t="s">
        <v>1164</v>
      </c>
      <c r="H114" s="17"/>
    </row>
    <row r="115">
      <c r="A115" s="4" t="s">
        <v>1248</v>
      </c>
      <c r="B115" s="130">
        <v>46121.0</v>
      </c>
      <c r="C115" s="9">
        <v>420000.0</v>
      </c>
      <c r="D115" s="17">
        <f t="shared" si="19"/>
        <v>14700</v>
      </c>
      <c r="E115" s="17">
        <f t="shared" si="20"/>
        <v>405300</v>
      </c>
      <c r="F115" s="17"/>
      <c r="G115" s="128" t="s">
        <v>1164</v>
      </c>
      <c r="H115" s="17"/>
    </row>
    <row r="116">
      <c r="A116" s="4" t="s">
        <v>1205</v>
      </c>
      <c r="B116" s="130">
        <v>46122.0</v>
      </c>
      <c r="C116" s="9">
        <v>165000.0</v>
      </c>
      <c r="D116" s="17">
        <f t="shared" si="19"/>
        <v>5775</v>
      </c>
      <c r="E116" s="17">
        <f t="shared" si="20"/>
        <v>159225</v>
      </c>
      <c r="F116" s="17"/>
      <c r="G116" s="128" t="s">
        <v>1164</v>
      </c>
      <c r="H116" s="17"/>
    </row>
    <row r="117">
      <c r="B117" s="130">
        <v>46122.0</v>
      </c>
      <c r="C117" s="9">
        <v>568000.0</v>
      </c>
      <c r="D117" s="17">
        <f t="shared" si="19"/>
        <v>19880</v>
      </c>
      <c r="E117" s="17">
        <f t="shared" si="20"/>
        <v>548120</v>
      </c>
      <c r="F117" s="17"/>
      <c r="G117" s="128" t="s">
        <v>1164</v>
      </c>
      <c r="H117" s="17"/>
    </row>
    <row r="118">
      <c r="B118" s="130">
        <v>46122.0</v>
      </c>
      <c r="C118" s="9">
        <v>430000.0</v>
      </c>
      <c r="D118" s="17">
        <f t="shared" si="19"/>
        <v>15050</v>
      </c>
      <c r="E118" s="17">
        <f t="shared" si="20"/>
        <v>414950</v>
      </c>
      <c r="F118" s="17"/>
      <c r="G118" s="128" t="s">
        <v>1164</v>
      </c>
      <c r="H118" s="17"/>
    </row>
    <row r="119">
      <c r="B119" s="130">
        <v>46122.0</v>
      </c>
      <c r="C119" s="9">
        <v>132050.0</v>
      </c>
      <c r="D119" s="17">
        <f t="shared" si="19"/>
        <v>4621.75</v>
      </c>
      <c r="E119" s="17">
        <f t="shared" si="20"/>
        <v>127428.25</v>
      </c>
      <c r="F119" s="131">
        <v>2049.0</v>
      </c>
      <c r="G119" s="128" t="s">
        <v>1164</v>
      </c>
      <c r="H119" s="133">
        <f>SUM(E111:E119)/F119</f>
        <v>1399.791606</v>
      </c>
      <c r="I119" s="155"/>
    </row>
    <row r="120">
      <c r="A120" s="4" t="s">
        <v>1245</v>
      </c>
      <c r="B120" s="130">
        <v>46122.0</v>
      </c>
      <c r="C120" s="9">
        <v>420000.0</v>
      </c>
      <c r="D120" s="17">
        <f t="shared" si="19"/>
        <v>14700</v>
      </c>
      <c r="E120" s="17">
        <f t="shared" si="20"/>
        <v>405300</v>
      </c>
      <c r="F120" s="9"/>
      <c r="G120" s="128" t="s">
        <v>1164</v>
      </c>
      <c r="H120" s="17"/>
    </row>
    <row r="121">
      <c r="A121" s="4" t="s">
        <v>1250</v>
      </c>
      <c r="B121" s="130">
        <v>46122.0</v>
      </c>
      <c r="C121" s="9">
        <v>486500.0</v>
      </c>
      <c r="D121" s="17">
        <f t="shared" si="19"/>
        <v>17027.5</v>
      </c>
      <c r="E121" s="17">
        <f t="shared" si="20"/>
        <v>469472.5</v>
      </c>
      <c r="F121" s="17"/>
      <c r="G121" s="128" t="s">
        <v>1164</v>
      </c>
      <c r="H121" s="17"/>
    </row>
    <row r="122">
      <c r="B122" s="130"/>
      <c r="C122" s="9">
        <v>130000.0</v>
      </c>
      <c r="D122" s="17">
        <f t="shared" si="19"/>
        <v>4550</v>
      </c>
      <c r="E122" s="17">
        <f t="shared" si="20"/>
        <v>125450</v>
      </c>
      <c r="F122" s="17"/>
      <c r="G122" s="128" t="s">
        <v>1164</v>
      </c>
      <c r="H122" s="17"/>
    </row>
    <row r="123">
      <c r="B123" s="130"/>
      <c r="C123" s="9">
        <v>100000.0</v>
      </c>
      <c r="D123" s="17">
        <f t="shared" si="19"/>
        <v>3500</v>
      </c>
      <c r="E123" s="17">
        <f t="shared" si="20"/>
        <v>96500</v>
      </c>
      <c r="F123" s="17"/>
      <c r="G123" s="128" t="s">
        <v>1164</v>
      </c>
      <c r="H123" s="17"/>
    </row>
    <row r="124">
      <c r="A124" s="4" t="s">
        <v>1251</v>
      </c>
      <c r="B124" s="130">
        <v>46123.0</v>
      </c>
      <c r="C124" s="9">
        <v>350000.0</v>
      </c>
      <c r="D124" s="17">
        <f t="shared" si="19"/>
        <v>12250</v>
      </c>
      <c r="E124" s="17">
        <f t="shared" si="20"/>
        <v>337750</v>
      </c>
      <c r="F124" s="17"/>
      <c r="G124" s="128" t="s">
        <v>1164</v>
      </c>
      <c r="H124" s="17"/>
    </row>
    <row r="125">
      <c r="A125" s="4" t="s">
        <v>1252</v>
      </c>
      <c r="B125" s="130">
        <v>46123.0</v>
      </c>
      <c r="C125" s="9">
        <v>420000.0</v>
      </c>
      <c r="D125" s="17">
        <f t="shared" si="19"/>
        <v>14700</v>
      </c>
      <c r="E125" s="17">
        <f t="shared" si="20"/>
        <v>405300</v>
      </c>
      <c r="F125" s="17"/>
      <c r="G125" s="128" t="s">
        <v>1164</v>
      </c>
      <c r="H125" s="17"/>
    </row>
    <row r="126">
      <c r="A126" s="4" t="s">
        <v>1253</v>
      </c>
      <c r="B126" s="130">
        <v>46124.0</v>
      </c>
      <c r="C126" s="9">
        <v>84000.0</v>
      </c>
      <c r="D126" s="17">
        <f t="shared" si="19"/>
        <v>2940</v>
      </c>
      <c r="E126" s="17">
        <f t="shared" si="20"/>
        <v>81060</v>
      </c>
      <c r="F126" s="17"/>
      <c r="G126" s="128" t="s">
        <v>1164</v>
      </c>
      <c r="H126" s="17"/>
    </row>
    <row r="127">
      <c r="B127" s="130">
        <v>46124.0</v>
      </c>
      <c r="C127" s="9">
        <v>70000.0</v>
      </c>
      <c r="D127" s="17">
        <f t="shared" si="19"/>
        <v>2450</v>
      </c>
      <c r="E127" s="17">
        <f t="shared" si="20"/>
        <v>67550</v>
      </c>
      <c r="F127" s="17"/>
      <c r="G127" s="128" t="s">
        <v>1164</v>
      </c>
      <c r="H127" s="17"/>
    </row>
    <row r="128">
      <c r="A128" s="4" t="s">
        <v>1254</v>
      </c>
      <c r="B128" s="130">
        <v>46125.0</v>
      </c>
      <c r="C128" s="9">
        <v>100000.0</v>
      </c>
      <c r="D128" s="17">
        <f t="shared" si="19"/>
        <v>3500</v>
      </c>
      <c r="E128" s="17">
        <f t="shared" si="20"/>
        <v>96500</v>
      </c>
      <c r="F128" s="17"/>
      <c r="G128" s="128" t="s">
        <v>1164</v>
      </c>
      <c r="H128" s="17"/>
    </row>
    <row r="129">
      <c r="A129" s="4" t="s">
        <v>1255</v>
      </c>
      <c r="B129" s="130">
        <v>46126.0</v>
      </c>
      <c r="C129" s="9">
        <v>700000.0</v>
      </c>
      <c r="D129" s="17">
        <f t="shared" si="19"/>
        <v>24500</v>
      </c>
      <c r="E129" s="17">
        <f t="shared" si="20"/>
        <v>675500</v>
      </c>
      <c r="F129" s="17"/>
      <c r="G129" s="128" t="s">
        <v>1164</v>
      </c>
      <c r="H129" s="17"/>
    </row>
    <row r="130">
      <c r="A130" s="4" t="s">
        <v>1258</v>
      </c>
      <c r="B130" s="130">
        <v>46126.0</v>
      </c>
      <c r="C130" s="9">
        <v>150000.0</v>
      </c>
      <c r="D130" s="17">
        <f t="shared" si="19"/>
        <v>5250</v>
      </c>
      <c r="E130" s="17">
        <f t="shared" si="20"/>
        <v>144750</v>
      </c>
      <c r="F130" s="17"/>
      <c r="G130" s="128" t="s">
        <v>1164</v>
      </c>
      <c r="H130" s="17"/>
    </row>
    <row r="131">
      <c r="A131" s="4" t="s">
        <v>1259</v>
      </c>
      <c r="B131" s="130">
        <v>46126.0</v>
      </c>
      <c r="C131" s="9">
        <v>115000.0</v>
      </c>
      <c r="D131" s="17">
        <f t="shared" si="19"/>
        <v>4025</v>
      </c>
      <c r="E131" s="17">
        <f t="shared" si="20"/>
        <v>110975</v>
      </c>
      <c r="F131" s="17"/>
      <c r="G131" s="128" t="s">
        <v>1164</v>
      </c>
      <c r="H131" s="17"/>
    </row>
    <row r="132">
      <c r="A132" s="4" t="s">
        <v>1261</v>
      </c>
      <c r="B132" s="130">
        <v>46127.0</v>
      </c>
      <c r="C132" s="9">
        <v>127500.0</v>
      </c>
      <c r="D132" s="17">
        <f t="shared" si="19"/>
        <v>4462.5</v>
      </c>
      <c r="E132" s="17">
        <f t="shared" si="20"/>
        <v>123037.5</v>
      </c>
      <c r="F132" s="17"/>
      <c r="G132" s="128" t="s">
        <v>1164</v>
      </c>
      <c r="H132" s="17"/>
    </row>
    <row r="133">
      <c r="A133" s="4" t="s">
        <v>1217</v>
      </c>
      <c r="B133" s="130">
        <v>46127.0</v>
      </c>
      <c r="C133" s="9">
        <v>268000.0</v>
      </c>
      <c r="D133" s="17">
        <f t="shared" si="19"/>
        <v>9380</v>
      </c>
      <c r="E133" s="17">
        <f t="shared" si="20"/>
        <v>258620</v>
      </c>
      <c r="F133" s="17"/>
      <c r="G133" s="128" t="s">
        <v>1164</v>
      </c>
      <c r="H133" s="17"/>
    </row>
    <row r="134">
      <c r="A134" s="4" t="s">
        <v>1248</v>
      </c>
      <c r="B134" s="130">
        <v>46128.0</v>
      </c>
      <c r="C134" s="9">
        <v>155100.0</v>
      </c>
      <c r="D134" s="17">
        <f t="shared" si="19"/>
        <v>5428.5</v>
      </c>
      <c r="E134" s="17">
        <f t="shared" si="20"/>
        <v>149671.5</v>
      </c>
      <c r="F134" s="131">
        <v>2516.0</v>
      </c>
      <c r="G134" s="128" t="s">
        <v>1164</v>
      </c>
      <c r="H134" s="133">
        <f>SUM(E120:E134)/F134</f>
        <v>1409.950914</v>
      </c>
      <c r="I134" s="155"/>
    </row>
    <row r="135">
      <c r="A135" s="4" t="s">
        <v>1244</v>
      </c>
      <c r="B135" s="130">
        <v>46129.0</v>
      </c>
      <c r="C135" s="9">
        <v>268483.0</v>
      </c>
      <c r="D135" s="17">
        <f t="shared" si="19"/>
        <v>9396.905</v>
      </c>
      <c r="E135" s="17">
        <f t="shared" si="20"/>
        <v>259086.095</v>
      </c>
      <c r="F135" s="17"/>
      <c r="G135" s="128" t="s">
        <v>1164</v>
      </c>
      <c r="H135" s="17"/>
    </row>
    <row r="136">
      <c r="A136" s="4" t="s">
        <v>1262</v>
      </c>
      <c r="B136" s="130">
        <v>46130.0</v>
      </c>
      <c r="C136" s="9">
        <v>380000.0</v>
      </c>
      <c r="D136" s="17">
        <f t="shared" si="19"/>
        <v>13300</v>
      </c>
      <c r="E136" s="17">
        <f t="shared" si="20"/>
        <v>366700</v>
      </c>
      <c r="F136" s="17"/>
      <c r="G136" s="128" t="s">
        <v>1164</v>
      </c>
      <c r="H136" s="17"/>
    </row>
    <row r="137">
      <c r="A137" s="4" t="s">
        <v>1263</v>
      </c>
      <c r="B137" s="130">
        <v>46130.0</v>
      </c>
      <c r="C137" s="9">
        <v>382110.0</v>
      </c>
      <c r="D137" s="17">
        <f t="shared" si="19"/>
        <v>13373.85</v>
      </c>
      <c r="E137" s="17">
        <f t="shared" si="20"/>
        <v>368736.15</v>
      </c>
      <c r="F137" s="17"/>
      <c r="G137" s="128" t="s">
        <v>1164</v>
      </c>
      <c r="H137" s="17"/>
    </row>
    <row r="138">
      <c r="A138" s="4" t="s">
        <v>1214</v>
      </c>
      <c r="B138" s="130">
        <v>46132.0</v>
      </c>
      <c r="C138" s="9">
        <v>552000.0</v>
      </c>
      <c r="D138" s="17">
        <f t="shared" si="19"/>
        <v>19320</v>
      </c>
      <c r="E138" s="17">
        <f t="shared" si="20"/>
        <v>532680</v>
      </c>
      <c r="F138" s="17"/>
      <c r="G138" s="128" t="s">
        <v>1164</v>
      </c>
      <c r="H138" s="17"/>
    </row>
    <row r="139">
      <c r="A139" s="4" t="s">
        <v>1265</v>
      </c>
      <c r="B139" s="130">
        <v>46132.0</v>
      </c>
      <c r="C139" s="9">
        <v>56000.0</v>
      </c>
      <c r="D139" s="17">
        <f t="shared" si="19"/>
        <v>1960</v>
      </c>
      <c r="E139" s="17">
        <f t="shared" si="20"/>
        <v>54040</v>
      </c>
      <c r="F139" s="17"/>
      <c r="G139" s="128" t="s">
        <v>1164</v>
      </c>
      <c r="H139" s="17"/>
    </row>
    <row r="140">
      <c r="A140" s="4" t="s">
        <v>1255</v>
      </c>
      <c r="B140" s="130">
        <v>46133.0</v>
      </c>
      <c r="C140" s="9">
        <v>376600.0</v>
      </c>
      <c r="D140" s="17">
        <f t="shared" si="19"/>
        <v>13181</v>
      </c>
      <c r="E140" s="17">
        <f t="shared" si="20"/>
        <v>363419</v>
      </c>
      <c r="F140" s="17"/>
      <c r="G140" s="128" t="s">
        <v>1164</v>
      </c>
      <c r="H140" s="17"/>
    </row>
    <row r="141">
      <c r="A141" s="4" t="s">
        <v>1239</v>
      </c>
      <c r="B141" s="130">
        <v>46133.0</v>
      </c>
      <c r="C141" s="9">
        <v>64400.0</v>
      </c>
      <c r="D141" s="17">
        <f t="shared" si="19"/>
        <v>2254</v>
      </c>
      <c r="E141" s="17">
        <f t="shared" si="20"/>
        <v>62146</v>
      </c>
      <c r="F141" s="17"/>
      <c r="G141" s="128" t="s">
        <v>1164</v>
      </c>
      <c r="H141" s="17"/>
    </row>
    <row r="142">
      <c r="A142" s="4" t="s">
        <v>1213</v>
      </c>
      <c r="B142" s="130">
        <v>46133.0</v>
      </c>
      <c r="C142" s="9">
        <v>695000.0</v>
      </c>
      <c r="D142" s="17">
        <f t="shared" si="19"/>
        <v>24325</v>
      </c>
      <c r="E142" s="17">
        <f t="shared" si="20"/>
        <v>670675</v>
      </c>
      <c r="F142" s="17"/>
      <c r="G142" s="128" t="s">
        <v>1164</v>
      </c>
      <c r="H142" s="17"/>
    </row>
    <row r="143">
      <c r="A143" s="4" t="s">
        <v>1221</v>
      </c>
      <c r="B143" s="130">
        <v>46104.0</v>
      </c>
      <c r="C143" s="9">
        <v>600000.0</v>
      </c>
      <c r="D143" s="17">
        <f t="shared" si="19"/>
        <v>21000</v>
      </c>
      <c r="E143" s="17">
        <f t="shared" si="20"/>
        <v>579000</v>
      </c>
      <c r="F143" s="17"/>
      <c r="G143" s="128" t="s">
        <v>1164</v>
      </c>
      <c r="H143" s="17"/>
    </row>
    <row r="144">
      <c r="A144" s="4" t="s">
        <v>1267</v>
      </c>
      <c r="B144" s="130">
        <v>46135.0</v>
      </c>
      <c r="C144" s="9">
        <v>770000.0</v>
      </c>
      <c r="D144" s="17">
        <f t="shared" si="19"/>
        <v>26950</v>
      </c>
      <c r="E144" s="17">
        <f t="shared" si="20"/>
        <v>743050</v>
      </c>
      <c r="F144" s="17"/>
      <c r="G144" s="128" t="s">
        <v>1164</v>
      </c>
      <c r="H144" s="17"/>
    </row>
    <row r="145">
      <c r="B145" s="130">
        <v>46135.0</v>
      </c>
      <c r="C145" s="9">
        <v>120000.0</v>
      </c>
      <c r="D145" s="17">
        <f t="shared" si="19"/>
        <v>4200</v>
      </c>
      <c r="E145" s="17">
        <f t="shared" si="20"/>
        <v>115800</v>
      </c>
      <c r="F145" s="131">
        <v>2888.0</v>
      </c>
      <c r="G145" s="128" t="s">
        <v>1164</v>
      </c>
      <c r="H145" s="133">
        <f>SUM(E135:E145)/F145</f>
        <v>1424.976539</v>
      </c>
    </row>
    <row r="146">
      <c r="A146" s="4" t="s">
        <v>1188</v>
      </c>
      <c r="B146" s="130">
        <v>46139.0</v>
      </c>
      <c r="C146" s="9"/>
      <c r="D146" s="17"/>
      <c r="E146" s="17"/>
      <c r="F146" s="9">
        <v>4950.0</v>
      </c>
      <c r="G146" s="128"/>
      <c r="H146" s="17"/>
    </row>
    <row r="147">
      <c r="A147" s="19" t="s">
        <v>34</v>
      </c>
      <c r="B147" s="132">
        <v>46136.0</v>
      </c>
      <c r="C147" s="125"/>
      <c r="D147" s="61"/>
      <c r="E147" s="61"/>
      <c r="F147" s="125">
        <v>-7400.0</v>
      </c>
      <c r="G147" s="134" t="s">
        <v>1164</v>
      </c>
      <c r="H147" s="17"/>
    </row>
    <row r="148">
      <c r="A148" s="19" t="s">
        <v>34</v>
      </c>
      <c r="B148" s="132">
        <v>46146.0</v>
      </c>
      <c r="C148" s="125"/>
      <c r="D148" s="61"/>
      <c r="E148" s="61"/>
      <c r="F148" s="125">
        <v>-8350.0</v>
      </c>
      <c r="G148" s="134" t="s">
        <v>1164</v>
      </c>
      <c r="H148" s="17"/>
    </row>
    <row r="149">
      <c r="A149" s="4" t="s">
        <v>1269</v>
      </c>
      <c r="B149" s="130">
        <v>46135.0</v>
      </c>
      <c r="C149" s="9">
        <v>400000.0</v>
      </c>
      <c r="D149" s="17">
        <f>C149*3.5%</f>
        <v>14000</v>
      </c>
      <c r="E149" s="17">
        <f>C149-D149</f>
        <v>386000</v>
      </c>
      <c r="F149" s="9"/>
      <c r="G149" s="128" t="s">
        <v>1164</v>
      </c>
      <c r="H149" s="17"/>
    </row>
    <row r="150">
      <c r="A150" s="167" t="s">
        <v>1271</v>
      </c>
      <c r="B150" s="130"/>
      <c r="C150" s="9"/>
      <c r="D150" s="17"/>
      <c r="E150" s="9">
        <v>-4850819.0</v>
      </c>
      <c r="F150" s="17"/>
      <c r="G150" s="128"/>
      <c r="H150" s="17"/>
    </row>
    <row r="151">
      <c r="A151" s="4" t="s">
        <v>1275</v>
      </c>
      <c r="B151" s="130">
        <v>46139.0</v>
      </c>
      <c r="C151" s="9">
        <v>152900.0</v>
      </c>
      <c r="D151" s="17">
        <f t="shared" ref="D151:D156" si="21">C151*3.5%</f>
        <v>5351.5</v>
      </c>
      <c r="E151" s="17">
        <f t="shared" ref="E151:E156" si="22">C151-D151</f>
        <v>147548.5</v>
      </c>
      <c r="F151" s="17"/>
      <c r="G151" s="128" t="s">
        <v>1164</v>
      </c>
      <c r="H151" s="17"/>
    </row>
    <row r="152">
      <c r="A152" s="4" t="s">
        <v>1277</v>
      </c>
      <c r="B152" s="130">
        <v>46139.0</v>
      </c>
      <c r="C152" s="9">
        <v>200000.0</v>
      </c>
      <c r="D152" s="17">
        <f t="shared" si="21"/>
        <v>7000</v>
      </c>
      <c r="E152" s="17">
        <f t="shared" si="22"/>
        <v>193000</v>
      </c>
      <c r="F152" s="17"/>
      <c r="G152" s="128" t="s">
        <v>1164</v>
      </c>
      <c r="H152" s="17"/>
    </row>
    <row r="153">
      <c r="A153" s="4" t="s">
        <v>1231</v>
      </c>
      <c r="B153" s="130">
        <v>46139.0</v>
      </c>
      <c r="C153" s="9">
        <v>420000.0</v>
      </c>
      <c r="D153" s="17">
        <f t="shared" si="21"/>
        <v>14700</v>
      </c>
      <c r="E153" s="17">
        <f t="shared" si="22"/>
        <v>405300</v>
      </c>
      <c r="F153" s="17"/>
      <c r="G153" s="128" t="s">
        <v>1164</v>
      </c>
      <c r="H153" s="17"/>
    </row>
    <row r="154">
      <c r="A154" s="4" t="s">
        <v>1278</v>
      </c>
      <c r="B154" s="130">
        <v>46139.0</v>
      </c>
      <c r="C154" s="9">
        <v>286000.0</v>
      </c>
      <c r="D154" s="17">
        <f t="shared" si="21"/>
        <v>10010</v>
      </c>
      <c r="E154" s="17">
        <f t="shared" si="22"/>
        <v>275990</v>
      </c>
      <c r="F154" s="17"/>
      <c r="G154" s="128" t="s">
        <v>1164</v>
      </c>
      <c r="H154" s="17"/>
    </row>
    <row r="155">
      <c r="A155" s="4" t="s">
        <v>1280</v>
      </c>
      <c r="B155" s="130">
        <v>46140.0</v>
      </c>
      <c r="C155" s="9">
        <v>540000.0</v>
      </c>
      <c r="D155" s="17">
        <f t="shared" si="21"/>
        <v>18900</v>
      </c>
      <c r="E155" s="17">
        <f t="shared" si="22"/>
        <v>521100</v>
      </c>
      <c r="F155" s="17"/>
      <c r="G155" s="128" t="s">
        <v>1164</v>
      </c>
      <c r="H155" s="17"/>
    </row>
    <row r="156">
      <c r="A156" s="4" t="s">
        <v>1282</v>
      </c>
      <c r="B156" s="130">
        <v>46140.0</v>
      </c>
      <c r="C156" s="9">
        <v>215000.0</v>
      </c>
      <c r="D156" s="17">
        <f t="shared" si="21"/>
        <v>7525</v>
      </c>
      <c r="E156" s="17">
        <f t="shared" si="22"/>
        <v>207475</v>
      </c>
      <c r="F156" s="9"/>
      <c r="G156" s="128" t="s">
        <v>1164</v>
      </c>
      <c r="H156" s="17"/>
    </row>
    <row r="157">
      <c r="A157" s="167" t="s">
        <v>1271</v>
      </c>
      <c r="B157" s="130"/>
      <c r="C157" s="9"/>
      <c r="D157" s="17"/>
      <c r="E157" s="9">
        <v>-1810992.0</v>
      </c>
      <c r="F157" s="17"/>
      <c r="G157" s="128"/>
      <c r="H157" s="17"/>
    </row>
    <row r="158">
      <c r="A158" s="4" t="s">
        <v>1283</v>
      </c>
      <c r="B158" s="130">
        <v>46141.0</v>
      </c>
      <c r="C158" s="9">
        <v>255600.0</v>
      </c>
      <c r="D158" s="17">
        <f t="shared" ref="D158:D181" si="23">C158*3.5%</f>
        <v>8946</v>
      </c>
      <c r="E158" s="17">
        <f t="shared" ref="E158:E181" si="24">C158-D158</f>
        <v>246654</v>
      </c>
      <c r="F158" s="17"/>
      <c r="G158" s="128" t="s">
        <v>1164</v>
      </c>
      <c r="H158" s="17"/>
    </row>
    <row r="159">
      <c r="A159" s="4" t="s">
        <v>1286</v>
      </c>
      <c r="B159" s="130">
        <v>46142.0</v>
      </c>
      <c r="C159" s="9">
        <v>360000.0</v>
      </c>
      <c r="D159" s="17">
        <f t="shared" si="23"/>
        <v>12600</v>
      </c>
      <c r="E159" s="17">
        <f t="shared" si="24"/>
        <v>347400</v>
      </c>
      <c r="F159" s="17"/>
      <c r="G159" s="128" t="s">
        <v>1164</v>
      </c>
      <c r="H159" s="17"/>
    </row>
    <row r="160">
      <c r="A160" s="4" t="s">
        <v>1287</v>
      </c>
      <c r="B160" s="151">
        <v>46144.0</v>
      </c>
      <c r="C160" s="9">
        <v>140000.0</v>
      </c>
      <c r="D160" s="17">
        <f t="shared" si="23"/>
        <v>4900</v>
      </c>
      <c r="E160" s="17">
        <f t="shared" si="24"/>
        <v>135100</v>
      </c>
      <c r="F160" s="17"/>
      <c r="G160" s="128" t="s">
        <v>1164</v>
      </c>
      <c r="H160" s="17"/>
    </row>
    <row r="161">
      <c r="A161" s="4" t="s">
        <v>1221</v>
      </c>
      <c r="B161" s="151">
        <v>46144.0</v>
      </c>
      <c r="C161" s="9">
        <v>400000.0</v>
      </c>
      <c r="D161" s="17">
        <f t="shared" si="23"/>
        <v>14000</v>
      </c>
      <c r="E161" s="17">
        <f t="shared" si="24"/>
        <v>386000</v>
      </c>
      <c r="F161" s="17"/>
      <c r="G161" s="128" t="s">
        <v>1164</v>
      </c>
      <c r="H161" s="17"/>
    </row>
    <row r="162">
      <c r="A162" s="4" t="s">
        <v>1288</v>
      </c>
      <c r="B162" s="151">
        <v>46144.0</v>
      </c>
      <c r="C162" s="9">
        <v>427000.0</v>
      </c>
      <c r="D162" s="17">
        <f t="shared" si="23"/>
        <v>14945</v>
      </c>
      <c r="E162" s="17">
        <f t="shared" si="24"/>
        <v>412055</v>
      </c>
      <c r="F162" s="17"/>
      <c r="G162" s="128" t="s">
        <v>1164</v>
      </c>
      <c r="H162" s="17"/>
    </row>
    <row r="163">
      <c r="A163" s="4" t="s">
        <v>1289</v>
      </c>
      <c r="B163" s="130">
        <v>46145.0</v>
      </c>
      <c r="C163" s="9">
        <v>322000.0</v>
      </c>
      <c r="D163" s="17">
        <f t="shared" si="23"/>
        <v>11270</v>
      </c>
      <c r="E163" s="17">
        <f t="shared" si="24"/>
        <v>310730</v>
      </c>
      <c r="F163" s="17"/>
      <c r="G163" s="128" t="s">
        <v>1164</v>
      </c>
      <c r="H163" s="17"/>
    </row>
    <row r="164">
      <c r="A164" s="4" t="s">
        <v>1289</v>
      </c>
      <c r="B164" s="130">
        <v>46145.0</v>
      </c>
      <c r="C164" s="9">
        <v>322000.0</v>
      </c>
      <c r="D164" s="17">
        <f t="shared" si="23"/>
        <v>11270</v>
      </c>
      <c r="E164" s="17">
        <f t="shared" si="24"/>
        <v>310730</v>
      </c>
      <c r="F164" s="17"/>
      <c r="G164" s="128" t="s">
        <v>1164</v>
      </c>
      <c r="H164" s="17"/>
    </row>
    <row r="165">
      <c r="A165" s="4" t="s">
        <v>1292</v>
      </c>
      <c r="B165" s="130">
        <v>46144.0</v>
      </c>
      <c r="C165" s="9">
        <v>280000.0</v>
      </c>
      <c r="D165" s="17">
        <f t="shared" si="23"/>
        <v>9800</v>
      </c>
      <c r="E165" s="17">
        <f t="shared" si="24"/>
        <v>270200</v>
      </c>
      <c r="F165" s="17"/>
      <c r="G165" s="128" t="s">
        <v>1164</v>
      </c>
      <c r="H165" s="17"/>
    </row>
    <row r="166">
      <c r="A166" s="4" t="s">
        <v>1294</v>
      </c>
      <c r="B166" s="130">
        <v>46146.0</v>
      </c>
      <c r="C166" s="9">
        <v>1485085.0</v>
      </c>
      <c r="D166" s="17">
        <f t="shared" si="23"/>
        <v>51977.975</v>
      </c>
      <c r="E166" s="17">
        <f t="shared" si="24"/>
        <v>1433107.025</v>
      </c>
      <c r="F166" s="17"/>
      <c r="G166" s="128" t="s">
        <v>1164</v>
      </c>
      <c r="H166" s="17"/>
    </row>
    <row r="167">
      <c r="A167" s="4" t="s">
        <v>1297</v>
      </c>
      <c r="B167" s="130">
        <v>46147.0</v>
      </c>
      <c r="C167" s="9">
        <v>2888104.0</v>
      </c>
      <c r="D167" s="17">
        <f t="shared" si="23"/>
        <v>101083.64</v>
      </c>
      <c r="E167" s="17">
        <f t="shared" si="24"/>
        <v>2787020.36</v>
      </c>
      <c r="F167" s="131">
        <v>1490.0</v>
      </c>
      <c r="G167" s="128" t="s">
        <v>1164</v>
      </c>
      <c r="H167" s="133">
        <f>SUM(E149:E167)/F167</f>
        <v>1418.522742</v>
      </c>
    </row>
    <row r="168">
      <c r="A168" s="4" t="s">
        <v>1239</v>
      </c>
      <c r="B168" s="130">
        <v>46147.0</v>
      </c>
      <c r="C168" s="9">
        <v>65600.0</v>
      </c>
      <c r="D168" s="17">
        <f t="shared" si="23"/>
        <v>2296</v>
      </c>
      <c r="E168" s="17">
        <f t="shared" si="24"/>
        <v>63304</v>
      </c>
      <c r="F168" s="17"/>
      <c r="G168" s="128" t="s">
        <v>1164</v>
      </c>
      <c r="H168" s="17"/>
    </row>
    <row r="169">
      <c r="A169" s="4" t="s">
        <v>1299</v>
      </c>
      <c r="B169" s="130">
        <v>46147.0</v>
      </c>
      <c r="C169" s="9">
        <v>309100.0</v>
      </c>
      <c r="D169" s="17">
        <f t="shared" si="23"/>
        <v>10818.5</v>
      </c>
      <c r="E169" s="17">
        <f t="shared" si="24"/>
        <v>298281.5</v>
      </c>
      <c r="F169" s="17"/>
      <c r="G169" s="128" t="s">
        <v>1164</v>
      </c>
      <c r="H169" s="17"/>
    </row>
    <row r="170">
      <c r="A170" s="4" t="s">
        <v>1300</v>
      </c>
      <c r="B170" s="130">
        <v>46147.0</v>
      </c>
      <c r="C170" s="9">
        <v>226400.0</v>
      </c>
      <c r="D170" s="17">
        <f t="shared" si="23"/>
        <v>7924</v>
      </c>
      <c r="E170" s="17">
        <f t="shared" si="24"/>
        <v>218476</v>
      </c>
      <c r="F170" s="17"/>
      <c r="G170" s="128" t="s">
        <v>1164</v>
      </c>
      <c r="H170" s="17"/>
    </row>
    <row r="171">
      <c r="A171" s="4" t="s">
        <v>1301</v>
      </c>
      <c r="B171" s="130">
        <v>46147.0</v>
      </c>
      <c r="C171" s="9">
        <v>6322500.0</v>
      </c>
      <c r="D171" s="17">
        <f t="shared" si="23"/>
        <v>221287.5</v>
      </c>
      <c r="E171" s="17">
        <f t="shared" si="24"/>
        <v>6101212.5</v>
      </c>
      <c r="F171" s="17"/>
      <c r="G171" s="128" t="s">
        <v>1164</v>
      </c>
      <c r="H171" s="17"/>
    </row>
    <row r="172">
      <c r="A172" s="4" t="s">
        <v>1303</v>
      </c>
      <c r="B172" s="130">
        <v>46147.0</v>
      </c>
      <c r="C172" s="9">
        <v>426000.0</v>
      </c>
      <c r="D172" s="17">
        <f t="shared" si="23"/>
        <v>14910</v>
      </c>
      <c r="E172" s="17">
        <f t="shared" si="24"/>
        <v>411090</v>
      </c>
      <c r="F172" s="17"/>
      <c r="G172" s="128" t="s">
        <v>1164</v>
      </c>
      <c r="H172" s="17"/>
    </row>
    <row r="173">
      <c r="B173" s="130">
        <v>46147.0</v>
      </c>
      <c r="C173" s="9">
        <v>400000.0</v>
      </c>
      <c r="D173" s="17">
        <f t="shared" si="23"/>
        <v>14000</v>
      </c>
      <c r="E173" s="17">
        <f t="shared" si="24"/>
        <v>386000</v>
      </c>
      <c r="F173" s="17"/>
      <c r="G173" s="128" t="s">
        <v>1164</v>
      </c>
      <c r="H173" s="17"/>
    </row>
    <row r="174">
      <c r="B174" s="130">
        <v>46147.0</v>
      </c>
      <c r="C174" s="9">
        <v>352500.0</v>
      </c>
      <c r="D174" s="17">
        <f t="shared" si="23"/>
        <v>12337.5</v>
      </c>
      <c r="E174" s="17">
        <f t="shared" si="24"/>
        <v>340162.5</v>
      </c>
      <c r="F174" s="17"/>
      <c r="G174" s="128" t="s">
        <v>1164</v>
      </c>
      <c r="H174" s="17"/>
    </row>
    <row r="175">
      <c r="A175" s="4" t="s">
        <v>1213</v>
      </c>
      <c r="B175" s="130">
        <v>46148.0</v>
      </c>
      <c r="C175" s="9">
        <v>500000.0</v>
      </c>
      <c r="D175" s="17">
        <f t="shared" si="23"/>
        <v>17500</v>
      </c>
      <c r="E175" s="17">
        <f t="shared" si="24"/>
        <v>482500</v>
      </c>
      <c r="F175" s="17"/>
      <c r="G175" s="128" t="s">
        <v>1164</v>
      </c>
      <c r="H175" s="17"/>
    </row>
    <row r="176">
      <c r="A176" s="4" t="s">
        <v>1304</v>
      </c>
      <c r="B176" s="130">
        <v>46146.0</v>
      </c>
      <c r="C176" s="9">
        <v>4615776.25</v>
      </c>
      <c r="D176" s="17">
        <f t="shared" si="23"/>
        <v>161552.1688</v>
      </c>
      <c r="E176" s="17">
        <f t="shared" si="24"/>
        <v>4454224.081</v>
      </c>
      <c r="F176" s="17"/>
      <c r="G176" s="128" t="s">
        <v>1164</v>
      </c>
      <c r="H176" s="17"/>
    </row>
    <row r="177">
      <c r="A177" s="4" t="s">
        <v>1306</v>
      </c>
      <c r="B177" s="130">
        <v>46147.0</v>
      </c>
      <c r="C177" s="9">
        <v>657744.0</v>
      </c>
      <c r="D177" s="17">
        <f t="shared" si="23"/>
        <v>23021.04</v>
      </c>
      <c r="E177" s="17">
        <f t="shared" si="24"/>
        <v>634722.96</v>
      </c>
      <c r="F177" s="17"/>
      <c r="G177" s="128" t="s">
        <v>1164</v>
      </c>
      <c r="H177" s="17"/>
    </row>
    <row r="178">
      <c r="A178" s="4" t="s">
        <v>1307</v>
      </c>
      <c r="B178" s="130">
        <v>46148.0</v>
      </c>
      <c r="C178" s="9">
        <v>2660257.6</v>
      </c>
      <c r="D178" s="17">
        <f t="shared" si="23"/>
        <v>93109.016</v>
      </c>
      <c r="E178" s="17">
        <f t="shared" si="24"/>
        <v>2567148.584</v>
      </c>
      <c r="F178" s="17"/>
      <c r="G178" s="128" t="s">
        <v>1164</v>
      </c>
      <c r="H178" s="17"/>
    </row>
    <row r="179">
      <c r="A179" s="4" t="s">
        <v>1308</v>
      </c>
      <c r="B179" s="130">
        <v>46148.0</v>
      </c>
      <c r="C179" s="9">
        <v>266000.0</v>
      </c>
      <c r="D179" s="17">
        <f t="shared" si="23"/>
        <v>9310</v>
      </c>
      <c r="E179" s="17">
        <f t="shared" si="24"/>
        <v>256690</v>
      </c>
      <c r="F179" s="17"/>
      <c r="G179" s="128" t="s">
        <v>1164</v>
      </c>
      <c r="H179" s="17"/>
    </row>
    <row r="180">
      <c r="A180" s="4" t="s">
        <v>1309</v>
      </c>
      <c r="B180" s="130">
        <v>46148.0</v>
      </c>
      <c r="C180" s="9">
        <v>619770.0</v>
      </c>
      <c r="D180" s="17">
        <f t="shared" si="23"/>
        <v>21691.95</v>
      </c>
      <c r="E180" s="17">
        <f t="shared" si="24"/>
        <v>598078.05</v>
      </c>
      <c r="F180" s="17"/>
      <c r="G180" s="128" t="s">
        <v>1164</v>
      </c>
      <c r="H180" s="17"/>
    </row>
    <row r="181">
      <c r="A181" s="4" t="s">
        <v>1310</v>
      </c>
      <c r="B181" s="130">
        <v>46148.0</v>
      </c>
      <c r="C181" s="9">
        <v>434000.0</v>
      </c>
      <c r="D181" s="17">
        <f t="shared" si="23"/>
        <v>15190</v>
      </c>
      <c r="E181" s="17">
        <f t="shared" si="24"/>
        <v>418810</v>
      </c>
      <c r="F181" s="131">
        <v>12264.0</v>
      </c>
      <c r="G181" s="128" t="s">
        <v>1164</v>
      </c>
      <c r="H181" s="133">
        <f>SUM(E168:E181)/F181</f>
        <v>1404.982076</v>
      </c>
    </row>
    <row r="182">
      <c r="A182" s="19" t="s">
        <v>34</v>
      </c>
      <c r="B182" s="132">
        <v>46150.0</v>
      </c>
      <c r="C182" s="125"/>
      <c r="D182" s="61"/>
      <c r="E182" s="61"/>
      <c r="F182" s="125">
        <v>-5175.0</v>
      </c>
      <c r="G182" s="134" t="s">
        <v>1164</v>
      </c>
      <c r="H182" s="17"/>
    </row>
    <row r="183">
      <c r="A183" s="19" t="s">
        <v>34</v>
      </c>
      <c r="B183" s="132">
        <v>46153.0</v>
      </c>
      <c r="C183" s="125"/>
      <c r="D183" s="61"/>
      <c r="E183" s="61"/>
      <c r="F183" s="125">
        <v>-5175.0</v>
      </c>
      <c r="G183" s="134" t="s">
        <v>1164</v>
      </c>
      <c r="H183" s="17"/>
    </row>
    <row r="184">
      <c r="A184" s="4" t="s">
        <v>1213</v>
      </c>
      <c r="B184" s="130">
        <v>46150.0</v>
      </c>
      <c r="C184" s="9">
        <v>450000.0</v>
      </c>
      <c r="D184" s="17">
        <f t="shared" ref="D184:D191" si="25">C184*3.5%</f>
        <v>15750</v>
      </c>
      <c r="E184" s="17">
        <f t="shared" ref="E184:E191" si="26">C184-D184</f>
        <v>434250</v>
      </c>
      <c r="F184" s="17"/>
      <c r="G184" s="128" t="s">
        <v>1164</v>
      </c>
      <c r="H184" s="17"/>
    </row>
    <row r="185">
      <c r="A185" s="4" t="s">
        <v>1311</v>
      </c>
      <c r="B185" s="130">
        <v>46150.0</v>
      </c>
      <c r="C185" s="9">
        <v>150000.0</v>
      </c>
      <c r="D185" s="17">
        <f t="shared" si="25"/>
        <v>5250</v>
      </c>
      <c r="E185" s="17">
        <f t="shared" si="26"/>
        <v>144750</v>
      </c>
      <c r="F185" s="17"/>
      <c r="G185" s="128" t="s">
        <v>1164</v>
      </c>
      <c r="H185" s="17"/>
    </row>
    <row r="186">
      <c r="A186" s="4" t="s">
        <v>1312</v>
      </c>
      <c r="B186" s="130">
        <v>46150.0</v>
      </c>
      <c r="C186" s="9">
        <v>560000.0</v>
      </c>
      <c r="D186" s="17">
        <f t="shared" si="25"/>
        <v>19600</v>
      </c>
      <c r="E186" s="17">
        <f t="shared" si="26"/>
        <v>540400</v>
      </c>
      <c r="F186" s="17"/>
      <c r="G186" s="128" t="s">
        <v>1164</v>
      </c>
      <c r="H186" s="17"/>
    </row>
    <row r="187">
      <c r="A187" s="4" t="s">
        <v>1313</v>
      </c>
      <c r="B187" s="130">
        <v>46150.0</v>
      </c>
      <c r="C187" s="9">
        <v>140000.0</v>
      </c>
      <c r="D187" s="17">
        <f t="shared" si="25"/>
        <v>4900</v>
      </c>
      <c r="E187" s="17">
        <f t="shared" si="26"/>
        <v>135100</v>
      </c>
      <c r="F187" s="17"/>
      <c r="G187" s="128" t="s">
        <v>1164</v>
      </c>
      <c r="H187" s="17"/>
    </row>
    <row r="188">
      <c r="A188" s="4" t="s">
        <v>1314</v>
      </c>
      <c r="B188" s="130">
        <v>46150.0</v>
      </c>
      <c r="C188" s="9">
        <v>833118.0</v>
      </c>
      <c r="D188" s="17">
        <f t="shared" si="25"/>
        <v>29159.13</v>
      </c>
      <c r="E188" s="17">
        <f t="shared" si="26"/>
        <v>803958.87</v>
      </c>
      <c r="F188" s="17"/>
      <c r="G188" s="128" t="s">
        <v>1164</v>
      </c>
      <c r="H188" s="17"/>
    </row>
    <row r="189">
      <c r="A189" s="4" t="s">
        <v>1315</v>
      </c>
      <c r="B189" s="130">
        <v>46150.0</v>
      </c>
      <c r="C189" s="9">
        <v>1828355.0</v>
      </c>
      <c r="D189" s="17">
        <f t="shared" si="25"/>
        <v>63992.425</v>
      </c>
      <c r="E189" s="17">
        <f t="shared" si="26"/>
        <v>1764362.575</v>
      </c>
      <c r="F189" s="17"/>
      <c r="G189" s="128" t="s">
        <v>1164</v>
      </c>
      <c r="H189" s="17"/>
    </row>
    <row r="190">
      <c r="A190" s="4" t="s">
        <v>1316</v>
      </c>
      <c r="B190" s="130">
        <v>46150.0</v>
      </c>
      <c r="C190" s="9">
        <v>240000.0</v>
      </c>
      <c r="D190" s="17">
        <f t="shared" si="25"/>
        <v>8400</v>
      </c>
      <c r="E190" s="17">
        <f t="shared" si="26"/>
        <v>231600</v>
      </c>
      <c r="F190" s="17"/>
      <c r="G190" s="128" t="s">
        <v>1164</v>
      </c>
      <c r="H190" s="17"/>
    </row>
    <row r="191">
      <c r="A191" s="4" t="s">
        <v>1317</v>
      </c>
      <c r="B191" s="130">
        <v>46151.0</v>
      </c>
      <c r="C191" s="9">
        <v>616000.0</v>
      </c>
      <c r="D191" s="17">
        <f t="shared" si="25"/>
        <v>21560</v>
      </c>
      <c r="E191" s="17">
        <f t="shared" si="26"/>
        <v>594440</v>
      </c>
      <c r="F191" s="17"/>
      <c r="G191" s="128" t="s">
        <v>1164</v>
      </c>
      <c r="H191" s="17"/>
    </row>
    <row r="192">
      <c r="A192" s="167" t="s">
        <v>1318</v>
      </c>
      <c r="B192" s="130"/>
      <c r="C192" s="9"/>
      <c r="D192" s="17"/>
      <c r="E192" s="9">
        <v>-378590.0</v>
      </c>
      <c r="F192" s="17"/>
      <c r="G192" s="128"/>
      <c r="H192" s="17"/>
    </row>
    <row r="193">
      <c r="A193" s="167" t="s">
        <v>1319</v>
      </c>
      <c r="B193" s="130"/>
      <c r="C193" s="9"/>
      <c r="D193" s="17"/>
      <c r="E193" s="9">
        <v>-344000.0</v>
      </c>
      <c r="F193" s="17"/>
      <c r="G193" s="128"/>
      <c r="H193" s="17"/>
    </row>
    <row r="194">
      <c r="A194" s="4" t="s">
        <v>1320</v>
      </c>
      <c r="B194" s="130">
        <v>46152.0</v>
      </c>
      <c r="C194" s="9">
        <v>240000.0</v>
      </c>
      <c r="D194" s="17">
        <f t="shared" ref="D194:D195" si="27">C194*3.5%</f>
        <v>8400</v>
      </c>
      <c r="E194" s="17">
        <f t="shared" ref="E194:E195" si="28">C194-D194</f>
        <v>231600</v>
      </c>
      <c r="F194" s="17"/>
      <c r="G194" s="128" t="s">
        <v>1164</v>
      </c>
      <c r="H194" s="17"/>
    </row>
    <row r="195">
      <c r="B195" s="151">
        <v>46154.0</v>
      </c>
      <c r="C195" s="9">
        <v>2560000.0</v>
      </c>
      <c r="D195" s="17">
        <f t="shared" si="27"/>
        <v>89600</v>
      </c>
      <c r="E195" s="17">
        <f t="shared" si="28"/>
        <v>2470400</v>
      </c>
      <c r="F195" s="131">
        <v>4668.0</v>
      </c>
      <c r="G195" s="128" t="s">
        <v>1164</v>
      </c>
      <c r="H195" s="133">
        <f>SUM(E184:E195)/F195</f>
        <v>1419.938184</v>
      </c>
    </row>
    <row r="196">
      <c r="A196" s="19" t="s">
        <v>1321</v>
      </c>
      <c r="B196" s="132">
        <v>46150.0</v>
      </c>
      <c r="C196" s="125"/>
      <c r="D196" s="61"/>
      <c r="E196" s="61"/>
      <c r="F196" s="125">
        <v>-2778.0</v>
      </c>
      <c r="G196" s="134" t="s">
        <v>1164</v>
      </c>
      <c r="H196" s="17"/>
    </row>
    <row r="197">
      <c r="A197" s="4" t="s">
        <v>1322</v>
      </c>
      <c r="B197" s="130">
        <v>46154.0</v>
      </c>
      <c r="C197" s="9">
        <v>140000.0</v>
      </c>
      <c r="D197" s="17">
        <f t="shared" ref="D197:D236" si="29">C197*3.5%</f>
        <v>4900</v>
      </c>
      <c r="E197" s="17">
        <f t="shared" ref="E197:E236" si="30">C197-D197</f>
        <v>135100</v>
      </c>
      <c r="F197" s="17"/>
      <c r="G197" s="128" t="s">
        <v>1164</v>
      </c>
      <c r="H197" s="17"/>
    </row>
    <row r="198">
      <c r="A198" s="4" t="s">
        <v>1323</v>
      </c>
      <c r="B198" s="130">
        <v>46155.0</v>
      </c>
      <c r="C198" s="9">
        <v>211000.0</v>
      </c>
      <c r="D198" s="17">
        <f t="shared" si="29"/>
        <v>7385</v>
      </c>
      <c r="E198" s="17">
        <f t="shared" si="30"/>
        <v>203615</v>
      </c>
      <c r="F198" s="17"/>
      <c r="G198" s="128" t="s">
        <v>1164</v>
      </c>
      <c r="H198" s="17"/>
    </row>
    <row r="199">
      <c r="A199" s="4" t="s">
        <v>1324</v>
      </c>
      <c r="B199" s="130">
        <v>46156.0</v>
      </c>
      <c r="C199" s="9">
        <v>600600.0</v>
      </c>
      <c r="D199" s="17">
        <f t="shared" si="29"/>
        <v>21021</v>
      </c>
      <c r="E199" s="17">
        <f t="shared" si="30"/>
        <v>579579</v>
      </c>
      <c r="F199" s="17"/>
      <c r="G199" s="128" t="s">
        <v>1164</v>
      </c>
      <c r="H199" s="17"/>
    </row>
    <row r="200">
      <c r="A200" s="4" t="s">
        <v>1315</v>
      </c>
      <c r="B200" s="130">
        <v>46155.0</v>
      </c>
      <c r="C200" s="9">
        <v>583440.0</v>
      </c>
      <c r="D200" s="17">
        <f t="shared" si="29"/>
        <v>20420.4</v>
      </c>
      <c r="E200" s="17">
        <f t="shared" si="30"/>
        <v>563019.6</v>
      </c>
      <c r="F200" s="17"/>
      <c r="G200" s="128" t="s">
        <v>1164</v>
      </c>
      <c r="H200" s="17"/>
    </row>
    <row r="201">
      <c r="A201" s="4" t="s">
        <v>1213</v>
      </c>
      <c r="B201" s="130">
        <v>46156.0</v>
      </c>
      <c r="C201" s="9">
        <v>400000.0</v>
      </c>
      <c r="D201" s="17">
        <f t="shared" si="29"/>
        <v>14000</v>
      </c>
      <c r="E201" s="17">
        <f t="shared" si="30"/>
        <v>386000</v>
      </c>
      <c r="F201" s="17"/>
      <c r="G201" s="128" t="s">
        <v>1164</v>
      </c>
      <c r="H201" s="17"/>
    </row>
    <row r="202">
      <c r="A202" s="4" t="s">
        <v>1216</v>
      </c>
      <c r="B202" s="130">
        <v>46157.0</v>
      </c>
      <c r="C202" s="9">
        <v>154000.0</v>
      </c>
      <c r="D202" s="17">
        <f t="shared" si="29"/>
        <v>5390</v>
      </c>
      <c r="E202" s="17">
        <f t="shared" si="30"/>
        <v>148610</v>
      </c>
      <c r="F202" s="17"/>
      <c r="G202" s="128" t="s">
        <v>1164</v>
      </c>
      <c r="H202" s="17"/>
    </row>
    <row r="203">
      <c r="A203" s="4" t="s">
        <v>1327</v>
      </c>
      <c r="B203" s="130">
        <v>46158.0</v>
      </c>
      <c r="C203" s="9">
        <v>1135050.0</v>
      </c>
      <c r="D203" s="17">
        <f t="shared" si="29"/>
        <v>39726.75</v>
      </c>
      <c r="E203" s="17">
        <f t="shared" si="30"/>
        <v>1095323.25</v>
      </c>
      <c r="F203" s="17"/>
      <c r="G203" s="128" t="s">
        <v>1164</v>
      </c>
      <c r="H203" s="17"/>
    </row>
    <row r="204">
      <c r="A204" s="4" t="s">
        <v>1239</v>
      </c>
      <c r="B204" s="130">
        <v>46160.0</v>
      </c>
      <c r="C204" s="9">
        <v>157920.0</v>
      </c>
      <c r="D204" s="17">
        <f t="shared" si="29"/>
        <v>5527.2</v>
      </c>
      <c r="E204" s="17">
        <f t="shared" si="30"/>
        <v>152392.8</v>
      </c>
      <c r="F204" s="131">
        <v>2274.0</v>
      </c>
      <c r="G204" s="128" t="s">
        <v>1164</v>
      </c>
      <c r="H204" s="133">
        <f>SUM(E197:E204)/F204</f>
        <v>1435.197735</v>
      </c>
    </row>
    <row r="205">
      <c r="A205" s="4" t="s">
        <v>1328</v>
      </c>
      <c r="B205" s="130">
        <v>46161.0</v>
      </c>
      <c r="C205" s="9">
        <v>600000.0</v>
      </c>
      <c r="D205" s="17">
        <f t="shared" si="29"/>
        <v>21000</v>
      </c>
      <c r="E205" s="17">
        <f t="shared" si="30"/>
        <v>579000</v>
      </c>
      <c r="F205" s="17"/>
      <c r="G205" s="128" t="s">
        <v>1164</v>
      </c>
      <c r="H205" s="17"/>
    </row>
    <row r="206">
      <c r="A206" s="4" t="s">
        <v>1329</v>
      </c>
      <c r="B206" s="130">
        <v>46162.0</v>
      </c>
      <c r="C206" s="9">
        <v>490070.0</v>
      </c>
      <c r="D206" s="17">
        <f t="shared" si="29"/>
        <v>17152.45</v>
      </c>
      <c r="E206" s="17">
        <f t="shared" si="30"/>
        <v>472917.55</v>
      </c>
      <c r="F206" s="17"/>
      <c r="G206" s="128" t="s">
        <v>1164</v>
      </c>
      <c r="H206" s="17"/>
    </row>
    <row r="207">
      <c r="A207" s="4" t="s">
        <v>1330</v>
      </c>
      <c r="B207" s="130">
        <v>46161.0</v>
      </c>
      <c r="C207" s="9">
        <v>95040.0</v>
      </c>
      <c r="D207" s="17">
        <f t="shared" si="29"/>
        <v>3326.4</v>
      </c>
      <c r="E207" s="17">
        <f t="shared" si="30"/>
        <v>91713.6</v>
      </c>
      <c r="F207" s="17"/>
      <c r="G207" s="128" t="s">
        <v>1164</v>
      </c>
      <c r="H207" s="17"/>
    </row>
    <row r="208">
      <c r="A208" s="4" t="s">
        <v>1216</v>
      </c>
      <c r="B208" s="130">
        <v>46162.0</v>
      </c>
      <c r="C208" s="9">
        <v>301500.0</v>
      </c>
      <c r="D208" s="17">
        <f t="shared" si="29"/>
        <v>10552.5</v>
      </c>
      <c r="E208" s="17">
        <f t="shared" si="30"/>
        <v>290947.5</v>
      </c>
      <c r="F208" s="17"/>
      <c r="G208" s="128" t="s">
        <v>1164</v>
      </c>
      <c r="H208" s="17"/>
    </row>
    <row r="209">
      <c r="A209" s="4" t="s">
        <v>1331</v>
      </c>
      <c r="B209" s="130">
        <v>46162.0</v>
      </c>
      <c r="C209" s="9">
        <v>363000.0</v>
      </c>
      <c r="D209" s="17">
        <f t="shared" si="29"/>
        <v>12705</v>
      </c>
      <c r="E209" s="17">
        <f t="shared" si="30"/>
        <v>350295</v>
      </c>
      <c r="F209" s="131">
        <v>1248.0</v>
      </c>
      <c r="G209" s="128" t="s">
        <v>1164</v>
      </c>
      <c r="H209" s="133">
        <f>SUM(E205:E209)/F209</f>
        <v>1430.18722</v>
      </c>
    </row>
    <row r="210">
      <c r="A210" s="4" t="s">
        <v>1213</v>
      </c>
      <c r="B210" s="130">
        <v>46163.0</v>
      </c>
      <c r="C210" s="9">
        <v>465000.0</v>
      </c>
      <c r="D210" s="17">
        <f t="shared" si="29"/>
        <v>16275</v>
      </c>
      <c r="E210" s="17">
        <f t="shared" si="30"/>
        <v>448725</v>
      </c>
      <c r="F210" s="17"/>
      <c r="G210" s="128" t="s">
        <v>1164</v>
      </c>
      <c r="H210" s="17"/>
    </row>
    <row r="211">
      <c r="A211" s="4" t="s">
        <v>1332</v>
      </c>
      <c r="B211" s="130">
        <v>46163.0</v>
      </c>
      <c r="C211" s="9">
        <v>140000.0</v>
      </c>
      <c r="D211" s="17">
        <f t="shared" si="29"/>
        <v>4900</v>
      </c>
      <c r="E211" s="17">
        <f t="shared" si="30"/>
        <v>135100</v>
      </c>
      <c r="F211" s="17"/>
      <c r="G211" s="128" t="s">
        <v>1164</v>
      </c>
      <c r="H211" s="17"/>
    </row>
    <row r="212">
      <c r="A212" s="4" t="s">
        <v>1216</v>
      </c>
      <c r="B212" s="130">
        <v>46164.0</v>
      </c>
      <c r="C212" s="9">
        <v>210000.0</v>
      </c>
      <c r="D212" s="17">
        <f t="shared" si="29"/>
        <v>7350</v>
      </c>
      <c r="E212" s="17">
        <f t="shared" si="30"/>
        <v>202650</v>
      </c>
      <c r="F212" s="17"/>
      <c r="G212" s="128" t="s">
        <v>1164</v>
      </c>
      <c r="H212" s="17"/>
    </row>
    <row r="213">
      <c r="A213" s="4" t="s">
        <v>1333</v>
      </c>
      <c r="B213" s="130">
        <v>46164.0</v>
      </c>
      <c r="C213" s="9">
        <v>85800.0</v>
      </c>
      <c r="D213" s="17">
        <f t="shared" si="29"/>
        <v>3003</v>
      </c>
      <c r="E213" s="17">
        <f t="shared" si="30"/>
        <v>82797</v>
      </c>
      <c r="F213" s="17"/>
      <c r="G213" s="128" t="s">
        <v>1164</v>
      </c>
      <c r="H213" s="17"/>
    </row>
    <row r="214">
      <c r="A214" s="4" t="s">
        <v>1255</v>
      </c>
      <c r="B214" s="130">
        <v>46164.0</v>
      </c>
      <c r="C214" s="9">
        <v>645100.0</v>
      </c>
      <c r="D214" s="17">
        <f t="shared" si="29"/>
        <v>22578.5</v>
      </c>
      <c r="E214" s="17">
        <f t="shared" si="30"/>
        <v>622521.5</v>
      </c>
      <c r="F214" s="17"/>
      <c r="G214" s="128" t="s">
        <v>1164</v>
      </c>
      <c r="H214" s="17"/>
    </row>
    <row r="215">
      <c r="A215" s="4" t="s">
        <v>1334</v>
      </c>
      <c r="B215" s="130">
        <v>46164.0</v>
      </c>
      <c r="C215" s="9">
        <v>227000.0</v>
      </c>
      <c r="D215" s="17">
        <f t="shared" si="29"/>
        <v>7945</v>
      </c>
      <c r="E215" s="17">
        <f t="shared" si="30"/>
        <v>219055</v>
      </c>
      <c r="F215" s="17"/>
      <c r="G215" s="128" t="s">
        <v>1164</v>
      </c>
      <c r="H215" s="17"/>
    </row>
    <row r="216">
      <c r="A216" s="4" t="s">
        <v>1335</v>
      </c>
      <c r="B216" s="130">
        <v>46164.0</v>
      </c>
      <c r="C216" s="9">
        <v>142500.0</v>
      </c>
      <c r="D216" s="17">
        <f t="shared" si="29"/>
        <v>4987.5</v>
      </c>
      <c r="E216" s="17">
        <f t="shared" si="30"/>
        <v>137512.5</v>
      </c>
      <c r="F216" s="17"/>
      <c r="G216" s="128" t="s">
        <v>1164</v>
      </c>
      <c r="H216" s="17"/>
    </row>
    <row r="217">
      <c r="A217" s="4" t="s">
        <v>1336</v>
      </c>
      <c r="B217" s="130">
        <v>46164.0</v>
      </c>
      <c r="C217" s="9">
        <v>285000.0</v>
      </c>
      <c r="D217" s="17">
        <f t="shared" si="29"/>
        <v>9975</v>
      </c>
      <c r="E217" s="17">
        <f t="shared" si="30"/>
        <v>275025</v>
      </c>
      <c r="F217" s="17"/>
      <c r="G217" s="128" t="s">
        <v>1164</v>
      </c>
      <c r="H217" s="17"/>
    </row>
    <row r="218">
      <c r="A218" s="4" t="s">
        <v>1317</v>
      </c>
      <c r="B218" s="130">
        <v>46165.0</v>
      </c>
      <c r="C218" s="9">
        <v>921975.0</v>
      </c>
      <c r="D218" s="17">
        <f t="shared" si="29"/>
        <v>32269.125</v>
      </c>
      <c r="E218" s="17">
        <f t="shared" si="30"/>
        <v>889705.875</v>
      </c>
      <c r="F218" s="17"/>
      <c r="G218" s="128" t="s">
        <v>1164</v>
      </c>
      <c r="H218" s="17"/>
    </row>
    <row r="219">
      <c r="A219" s="4" t="s">
        <v>1317</v>
      </c>
      <c r="B219" s="130">
        <v>46165.0</v>
      </c>
      <c r="C219" s="9">
        <v>712500.0</v>
      </c>
      <c r="D219" s="17">
        <f t="shared" si="29"/>
        <v>24937.5</v>
      </c>
      <c r="E219" s="17">
        <f t="shared" si="30"/>
        <v>687562.5</v>
      </c>
      <c r="F219" s="17"/>
      <c r="G219" s="128" t="s">
        <v>1164</v>
      </c>
      <c r="H219" s="17"/>
    </row>
    <row r="220">
      <c r="A220" s="4" t="s">
        <v>1335</v>
      </c>
      <c r="B220" s="130">
        <v>46165.0</v>
      </c>
      <c r="C220" s="9">
        <v>85750.0</v>
      </c>
      <c r="D220" s="17">
        <f t="shared" si="29"/>
        <v>3001.25</v>
      </c>
      <c r="E220" s="17">
        <f t="shared" si="30"/>
        <v>82748.75</v>
      </c>
      <c r="F220" s="17"/>
      <c r="G220" s="128" t="s">
        <v>1164</v>
      </c>
      <c r="H220" s="17"/>
    </row>
    <row r="221">
      <c r="B221" s="130">
        <v>46165.0</v>
      </c>
      <c r="C221" s="9">
        <v>185000.0</v>
      </c>
      <c r="D221" s="17">
        <f t="shared" si="29"/>
        <v>6475</v>
      </c>
      <c r="E221" s="17">
        <f t="shared" si="30"/>
        <v>178525</v>
      </c>
      <c r="F221" s="17"/>
      <c r="G221" s="128" t="s">
        <v>1164</v>
      </c>
      <c r="H221" s="17"/>
    </row>
    <row r="222">
      <c r="A222" s="4" t="s">
        <v>1337</v>
      </c>
      <c r="B222" s="130">
        <v>46167.0</v>
      </c>
      <c r="C222" s="9">
        <v>46312.5</v>
      </c>
      <c r="D222" s="17">
        <f t="shared" si="29"/>
        <v>1620.9375</v>
      </c>
      <c r="E222" s="17">
        <f t="shared" si="30"/>
        <v>44691.5625</v>
      </c>
      <c r="F222" s="131">
        <v>2792.0</v>
      </c>
      <c r="G222" s="128" t="s">
        <v>1164</v>
      </c>
      <c r="H222" s="133">
        <f>SUM(E210:E222)/F222</f>
        <v>1435.035705</v>
      </c>
    </row>
    <row r="223">
      <c r="A223" s="4" t="s">
        <v>1338</v>
      </c>
      <c r="B223" s="14" t="s">
        <v>1339</v>
      </c>
      <c r="C223" s="9">
        <v>420000.0</v>
      </c>
      <c r="D223" s="17">
        <f t="shared" si="29"/>
        <v>14700</v>
      </c>
      <c r="E223" s="17">
        <f t="shared" si="30"/>
        <v>405300</v>
      </c>
      <c r="F223" s="17"/>
      <c r="G223" s="128" t="s">
        <v>1164</v>
      </c>
      <c r="H223" s="17"/>
    </row>
    <row r="224">
      <c r="A224" s="4" t="s">
        <v>1338</v>
      </c>
      <c r="B224" s="14" t="s">
        <v>1339</v>
      </c>
      <c r="C224" s="9">
        <v>1225000.0</v>
      </c>
      <c r="D224" s="17">
        <f t="shared" si="29"/>
        <v>42875</v>
      </c>
      <c r="E224" s="17">
        <f t="shared" si="30"/>
        <v>1182125</v>
      </c>
      <c r="F224" s="17"/>
      <c r="G224" s="128" t="s">
        <v>1164</v>
      </c>
      <c r="H224" s="17"/>
    </row>
    <row r="225">
      <c r="A225" s="4" t="s">
        <v>1216</v>
      </c>
      <c r="B225" s="130">
        <v>46167.0</v>
      </c>
      <c r="C225" s="9">
        <v>172000.0</v>
      </c>
      <c r="D225" s="17">
        <f t="shared" si="29"/>
        <v>6020</v>
      </c>
      <c r="E225" s="17">
        <f t="shared" si="30"/>
        <v>165980</v>
      </c>
      <c r="F225" s="17"/>
      <c r="G225" s="128" t="s">
        <v>1164</v>
      </c>
      <c r="H225" s="17"/>
    </row>
    <row r="226">
      <c r="A226" s="4" t="s">
        <v>1340</v>
      </c>
      <c r="B226" s="130">
        <v>46168.0</v>
      </c>
      <c r="C226" s="9">
        <v>210000.0</v>
      </c>
      <c r="D226" s="17">
        <f t="shared" si="29"/>
        <v>7350</v>
      </c>
      <c r="E226" s="17">
        <f t="shared" si="30"/>
        <v>202650</v>
      </c>
      <c r="F226" s="17"/>
      <c r="G226" s="128" t="s">
        <v>1164</v>
      </c>
      <c r="H226" s="17"/>
    </row>
    <row r="227">
      <c r="A227" s="4" t="s">
        <v>1341</v>
      </c>
      <c r="B227" s="130">
        <v>46168.0</v>
      </c>
      <c r="C227" s="9">
        <v>210000.0</v>
      </c>
      <c r="D227" s="17">
        <f t="shared" si="29"/>
        <v>7350</v>
      </c>
      <c r="E227" s="17">
        <f t="shared" si="30"/>
        <v>202650</v>
      </c>
      <c r="F227" s="17"/>
      <c r="G227" s="128" t="s">
        <v>1164</v>
      </c>
      <c r="H227" s="17"/>
    </row>
    <row r="228">
      <c r="A228" s="4" t="s">
        <v>1335</v>
      </c>
      <c r="B228" s="130">
        <v>46169.0</v>
      </c>
      <c r="C228" s="9">
        <v>72000.0</v>
      </c>
      <c r="D228" s="17">
        <f t="shared" si="29"/>
        <v>2520</v>
      </c>
      <c r="E228" s="17">
        <f t="shared" si="30"/>
        <v>69480</v>
      </c>
      <c r="F228" s="17"/>
      <c r="G228" s="128" t="s">
        <v>1164</v>
      </c>
      <c r="H228" s="17"/>
    </row>
    <row r="229">
      <c r="A229" s="4" t="s">
        <v>1342</v>
      </c>
      <c r="B229" s="130">
        <v>46170.0</v>
      </c>
      <c r="C229" s="9">
        <v>4337794.0</v>
      </c>
      <c r="D229" s="17">
        <f t="shared" si="29"/>
        <v>151822.79</v>
      </c>
      <c r="E229" s="17">
        <f t="shared" si="30"/>
        <v>4185971.21</v>
      </c>
      <c r="F229" s="17"/>
      <c r="G229" s="128" t="s">
        <v>1164</v>
      </c>
      <c r="H229" s="17"/>
    </row>
    <row r="230">
      <c r="A230" s="4" t="s">
        <v>1343</v>
      </c>
      <c r="B230" s="130">
        <v>46170.0</v>
      </c>
      <c r="C230" s="9">
        <v>803131.0</v>
      </c>
      <c r="D230" s="17">
        <f t="shared" si="29"/>
        <v>28109.585</v>
      </c>
      <c r="E230" s="17">
        <f t="shared" si="30"/>
        <v>775021.415</v>
      </c>
      <c r="F230" s="131">
        <v>5010.0</v>
      </c>
      <c r="G230" s="128" t="s">
        <v>1164</v>
      </c>
      <c r="H230" s="133">
        <f>SUM(E223:E230)/F230</f>
        <v>1434.965594</v>
      </c>
    </row>
    <row r="231">
      <c r="A231" s="4" t="s">
        <v>1344</v>
      </c>
      <c r="B231" s="130">
        <v>46170.0</v>
      </c>
      <c r="C231" s="9">
        <v>1000000.0</v>
      </c>
      <c r="D231" s="17">
        <f t="shared" si="29"/>
        <v>35000</v>
      </c>
      <c r="E231" s="17">
        <f t="shared" si="30"/>
        <v>965000</v>
      </c>
      <c r="F231" s="17"/>
      <c r="G231" s="128" t="s">
        <v>1164</v>
      </c>
      <c r="H231" s="17"/>
    </row>
    <row r="232">
      <c r="A232" s="4" t="s">
        <v>1345</v>
      </c>
      <c r="B232" s="130">
        <v>46171.0</v>
      </c>
      <c r="C232" s="9">
        <v>160000.0</v>
      </c>
      <c r="D232" s="17">
        <f t="shared" si="29"/>
        <v>5600</v>
      </c>
      <c r="E232" s="17">
        <f t="shared" si="30"/>
        <v>154400</v>
      </c>
      <c r="F232" s="17"/>
      <c r="G232" s="128" t="s">
        <v>1164</v>
      </c>
      <c r="H232" s="17"/>
    </row>
    <row r="233">
      <c r="A233" s="4" t="s">
        <v>1331</v>
      </c>
      <c r="B233" s="130">
        <v>46171.0</v>
      </c>
      <c r="C233" s="9">
        <v>2500000.0</v>
      </c>
      <c r="D233" s="17">
        <f t="shared" si="29"/>
        <v>87500</v>
      </c>
      <c r="E233" s="17">
        <f t="shared" si="30"/>
        <v>2412500</v>
      </c>
      <c r="F233" s="17"/>
      <c r="G233" s="128" t="s">
        <v>1164</v>
      </c>
      <c r="H233" s="17"/>
    </row>
    <row r="234">
      <c r="B234" s="130">
        <v>46172.0</v>
      </c>
      <c r="C234" s="9">
        <v>500000.0</v>
      </c>
      <c r="D234" s="17">
        <f t="shared" si="29"/>
        <v>17500</v>
      </c>
      <c r="E234" s="17">
        <f t="shared" si="30"/>
        <v>482500</v>
      </c>
      <c r="F234" s="17"/>
      <c r="G234" s="128" t="s">
        <v>1164</v>
      </c>
      <c r="H234" s="17"/>
    </row>
    <row r="235">
      <c r="A235" s="4" t="s">
        <v>1336</v>
      </c>
      <c r="B235" s="130">
        <v>46173.0</v>
      </c>
      <c r="C235" s="9">
        <v>290000.0</v>
      </c>
      <c r="D235" s="17">
        <f t="shared" si="29"/>
        <v>10150</v>
      </c>
      <c r="E235" s="17">
        <f t="shared" si="30"/>
        <v>279850</v>
      </c>
      <c r="F235" s="17"/>
      <c r="G235" s="128" t="s">
        <v>1164</v>
      </c>
      <c r="H235" s="17"/>
    </row>
    <row r="236">
      <c r="A236" s="4" t="s">
        <v>1244</v>
      </c>
      <c r="B236" s="151">
        <v>46174.0</v>
      </c>
      <c r="C236" s="9">
        <v>416942.0</v>
      </c>
      <c r="D236" s="17">
        <f t="shared" si="29"/>
        <v>14592.97</v>
      </c>
      <c r="E236" s="17">
        <f t="shared" si="30"/>
        <v>402349.03</v>
      </c>
      <c r="F236" s="131">
        <v>3284.0</v>
      </c>
      <c r="G236" s="128" t="s">
        <v>1164</v>
      </c>
      <c r="H236" s="133">
        <f>SUM(E231:E236)/F236</f>
        <v>1430.145868</v>
      </c>
    </row>
    <row r="237">
      <c r="A237" s="19" t="s">
        <v>34</v>
      </c>
      <c r="B237" s="132">
        <v>46175.0</v>
      </c>
      <c r="C237" s="125"/>
      <c r="D237" s="61"/>
      <c r="E237" s="61"/>
      <c r="F237" s="125">
        <v>-17510.0</v>
      </c>
      <c r="G237" s="134" t="s">
        <v>1164</v>
      </c>
      <c r="H237" s="17"/>
    </row>
    <row r="238">
      <c r="B238" s="130">
        <v>46175.0</v>
      </c>
      <c r="C238" s="9">
        <v>504000.0</v>
      </c>
      <c r="D238" s="17">
        <f t="shared" ref="D238:D239" si="31">C238*3.5%</f>
        <v>17640</v>
      </c>
      <c r="E238" s="17">
        <f t="shared" ref="E238:E239" si="32">C238-D238</f>
        <v>486360</v>
      </c>
      <c r="F238" s="17"/>
      <c r="G238" s="128" t="s">
        <v>1164</v>
      </c>
      <c r="H238" s="17"/>
    </row>
    <row r="239">
      <c r="A239" s="4" t="s">
        <v>1292</v>
      </c>
      <c r="B239" s="130">
        <v>46176.0</v>
      </c>
      <c r="C239" s="9">
        <v>473550.0</v>
      </c>
      <c r="D239" s="17">
        <f t="shared" si="31"/>
        <v>16574.25</v>
      </c>
      <c r="E239" s="17">
        <f t="shared" si="32"/>
        <v>456975.75</v>
      </c>
      <c r="F239" s="131">
        <v>657.38</v>
      </c>
      <c r="G239" s="128" t="s">
        <v>1164</v>
      </c>
      <c r="H239" s="133">
        <f>SUM(E238:E239)/F239</f>
        <v>1434.993079</v>
      </c>
    </row>
    <row r="240">
      <c r="A240" s="4" t="s">
        <v>1188</v>
      </c>
      <c r="B240" s="130"/>
      <c r="C240" s="9"/>
      <c r="D240" s="17"/>
      <c r="E240" s="17"/>
      <c r="F240" s="9">
        <v>8000.0</v>
      </c>
      <c r="G240" s="128"/>
      <c r="H240" s="17"/>
    </row>
    <row r="241">
      <c r="A241" s="19" t="s">
        <v>1321</v>
      </c>
      <c r="B241" s="132">
        <v>46192.0</v>
      </c>
      <c r="C241" s="125"/>
      <c r="D241" s="61"/>
      <c r="E241" s="61"/>
      <c r="F241" s="125">
        <v>-3750.0</v>
      </c>
      <c r="G241" s="134" t="s">
        <v>1164</v>
      </c>
      <c r="H241" s="17"/>
    </row>
    <row r="242">
      <c r="A242" s="4" t="s">
        <v>1292</v>
      </c>
      <c r="B242" s="130">
        <v>46176.0</v>
      </c>
      <c r="C242" s="9">
        <v>574000.0</v>
      </c>
      <c r="D242" s="17">
        <f t="shared" ref="D242:D269" si="33">C242*3.5%</f>
        <v>20090</v>
      </c>
      <c r="E242" s="17">
        <f t="shared" ref="E242:E269" si="34">C242-D242</f>
        <v>553910</v>
      </c>
      <c r="F242" s="17"/>
      <c r="G242" s="128" t="s">
        <v>1164</v>
      </c>
      <c r="H242" s="17"/>
    </row>
    <row r="243">
      <c r="A243" s="14" t="s">
        <v>1346</v>
      </c>
      <c r="B243" s="130">
        <v>46179.0</v>
      </c>
      <c r="C243" s="9">
        <v>501000.0</v>
      </c>
      <c r="D243" s="17">
        <f t="shared" si="33"/>
        <v>17535</v>
      </c>
      <c r="E243" s="17">
        <f t="shared" si="34"/>
        <v>483465</v>
      </c>
      <c r="F243" s="17"/>
      <c r="G243" s="128" t="s">
        <v>1164</v>
      </c>
      <c r="H243" s="17"/>
    </row>
    <row r="244">
      <c r="A244" s="4" t="s">
        <v>1245</v>
      </c>
      <c r="B244" s="130">
        <v>46181.0</v>
      </c>
      <c r="C244" s="9">
        <v>175000.0</v>
      </c>
      <c r="D244" s="17">
        <f t="shared" si="33"/>
        <v>6125</v>
      </c>
      <c r="E244" s="17">
        <f t="shared" si="34"/>
        <v>168875</v>
      </c>
      <c r="F244" s="17"/>
      <c r="G244" s="128" t="s">
        <v>1164</v>
      </c>
      <c r="H244" s="17"/>
    </row>
    <row r="245">
      <c r="A245" s="4" t="s">
        <v>1261</v>
      </c>
      <c r="B245" s="130">
        <v>46181.0</v>
      </c>
      <c r="C245" s="9">
        <v>302400.0</v>
      </c>
      <c r="D245" s="17">
        <f t="shared" si="33"/>
        <v>10584</v>
      </c>
      <c r="E245" s="17">
        <f t="shared" si="34"/>
        <v>291816</v>
      </c>
      <c r="F245" s="17"/>
      <c r="G245" s="128" t="s">
        <v>1164</v>
      </c>
      <c r="H245" s="17"/>
    </row>
    <row r="246">
      <c r="A246" s="4" t="s">
        <v>1347</v>
      </c>
      <c r="B246" s="130">
        <v>46182.0</v>
      </c>
      <c r="C246" s="9">
        <v>600000.0</v>
      </c>
      <c r="D246" s="17">
        <f t="shared" si="33"/>
        <v>21000</v>
      </c>
      <c r="E246" s="17">
        <f t="shared" si="34"/>
        <v>579000</v>
      </c>
      <c r="F246" s="17"/>
      <c r="G246" s="128" t="s">
        <v>1164</v>
      </c>
      <c r="H246" s="17"/>
    </row>
    <row r="247">
      <c r="A247" s="4" t="s">
        <v>1347</v>
      </c>
      <c r="B247" s="130">
        <v>46182.0</v>
      </c>
      <c r="C247" s="9">
        <v>657150.0</v>
      </c>
      <c r="D247" s="17">
        <f t="shared" si="33"/>
        <v>23000.25</v>
      </c>
      <c r="E247" s="17">
        <f t="shared" si="34"/>
        <v>634149.75</v>
      </c>
      <c r="F247" s="17"/>
      <c r="G247" s="128" t="s">
        <v>1164</v>
      </c>
      <c r="H247" s="17"/>
    </row>
    <row r="248">
      <c r="A248" s="4" t="s">
        <v>1348</v>
      </c>
      <c r="B248" s="130">
        <v>46182.0</v>
      </c>
      <c r="C248" s="9">
        <v>375700.0</v>
      </c>
      <c r="D248" s="17">
        <f t="shared" si="33"/>
        <v>13149.5</v>
      </c>
      <c r="E248" s="17">
        <f t="shared" si="34"/>
        <v>362550.5</v>
      </c>
      <c r="F248" s="17"/>
      <c r="G248" s="128" t="s">
        <v>1164</v>
      </c>
      <c r="H248" s="17"/>
    </row>
    <row r="249">
      <c r="A249" s="4" t="s">
        <v>1349</v>
      </c>
      <c r="B249" s="130">
        <v>46181.0</v>
      </c>
      <c r="C249" s="9">
        <v>362587.5</v>
      </c>
      <c r="D249" s="17">
        <f t="shared" si="33"/>
        <v>12690.5625</v>
      </c>
      <c r="E249" s="17">
        <f t="shared" si="34"/>
        <v>349896.9375</v>
      </c>
      <c r="F249" s="131">
        <v>2344.97</v>
      </c>
      <c r="G249" s="128" t="s">
        <v>1164</v>
      </c>
      <c r="H249" s="133">
        <f>SUM(E242:E249)/F249</f>
        <v>1460.00298</v>
      </c>
    </row>
    <row r="250">
      <c r="A250" s="4" t="s">
        <v>1346</v>
      </c>
      <c r="B250" s="130">
        <v>46182.0</v>
      </c>
      <c r="C250" s="9">
        <v>700000.0</v>
      </c>
      <c r="D250" s="17">
        <f t="shared" si="33"/>
        <v>24500</v>
      </c>
      <c r="E250" s="17">
        <f t="shared" si="34"/>
        <v>675500</v>
      </c>
      <c r="F250" s="17"/>
      <c r="G250" s="128" t="s">
        <v>1164</v>
      </c>
      <c r="H250" s="17"/>
    </row>
    <row r="251">
      <c r="A251" s="4" t="s">
        <v>1330</v>
      </c>
      <c r="B251" s="130">
        <v>46182.0</v>
      </c>
      <c r="C251" s="9">
        <v>232000.0</v>
      </c>
      <c r="D251" s="17">
        <f t="shared" si="33"/>
        <v>8120</v>
      </c>
      <c r="E251" s="17">
        <f t="shared" si="34"/>
        <v>223880</v>
      </c>
      <c r="F251" s="17"/>
      <c r="G251" s="128" t="s">
        <v>1164</v>
      </c>
      <c r="H251" s="17"/>
    </row>
    <row r="252">
      <c r="A252" s="4" t="s">
        <v>1235</v>
      </c>
      <c r="B252" s="130">
        <v>46182.0</v>
      </c>
      <c r="C252" s="9">
        <v>54000.0</v>
      </c>
      <c r="D252" s="17">
        <f t="shared" si="33"/>
        <v>1890</v>
      </c>
      <c r="E252" s="17">
        <f t="shared" si="34"/>
        <v>52110</v>
      </c>
      <c r="F252" s="17"/>
      <c r="G252" s="128" t="s">
        <v>1164</v>
      </c>
      <c r="H252" s="17"/>
    </row>
    <row r="253">
      <c r="B253" s="130">
        <v>46183.0</v>
      </c>
      <c r="C253" s="9">
        <v>400000.0</v>
      </c>
      <c r="D253" s="17">
        <f t="shared" si="33"/>
        <v>14000</v>
      </c>
      <c r="E253" s="17">
        <f t="shared" si="34"/>
        <v>386000</v>
      </c>
      <c r="F253" s="17"/>
      <c r="G253" s="128" t="s">
        <v>1164</v>
      </c>
      <c r="H253" s="17"/>
    </row>
    <row r="254">
      <c r="B254" s="130">
        <v>46183.0</v>
      </c>
      <c r="C254" s="9">
        <v>184000.0</v>
      </c>
      <c r="D254" s="17">
        <f t="shared" si="33"/>
        <v>6440</v>
      </c>
      <c r="E254" s="17">
        <f t="shared" si="34"/>
        <v>177560</v>
      </c>
      <c r="F254" s="17"/>
      <c r="G254" s="128" t="s">
        <v>1164</v>
      </c>
      <c r="H254" s="17"/>
    </row>
    <row r="255">
      <c r="A255" s="4" t="s">
        <v>1347</v>
      </c>
      <c r="B255" s="130">
        <v>46183.0</v>
      </c>
      <c r="C255" s="9">
        <v>72250.0</v>
      </c>
      <c r="D255" s="17">
        <f t="shared" si="33"/>
        <v>2528.75</v>
      </c>
      <c r="E255" s="17">
        <f t="shared" si="34"/>
        <v>69721.25</v>
      </c>
      <c r="F255" s="131">
        <v>1089.19</v>
      </c>
      <c r="G255" s="128" t="s">
        <v>1164</v>
      </c>
      <c r="H255" s="133">
        <f>SUM(E250:E255)/F255</f>
        <v>1454.999816</v>
      </c>
    </row>
    <row r="256">
      <c r="A256" s="4" t="s">
        <v>1350</v>
      </c>
      <c r="B256" s="130">
        <v>46184.0</v>
      </c>
      <c r="C256" s="9">
        <v>159500.0</v>
      </c>
      <c r="D256" s="17">
        <f t="shared" si="33"/>
        <v>5582.5</v>
      </c>
      <c r="E256" s="17">
        <f t="shared" si="34"/>
        <v>153917.5</v>
      </c>
      <c r="F256" s="17"/>
      <c r="G256" s="128" t="s">
        <v>1164</v>
      </c>
      <c r="H256" s="17"/>
    </row>
    <row r="257">
      <c r="A257" s="4" t="s">
        <v>1351</v>
      </c>
      <c r="B257" s="130">
        <v>46184.0</v>
      </c>
      <c r="C257" s="9">
        <v>159500.0</v>
      </c>
      <c r="D257" s="17">
        <f t="shared" si="33"/>
        <v>5582.5</v>
      </c>
      <c r="E257" s="17">
        <f t="shared" si="34"/>
        <v>153917.5</v>
      </c>
      <c r="F257" s="17"/>
      <c r="G257" s="128" t="s">
        <v>1164</v>
      </c>
      <c r="H257" s="17"/>
    </row>
    <row r="258">
      <c r="A258" s="4" t="s">
        <v>1352</v>
      </c>
      <c r="B258" s="130">
        <v>46184.0</v>
      </c>
      <c r="C258" s="9">
        <v>435000.0</v>
      </c>
      <c r="D258" s="17">
        <f t="shared" si="33"/>
        <v>15225</v>
      </c>
      <c r="E258" s="17">
        <f t="shared" si="34"/>
        <v>419775</v>
      </c>
      <c r="F258" s="17"/>
      <c r="G258" s="128" t="s">
        <v>1164</v>
      </c>
      <c r="H258" s="17"/>
    </row>
    <row r="259">
      <c r="A259" s="4" t="s">
        <v>1353</v>
      </c>
      <c r="B259" s="130">
        <v>46184.0</v>
      </c>
      <c r="C259" s="9">
        <v>101500.0</v>
      </c>
      <c r="D259" s="17">
        <f t="shared" si="33"/>
        <v>3552.5</v>
      </c>
      <c r="E259" s="17">
        <f t="shared" si="34"/>
        <v>97947.5</v>
      </c>
      <c r="F259" s="17"/>
      <c r="G259" s="128" t="s">
        <v>1164</v>
      </c>
      <c r="H259" s="17"/>
    </row>
    <row r="260">
      <c r="A260" s="4" t="s">
        <v>1354</v>
      </c>
      <c r="B260" s="130">
        <v>46185.0</v>
      </c>
      <c r="C260" s="9">
        <v>1450000.0</v>
      </c>
      <c r="D260" s="17">
        <f t="shared" si="33"/>
        <v>50750</v>
      </c>
      <c r="E260" s="17">
        <f t="shared" si="34"/>
        <v>1399250</v>
      </c>
      <c r="F260" s="131">
        <v>1513.47</v>
      </c>
      <c r="G260" s="128" t="s">
        <v>1164</v>
      </c>
      <c r="H260" s="133">
        <f>SUM(E256:E260)/F260</f>
        <v>1470.004361</v>
      </c>
    </row>
    <row r="261">
      <c r="A261" s="4" t="s">
        <v>1355</v>
      </c>
      <c r="B261" s="130">
        <v>46189.0</v>
      </c>
      <c r="C261" s="9">
        <v>145500.0</v>
      </c>
      <c r="D261" s="17">
        <f t="shared" si="33"/>
        <v>5092.5</v>
      </c>
      <c r="E261" s="17">
        <f t="shared" si="34"/>
        <v>140407.5</v>
      </c>
      <c r="F261" s="17"/>
      <c r="G261" s="128" t="s">
        <v>1164</v>
      </c>
      <c r="H261" s="17"/>
    </row>
    <row r="262">
      <c r="A262" s="4" t="s">
        <v>1356</v>
      </c>
      <c r="B262" s="130">
        <v>46189.0</v>
      </c>
      <c r="C262" s="9">
        <v>189150.0</v>
      </c>
      <c r="D262" s="17">
        <f t="shared" si="33"/>
        <v>6620.25</v>
      </c>
      <c r="E262" s="17">
        <f t="shared" si="34"/>
        <v>182529.75</v>
      </c>
      <c r="F262" s="17"/>
      <c r="G262" s="128" t="s">
        <v>1164</v>
      </c>
      <c r="H262" s="17"/>
    </row>
    <row r="263">
      <c r="A263" s="4" t="s">
        <v>1347</v>
      </c>
      <c r="B263" s="130">
        <v>46189.0</v>
      </c>
      <c r="C263" s="9">
        <v>734000.0</v>
      </c>
      <c r="D263" s="17">
        <f t="shared" si="33"/>
        <v>25690</v>
      </c>
      <c r="E263" s="17">
        <f t="shared" si="34"/>
        <v>708310</v>
      </c>
      <c r="F263" s="17"/>
      <c r="G263" s="128" t="s">
        <v>1164</v>
      </c>
      <c r="H263" s="17"/>
    </row>
    <row r="264">
      <c r="A264" s="4" t="s">
        <v>1347</v>
      </c>
      <c r="B264" s="130">
        <v>46189.0</v>
      </c>
      <c r="C264" s="9">
        <v>600000.0</v>
      </c>
      <c r="D264" s="17">
        <f t="shared" si="33"/>
        <v>21000</v>
      </c>
      <c r="E264" s="17">
        <f t="shared" si="34"/>
        <v>579000</v>
      </c>
      <c r="F264" s="9"/>
      <c r="G264" s="128" t="s">
        <v>1164</v>
      </c>
      <c r="H264" s="17"/>
    </row>
    <row r="265">
      <c r="A265" s="4" t="s">
        <v>1357</v>
      </c>
      <c r="B265" s="130">
        <v>46190.0</v>
      </c>
      <c r="C265" s="9">
        <v>485100.0</v>
      </c>
      <c r="D265" s="17">
        <f t="shared" si="33"/>
        <v>16978.5</v>
      </c>
      <c r="E265" s="17">
        <f t="shared" si="34"/>
        <v>468121.5</v>
      </c>
      <c r="F265" s="17"/>
      <c r="G265" s="128" t="s">
        <v>1164</v>
      </c>
      <c r="H265" s="17"/>
    </row>
    <row r="266">
      <c r="A266" s="4" t="s">
        <v>1358</v>
      </c>
      <c r="B266" s="130">
        <v>46191.0</v>
      </c>
      <c r="C266" s="9">
        <v>603930.0</v>
      </c>
      <c r="D266" s="17">
        <f t="shared" si="33"/>
        <v>21137.55</v>
      </c>
      <c r="E266" s="17">
        <f t="shared" si="34"/>
        <v>582792.45</v>
      </c>
      <c r="F266" s="17"/>
      <c r="G266" s="128" t="s">
        <v>1164</v>
      </c>
      <c r="H266" s="17"/>
    </row>
    <row r="267">
      <c r="A267" s="4" t="s">
        <v>1244</v>
      </c>
      <c r="B267" s="130">
        <v>46192.0</v>
      </c>
      <c r="C267" s="9">
        <v>370400.0</v>
      </c>
      <c r="D267" s="17">
        <f t="shared" si="33"/>
        <v>12964</v>
      </c>
      <c r="E267" s="17">
        <f t="shared" si="34"/>
        <v>357436</v>
      </c>
      <c r="F267" s="17"/>
      <c r="G267" s="128" t="s">
        <v>1164</v>
      </c>
      <c r="H267" s="17"/>
    </row>
    <row r="268">
      <c r="A268" s="4" t="s">
        <v>1359</v>
      </c>
      <c r="B268" s="130">
        <v>46192.0</v>
      </c>
      <c r="C268" s="9">
        <v>350000.0</v>
      </c>
      <c r="D268" s="17">
        <f t="shared" si="33"/>
        <v>12250</v>
      </c>
      <c r="E268" s="17">
        <f t="shared" si="34"/>
        <v>337750</v>
      </c>
      <c r="F268" s="17"/>
      <c r="G268" s="128" t="s">
        <v>1164</v>
      </c>
      <c r="H268" s="17"/>
    </row>
    <row r="269">
      <c r="A269" s="4" t="s">
        <v>1213</v>
      </c>
      <c r="B269" s="130">
        <v>46194.0</v>
      </c>
      <c r="C269" s="9">
        <v>588000.0</v>
      </c>
      <c r="D269" s="17">
        <f t="shared" si="33"/>
        <v>20580</v>
      </c>
      <c r="E269" s="17">
        <f t="shared" si="34"/>
        <v>567420</v>
      </c>
      <c r="F269" s="131">
        <v>2624.59</v>
      </c>
      <c r="G269" s="128" t="s">
        <v>1164</v>
      </c>
      <c r="H269" s="133">
        <f>SUM(E261:E269)/F269</f>
        <v>1495.001962</v>
      </c>
    </row>
    <row r="270">
      <c r="A270" s="19" t="s">
        <v>34</v>
      </c>
      <c r="B270" s="132">
        <v>46195.0</v>
      </c>
      <c r="C270" s="125"/>
      <c r="D270" s="61"/>
      <c r="E270" s="61"/>
      <c r="F270" s="125">
        <v>-19570.0</v>
      </c>
      <c r="G270" s="134" t="s">
        <v>1164</v>
      </c>
      <c r="H270" s="17"/>
    </row>
    <row r="271">
      <c r="A271" s="4" t="s">
        <v>1360</v>
      </c>
      <c r="B271" s="130">
        <v>46195.0</v>
      </c>
      <c r="C271" s="9">
        <v>59800.0</v>
      </c>
      <c r="D271" s="17">
        <f t="shared" ref="D271:D296" si="35">C271*3.5%</f>
        <v>2093</v>
      </c>
      <c r="E271" s="17">
        <f t="shared" ref="E271:E296" si="36">C271-D271</f>
        <v>57707</v>
      </c>
      <c r="F271" s="17"/>
      <c r="G271" s="128" t="s">
        <v>1164</v>
      </c>
      <c r="H271" s="17"/>
    </row>
    <row r="272">
      <c r="A272" s="4" t="s">
        <v>1361</v>
      </c>
      <c r="B272" s="130">
        <v>46195.0</v>
      </c>
      <c r="C272" s="9">
        <v>209000.0</v>
      </c>
      <c r="D272" s="17">
        <f t="shared" si="35"/>
        <v>7315</v>
      </c>
      <c r="E272" s="17">
        <f t="shared" si="36"/>
        <v>201685</v>
      </c>
      <c r="F272" s="17"/>
      <c r="G272" s="128" t="s">
        <v>1164</v>
      </c>
      <c r="H272" s="17"/>
    </row>
    <row r="273">
      <c r="A273" s="4" t="s">
        <v>1361</v>
      </c>
      <c r="B273" s="130">
        <v>46196.0</v>
      </c>
      <c r="C273" s="9">
        <v>119600.0</v>
      </c>
      <c r="D273" s="17">
        <f t="shared" si="35"/>
        <v>4186</v>
      </c>
      <c r="E273" s="17">
        <f t="shared" si="36"/>
        <v>115414</v>
      </c>
      <c r="F273" s="17"/>
      <c r="G273" s="128" t="s">
        <v>1164</v>
      </c>
      <c r="H273" s="17"/>
    </row>
    <row r="274">
      <c r="A274" s="4" t="s">
        <v>1196</v>
      </c>
      <c r="B274" s="130">
        <v>46196.0</v>
      </c>
      <c r="C274" s="9">
        <v>1699815.0</v>
      </c>
      <c r="D274" s="17">
        <f t="shared" si="35"/>
        <v>59493.525</v>
      </c>
      <c r="E274" s="17">
        <f t="shared" si="36"/>
        <v>1640321.475</v>
      </c>
      <c r="F274" s="17"/>
      <c r="G274" s="128" t="s">
        <v>1164</v>
      </c>
      <c r="H274" s="17"/>
    </row>
    <row r="275">
      <c r="A275" s="4" t="s">
        <v>1096</v>
      </c>
      <c r="B275" s="130">
        <v>46196.0</v>
      </c>
      <c r="C275" s="9">
        <v>5000000.0</v>
      </c>
      <c r="D275" s="17">
        <f t="shared" si="35"/>
        <v>175000</v>
      </c>
      <c r="E275" s="17">
        <f t="shared" si="36"/>
        <v>4825000</v>
      </c>
      <c r="F275" s="17"/>
      <c r="G275" s="128" t="s">
        <v>1164</v>
      </c>
      <c r="H275" s="17"/>
    </row>
    <row r="276">
      <c r="A276" s="4" t="s">
        <v>1098</v>
      </c>
      <c r="B276" s="130">
        <v>46196.0</v>
      </c>
      <c r="C276" s="9">
        <v>5000000.0</v>
      </c>
      <c r="D276" s="17">
        <f t="shared" si="35"/>
        <v>175000</v>
      </c>
      <c r="E276" s="17">
        <f t="shared" si="36"/>
        <v>4825000</v>
      </c>
      <c r="F276" s="9"/>
      <c r="G276" s="128" t="s">
        <v>1164</v>
      </c>
      <c r="H276" s="17"/>
    </row>
    <row r="277">
      <c r="A277" s="4" t="s">
        <v>1361</v>
      </c>
      <c r="B277" s="130">
        <v>46196.0</v>
      </c>
      <c r="C277" s="9">
        <v>30400.0</v>
      </c>
      <c r="D277" s="17">
        <f t="shared" si="35"/>
        <v>1064</v>
      </c>
      <c r="E277" s="17">
        <f t="shared" si="36"/>
        <v>29336</v>
      </c>
      <c r="F277" s="131">
        <v>7643.44</v>
      </c>
      <c r="G277" s="128" t="s">
        <v>1164</v>
      </c>
      <c r="H277" s="133">
        <f>SUM(E271:E277)/F277</f>
        <v>1530.000036</v>
      </c>
    </row>
    <row r="278">
      <c r="A278" s="4" t="s">
        <v>1349</v>
      </c>
      <c r="B278" s="130">
        <v>46192.0</v>
      </c>
      <c r="C278" s="9">
        <v>399561.98</v>
      </c>
      <c r="D278" s="17">
        <f t="shared" si="35"/>
        <v>13984.6693</v>
      </c>
      <c r="E278" s="17">
        <f t="shared" si="36"/>
        <v>385577.3107</v>
      </c>
      <c r="F278" s="17"/>
      <c r="G278" s="128" t="s">
        <v>1164</v>
      </c>
      <c r="H278" s="17"/>
    </row>
    <row r="279">
      <c r="A279" s="4" t="s">
        <v>1362</v>
      </c>
      <c r="B279" s="130">
        <v>46198.0</v>
      </c>
      <c r="C279" s="9">
        <v>252000.0</v>
      </c>
      <c r="D279" s="17">
        <f t="shared" si="35"/>
        <v>8820</v>
      </c>
      <c r="E279" s="17">
        <f t="shared" si="36"/>
        <v>243180</v>
      </c>
      <c r="F279" s="17"/>
      <c r="G279" s="128" t="s">
        <v>1164</v>
      </c>
      <c r="H279" s="17"/>
    </row>
    <row r="280">
      <c r="A280" s="4" t="s">
        <v>1335</v>
      </c>
      <c r="B280" s="130">
        <v>46198.0</v>
      </c>
      <c r="C280" s="9">
        <v>280000.0</v>
      </c>
      <c r="D280" s="17">
        <f t="shared" si="35"/>
        <v>9800</v>
      </c>
      <c r="E280" s="17">
        <f t="shared" si="36"/>
        <v>270200</v>
      </c>
      <c r="F280" s="17"/>
      <c r="G280" s="128" t="s">
        <v>1164</v>
      </c>
      <c r="H280" s="17"/>
    </row>
    <row r="281">
      <c r="A281" s="4" t="s">
        <v>1346</v>
      </c>
      <c r="B281" s="130">
        <v>46198.0</v>
      </c>
      <c r="C281" s="9">
        <v>106000.0</v>
      </c>
      <c r="D281" s="17">
        <f t="shared" si="35"/>
        <v>3710</v>
      </c>
      <c r="E281" s="17">
        <f t="shared" si="36"/>
        <v>102290</v>
      </c>
      <c r="F281" s="17"/>
      <c r="G281" s="128" t="s">
        <v>1164</v>
      </c>
      <c r="H281" s="17"/>
    </row>
    <row r="282">
      <c r="A282" s="4" t="s">
        <v>1346</v>
      </c>
      <c r="B282" s="130">
        <v>46198.0</v>
      </c>
      <c r="C282" s="9">
        <v>200000.0</v>
      </c>
      <c r="D282" s="17">
        <f t="shared" si="35"/>
        <v>7000</v>
      </c>
      <c r="E282" s="17">
        <f t="shared" si="36"/>
        <v>193000</v>
      </c>
      <c r="F282" s="17"/>
      <c r="G282" s="128" t="s">
        <v>1164</v>
      </c>
      <c r="H282" s="17"/>
    </row>
    <row r="283">
      <c r="A283" s="4" t="s">
        <v>1239</v>
      </c>
      <c r="B283" s="130">
        <v>46198.0</v>
      </c>
      <c r="C283" s="9">
        <v>214200.0</v>
      </c>
      <c r="D283" s="17">
        <f t="shared" si="35"/>
        <v>7497</v>
      </c>
      <c r="E283" s="17">
        <f t="shared" si="36"/>
        <v>206703</v>
      </c>
      <c r="F283" s="17"/>
      <c r="G283" s="128" t="s">
        <v>1164</v>
      </c>
      <c r="H283" s="17"/>
    </row>
    <row r="284">
      <c r="A284" s="4" t="s">
        <v>1364</v>
      </c>
      <c r="B284" s="130">
        <v>46200.0</v>
      </c>
      <c r="C284" s="9">
        <v>583275.0</v>
      </c>
      <c r="D284" s="17">
        <f t="shared" si="35"/>
        <v>20414.625</v>
      </c>
      <c r="E284" s="17">
        <f t="shared" si="36"/>
        <v>562860.375</v>
      </c>
      <c r="F284" s="17"/>
      <c r="G284" s="128" t="s">
        <v>1164</v>
      </c>
      <c r="H284" s="17"/>
    </row>
    <row r="285">
      <c r="A285" s="4" t="s">
        <v>1349</v>
      </c>
      <c r="B285" s="130">
        <v>46203.0</v>
      </c>
      <c r="C285" s="9">
        <v>1223100.0</v>
      </c>
      <c r="D285" s="17">
        <f t="shared" si="35"/>
        <v>42808.5</v>
      </c>
      <c r="E285" s="17">
        <f t="shared" si="36"/>
        <v>1180291.5</v>
      </c>
      <c r="F285" s="17"/>
      <c r="G285" s="128" t="s">
        <v>1164</v>
      </c>
      <c r="H285" s="17"/>
    </row>
    <row r="286">
      <c r="A286" s="4" t="s">
        <v>1365</v>
      </c>
      <c r="B286" s="130">
        <v>46203.0</v>
      </c>
      <c r="C286" s="9">
        <v>332200.0</v>
      </c>
      <c r="D286" s="17">
        <f t="shared" si="35"/>
        <v>11627</v>
      </c>
      <c r="E286" s="17">
        <f t="shared" si="36"/>
        <v>320573</v>
      </c>
      <c r="F286" s="17"/>
      <c r="G286" s="128" t="s">
        <v>1164</v>
      </c>
      <c r="H286" s="17"/>
    </row>
    <row r="287">
      <c r="A287" s="4" t="s">
        <v>1366</v>
      </c>
      <c r="B287" s="130">
        <v>46203.0</v>
      </c>
      <c r="C287" s="9">
        <v>87000.0</v>
      </c>
      <c r="D287" s="17">
        <f t="shared" si="35"/>
        <v>3045</v>
      </c>
      <c r="E287" s="17">
        <f t="shared" si="36"/>
        <v>83955</v>
      </c>
      <c r="F287" s="131">
        <v>2323.92</v>
      </c>
      <c r="G287" s="128" t="s">
        <v>1164</v>
      </c>
      <c r="H287" s="133">
        <f>SUM(E278:E287)/F287</f>
        <v>1527.00187</v>
      </c>
    </row>
    <row r="288">
      <c r="B288" s="130">
        <v>46204.0</v>
      </c>
      <c r="C288" s="9">
        <v>600400.0</v>
      </c>
      <c r="D288" s="17">
        <f t="shared" si="35"/>
        <v>21014</v>
      </c>
      <c r="E288" s="17">
        <f t="shared" si="36"/>
        <v>579386</v>
      </c>
      <c r="F288" s="17"/>
      <c r="G288" s="128" t="s">
        <v>1164</v>
      </c>
      <c r="H288" s="17"/>
    </row>
    <row r="289">
      <c r="A289" s="4" t="s">
        <v>1367</v>
      </c>
      <c r="B289" s="130">
        <v>46204.0</v>
      </c>
      <c r="C289" s="9">
        <v>386533.0</v>
      </c>
      <c r="D289" s="17">
        <f t="shared" si="35"/>
        <v>13528.655</v>
      </c>
      <c r="E289" s="17">
        <f t="shared" si="36"/>
        <v>373004.345</v>
      </c>
      <c r="F289" s="17"/>
      <c r="G289" s="128" t="s">
        <v>1164</v>
      </c>
      <c r="H289" s="17"/>
    </row>
    <row r="290">
      <c r="A290" s="4" t="s">
        <v>1368</v>
      </c>
      <c r="B290" s="130">
        <v>46205.0</v>
      </c>
      <c r="C290" s="9">
        <v>201625.0</v>
      </c>
      <c r="D290" s="17">
        <f t="shared" si="35"/>
        <v>7056.875</v>
      </c>
      <c r="E290" s="17">
        <f t="shared" si="36"/>
        <v>194568.125</v>
      </c>
      <c r="F290" s="17"/>
      <c r="G290" s="128" t="s">
        <v>1164</v>
      </c>
      <c r="H290" s="17"/>
    </row>
    <row r="291">
      <c r="A291" s="4" t="s">
        <v>1206</v>
      </c>
      <c r="B291" s="130">
        <v>46205.0</v>
      </c>
      <c r="C291" s="9">
        <v>329100.0</v>
      </c>
      <c r="D291" s="17">
        <f t="shared" si="35"/>
        <v>11518.5</v>
      </c>
      <c r="E291" s="17">
        <f t="shared" si="36"/>
        <v>317581.5</v>
      </c>
      <c r="F291" s="17"/>
      <c r="G291" s="128" t="s">
        <v>1164</v>
      </c>
      <c r="H291" s="17"/>
    </row>
    <row r="292">
      <c r="A292" s="4" t="s">
        <v>1369</v>
      </c>
      <c r="B292" s="130">
        <v>46206.0</v>
      </c>
      <c r="C292" s="9">
        <v>400000.0</v>
      </c>
      <c r="D292" s="17">
        <f t="shared" si="35"/>
        <v>14000</v>
      </c>
      <c r="E292" s="17">
        <f t="shared" si="36"/>
        <v>386000</v>
      </c>
      <c r="F292" s="17"/>
      <c r="G292" s="128" t="s">
        <v>1164</v>
      </c>
      <c r="H292" s="17"/>
    </row>
    <row r="293">
      <c r="A293" s="4" t="s">
        <v>1370</v>
      </c>
      <c r="B293" s="130">
        <v>46207.0</v>
      </c>
      <c r="C293" s="9">
        <v>364800.0</v>
      </c>
      <c r="D293" s="17">
        <f t="shared" si="35"/>
        <v>12768</v>
      </c>
      <c r="E293" s="17">
        <f t="shared" si="36"/>
        <v>352032</v>
      </c>
      <c r="F293" s="17"/>
      <c r="G293" s="128" t="s">
        <v>1164</v>
      </c>
      <c r="H293" s="17"/>
    </row>
    <row r="294">
      <c r="B294" s="130">
        <v>46208.0</v>
      </c>
      <c r="C294" s="9">
        <v>520950.0</v>
      </c>
      <c r="D294" s="17">
        <f t="shared" si="35"/>
        <v>18233.25</v>
      </c>
      <c r="E294" s="17">
        <f t="shared" si="36"/>
        <v>502716.75</v>
      </c>
      <c r="F294" s="17"/>
      <c r="G294" s="128" t="s">
        <v>1164</v>
      </c>
      <c r="H294" s="17"/>
    </row>
    <row r="295">
      <c r="A295" s="4" t="s">
        <v>1096</v>
      </c>
      <c r="B295" s="130">
        <v>46209.0</v>
      </c>
      <c r="C295" s="9">
        <v>5000000.0</v>
      </c>
      <c r="D295" s="17">
        <f t="shared" si="35"/>
        <v>175000</v>
      </c>
      <c r="E295" s="17">
        <f t="shared" si="36"/>
        <v>4825000</v>
      </c>
      <c r="F295" s="17"/>
      <c r="G295" s="128" t="s">
        <v>1164</v>
      </c>
      <c r="H295" s="17"/>
    </row>
    <row r="296">
      <c r="A296" s="4" t="s">
        <v>1098</v>
      </c>
      <c r="B296" s="130">
        <v>46209.0</v>
      </c>
      <c r="C296" s="9">
        <v>5000000.0</v>
      </c>
      <c r="D296" s="17">
        <f t="shared" si="35"/>
        <v>175000</v>
      </c>
      <c r="E296" s="17">
        <f t="shared" si="36"/>
        <v>4825000</v>
      </c>
      <c r="F296" s="131">
        <v>8182.31</v>
      </c>
      <c r="G296" s="128" t="s">
        <v>1164</v>
      </c>
      <c r="H296" s="133">
        <f>SUM(E288:E296)/F296</f>
        <v>1510.000076</v>
      </c>
    </row>
    <row r="297">
      <c r="A297" s="19" t="s">
        <v>1371</v>
      </c>
      <c r="B297" s="132">
        <v>46209.0</v>
      </c>
      <c r="C297" s="125"/>
      <c r="D297" s="61"/>
      <c r="E297" s="61"/>
      <c r="F297" s="125">
        <v>-1425.0</v>
      </c>
      <c r="G297" s="134" t="s">
        <v>1164</v>
      </c>
      <c r="H297" s="17"/>
    </row>
    <row r="298">
      <c r="A298" s="19" t="s">
        <v>1321</v>
      </c>
      <c r="B298" s="132">
        <v>46209.0</v>
      </c>
      <c r="C298" s="125"/>
      <c r="D298" s="61"/>
      <c r="E298" s="61"/>
      <c r="F298" s="125">
        <v>-3142.0</v>
      </c>
      <c r="G298" s="134" t="s">
        <v>1164</v>
      </c>
      <c r="H298" s="17"/>
    </row>
    <row r="299">
      <c r="A299" s="4" t="s">
        <v>1372</v>
      </c>
      <c r="B299" s="130">
        <v>46210.0</v>
      </c>
      <c r="C299" s="9">
        <v>380000.0</v>
      </c>
      <c r="D299" s="17">
        <f t="shared" ref="D299:D308" si="37">C299*3.5%</f>
        <v>13300</v>
      </c>
      <c r="E299" s="17">
        <f t="shared" ref="E299:E308" si="38">C299-D299</f>
        <v>366700</v>
      </c>
      <c r="F299" s="17"/>
      <c r="G299" s="128" t="s">
        <v>1164</v>
      </c>
      <c r="H299" s="17"/>
    </row>
    <row r="300">
      <c r="A300" s="4" t="s">
        <v>1347</v>
      </c>
      <c r="B300" s="130">
        <v>46210.0</v>
      </c>
      <c r="C300" s="9">
        <v>438000.0</v>
      </c>
      <c r="D300" s="17">
        <f t="shared" si="37"/>
        <v>15330</v>
      </c>
      <c r="E300" s="17">
        <f t="shared" si="38"/>
        <v>422670</v>
      </c>
      <c r="F300" s="17"/>
      <c r="G300" s="128" t="s">
        <v>1164</v>
      </c>
      <c r="H300" s="17"/>
    </row>
    <row r="301">
      <c r="A301" s="4" t="s">
        <v>1347</v>
      </c>
      <c r="B301" s="130">
        <v>46210.0</v>
      </c>
      <c r="C301" s="9">
        <v>400000.0</v>
      </c>
      <c r="D301" s="17">
        <f t="shared" si="37"/>
        <v>14000</v>
      </c>
      <c r="E301" s="17">
        <f t="shared" si="38"/>
        <v>386000</v>
      </c>
      <c r="F301" s="17"/>
      <c r="G301" s="128" t="s">
        <v>1164</v>
      </c>
      <c r="H301" s="17"/>
    </row>
    <row r="302">
      <c r="A302" s="4" t="s">
        <v>1374</v>
      </c>
      <c r="B302" s="130">
        <v>46210.0</v>
      </c>
      <c r="C302" s="9">
        <v>323000.0</v>
      </c>
      <c r="D302" s="17">
        <f t="shared" si="37"/>
        <v>11305</v>
      </c>
      <c r="E302" s="17">
        <f t="shared" si="38"/>
        <v>311695</v>
      </c>
      <c r="F302" s="17"/>
      <c r="G302" s="128" t="s">
        <v>1164</v>
      </c>
      <c r="H302" s="17"/>
    </row>
    <row r="303">
      <c r="A303" s="4" t="s">
        <v>1347</v>
      </c>
      <c r="B303" s="130">
        <v>46210.0</v>
      </c>
      <c r="C303" s="9">
        <v>500000.0</v>
      </c>
      <c r="D303" s="17">
        <f t="shared" si="37"/>
        <v>17500</v>
      </c>
      <c r="E303" s="17">
        <f t="shared" si="38"/>
        <v>482500</v>
      </c>
      <c r="F303" s="17"/>
      <c r="G303" s="128" t="s">
        <v>1164</v>
      </c>
      <c r="H303" s="17"/>
    </row>
    <row r="304">
      <c r="A304" s="4" t="s">
        <v>1347</v>
      </c>
      <c r="B304" s="130">
        <v>46210.0</v>
      </c>
      <c r="C304" s="9">
        <v>500000.0</v>
      </c>
      <c r="D304" s="17">
        <f t="shared" si="37"/>
        <v>17500</v>
      </c>
      <c r="E304" s="17">
        <f t="shared" si="38"/>
        <v>482500</v>
      </c>
      <c r="F304" s="17"/>
      <c r="G304" s="128" t="s">
        <v>1164</v>
      </c>
      <c r="H304" s="17"/>
    </row>
    <row r="305">
      <c r="A305" s="4" t="s">
        <v>1347</v>
      </c>
      <c r="B305" s="130">
        <v>46210.0</v>
      </c>
      <c r="C305" s="9">
        <v>115000.0</v>
      </c>
      <c r="D305" s="17">
        <f t="shared" si="37"/>
        <v>4025</v>
      </c>
      <c r="E305" s="17">
        <f t="shared" si="38"/>
        <v>110975</v>
      </c>
      <c r="F305" s="17"/>
      <c r="G305" s="128" t="s">
        <v>1164</v>
      </c>
      <c r="H305" s="17"/>
    </row>
    <row r="306">
      <c r="A306" s="4" t="s">
        <v>1347</v>
      </c>
      <c r="B306" s="130">
        <v>46211.0</v>
      </c>
      <c r="C306" s="9">
        <v>500000.0</v>
      </c>
      <c r="D306" s="17">
        <f t="shared" si="37"/>
        <v>17500</v>
      </c>
      <c r="E306" s="17">
        <f t="shared" si="38"/>
        <v>482500</v>
      </c>
      <c r="F306" s="9"/>
      <c r="G306" s="128" t="s">
        <v>1164</v>
      </c>
      <c r="H306" s="17"/>
    </row>
    <row r="307">
      <c r="A307" s="4" t="s">
        <v>1375</v>
      </c>
      <c r="B307" s="130">
        <v>46211.0</v>
      </c>
      <c r="C307" s="9">
        <v>672000.0</v>
      </c>
      <c r="D307" s="17">
        <f t="shared" si="37"/>
        <v>23520</v>
      </c>
      <c r="E307" s="17">
        <f t="shared" si="38"/>
        <v>648480</v>
      </c>
      <c r="F307" s="17"/>
      <c r="G307" s="128" t="s">
        <v>1164</v>
      </c>
      <c r="H307" s="17"/>
    </row>
    <row r="308">
      <c r="A308" s="4" t="s">
        <v>1349</v>
      </c>
      <c r="B308" s="130">
        <v>46211.0</v>
      </c>
      <c r="C308" s="9">
        <v>296400.0</v>
      </c>
      <c r="D308" s="17">
        <f t="shared" si="37"/>
        <v>10374</v>
      </c>
      <c r="E308" s="17">
        <f t="shared" si="38"/>
        <v>286026</v>
      </c>
      <c r="F308" s="131">
        <v>2618.45</v>
      </c>
      <c r="G308" s="128" t="s">
        <v>1164</v>
      </c>
      <c r="H308" s="133">
        <f>SUM(E299:E308)/F308</f>
        <v>1520.000764</v>
      </c>
    </row>
    <row r="309">
      <c r="A309" s="4" t="s">
        <v>1188</v>
      </c>
      <c r="B309" s="130"/>
      <c r="C309" s="9"/>
      <c r="D309" s="17"/>
      <c r="E309" s="17"/>
      <c r="F309" s="131">
        <v>17000.0</v>
      </c>
      <c r="G309" s="128"/>
      <c r="H309" s="17"/>
    </row>
    <row r="310">
      <c r="A310" s="4" t="s">
        <v>1376</v>
      </c>
      <c r="B310" s="130">
        <v>46212.0</v>
      </c>
      <c r="C310" s="9">
        <v>1872400.0</v>
      </c>
      <c r="D310" s="17">
        <f t="shared" ref="D310:D312" si="39">C310*3.5%</f>
        <v>65534</v>
      </c>
      <c r="E310" s="17">
        <f t="shared" ref="E310:E312" si="40">C310-D310</f>
        <v>1806866</v>
      </c>
      <c r="F310" s="17"/>
      <c r="G310" s="128" t="s">
        <v>1164</v>
      </c>
      <c r="H310" s="17"/>
    </row>
    <row r="311">
      <c r="A311" s="4" t="s">
        <v>1377</v>
      </c>
      <c r="B311" s="130">
        <v>46212.0</v>
      </c>
      <c r="C311" s="9">
        <v>349600.0</v>
      </c>
      <c r="D311" s="17">
        <f t="shared" si="39"/>
        <v>12236</v>
      </c>
      <c r="E311" s="17">
        <f t="shared" si="40"/>
        <v>337364</v>
      </c>
      <c r="F311" s="17"/>
      <c r="G311" s="128" t="s">
        <v>1164</v>
      </c>
      <c r="H311" s="17"/>
    </row>
    <row r="312">
      <c r="A312" s="4" t="s">
        <v>1331</v>
      </c>
      <c r="B312" s="130">
        <v>46214.0</v>
      </c>
      <c r="C312" s="9">
        <v>1000000.0</v>
      </c>
      <c r="D312" s="17">
        <f t="shared" si="39"/>
        <v>35000</v>
      </c>
      <c r="E312" s="17">
        <f t="shared" si="40"/>
        <v>965000</v>
      </c>
      <c r="F312" s="131">
        <v>2052.3</v>
      </c>
      <c r="G312" s="128" t="s">
        <v>1164</v>
      </c>
      <c r="H312" s="133">
        <f>SUM(E310:E312)/F312</f>
        <v>1514.997807</v>
      </c>
    </row>
    <row r="313">
      <c r="A313" s="19" t="s">
        <v>34</v>
      </c>
      <c r="B313" s="132">
        <v>46217.0</v>
      </c>
      <c r="C313" s="125"/>
      <c r="D313" s="61"/>
      <c r="E313" s="61"/>
      <c r="F313" s="125">
        <v>-15400.0</v>
      </c>
      <c r="G313" s="134" t="s">
        <v>1164</v>
      </c>
      <c r="H313" s="17"/>
    </row>
    <row r="314">
      <c r="A314" s="19" t="s">
        <v>34</v>
      </c>
      <c r="B314" s="132">
        <v>46217.0</v>
      </c>
      <c r="C314" s="125"/>
      <c r="D314" s="61"/>
      <c r="E314" s="61"/>
      <c r="F314" s="125">
        <v>-4876.0</v>
      </c>
      <c r="G314" s="134" t="s">
        <v>1164</v>
      </c>
      <c r="H314" s="17"/>
    </row>
    <row r="315">
      <c r="A315" s="19" t="s">
        <v>34</v>
      </c>
      <c r="B315" s="132">
        <v>46217.0</v>
      </c>
      <c r="C315" s="125"/>
      <c r="D315" s="61"/>
      <c r="E315" s="61"/>
      <c r="F315" s="125">
        <v>-8740.0</v>
      </c>
      <c r="G315" s="134" t="s">
        <v>1164</v>
      </c>
      <c r="H315" s="17"/>
    </row>
    <row r="316">
      <c r="A316" s="4" t="s">
        <v>1378</v>
      </c>
      <c r="B316" s="130">
        <v>46216.0</v>
      </c>
      <c r="C316" s="9">
        <v>366000.0</v>
      </c>
      <c r="D316" s="17">
        <f t="shared" ref="D316:D321" si="41">C316*3.5%</f>
        <v>12810</v>
      </c>
      <c r="E316" s="17">
        <f t="shared" ref="E316:E321" si="42">C316-D316</f>
        <v>353190</v>
      </c>
      <c r="F316" s="17"/>
      <c r="G316" s="128" t="s">
        <v>1164</v>
      </c>
      <c r="H316" s="17"/>
    </row>
    <row r="317">
      <c r="A317" s="4" t="s">
        <v>1379</v>
      </c>
      <c r="B317" s="130">
        <v>46216.0</v>
      </c>
      <c r="C317" s="9">
        <v>166100.0</v>
      </c>
      <c r="D317" s="17">
        <f t="shared" si="41"/>
        <v>5813.5</v>
      </c>
      <c r="E317" s="17">
        <f t="shared" si="42"/>
        <v>160286.5</v>
      </c>
      <c r="F317" s="17"/>
      <c r="G317" s="128" t="s">
        <v>1164</v>
      </c>
      <c r="H317" s="17"/>
    </row>
    <row r="318">
      <c r="A318" s="4" t="s">
        <v>1362</v>
      </c>
      <c r="B318" s="130">
        <v>46217.0</v>
      </c>
      <c r="C318" s="9">
        <v>554800.0</v>
      </c>
      <c r="D318" s="17">
        <f t="shared" si="41"/>
        <v>19418</v>
      </c>
      <c r="E318" s="17">
        <f t="shared" si="42"/>
        <v>535382</v>
      </c>
      <c r="F318" s="17"/>
      <c r="G318" s="128" t="s">
        <v>1164</v>
      </c>
      <c r="H318" s="17"/>
    </row>
    <row r="319">
      <c r="A319" s="4" t="s">
        <v>1380</v>
      </c>
      <c r="B319" s="130">
        <v>46219.0</v>
      </c>
      <c r="C319" s="9">
        <v>1000000.0</v>
      </c>
      <c r="D319" s="17">
        <f t="shared" si="41"/>
        <v>35000</v>
      </c>
      <c r="E319" s="17">
        <f t="shared" si="42"/>
        <v>965000</v>
      </c>
      <c r="F319" s="17"/>
      <c r="G319" s="128" t="s">
        <v>1164</v>
      </c>
      <c r="H319" s="17"/>
    </row>
    <row r="320">
      <c r="A320" s="4" t="s">
        <v>1335</v>
      </c>
      <c r="B320" s="130">
        <v>46219.0</v>
      </c>
      <c r="C320" s="9">
        <v>76000.0</v>
      </c>
      <c r="D320" s="17">
        <f t="shared" si="41"/>
        <v>2660</v>
      </c>
      <c r="E320" s="17">
        <f t="shared" si="42"/>
        <v>73340</v>
      </c>
      <c r="F320" s="17"/>
      <c r="G320" s="128" t="s">
        <v>1164</v>
      </c>
      <c r="H320" s="17"/>
    </row>
    <row r="321">
      <c r="A321" s="4" t="s">
        <v>1381</v>
      </c>
      <c r="B321" s="130">
        <v>46220.0</v>
      </c>
      <c r="C321" s="9">
        <v>488000.0</v>
      </c>
      <c r="D321" s="17">
        <f t="shared" si="41"/>
        <v>17080</v>
      </c>
      <c r="E321" s="17">
        <f t="shared" si="42"/>
        <v>470920</v>
      </c>
      <c r="F321" s="17"/>
      <c r="G321" s="128" t="s">
        <v>1164</v>
      </c>
      <c r="H321" s="17"/>
    </row>
    <row r="322">
      <c r="B322" s="130"/>
      <c r="C322" s="9"/>
      <c r="D322" s="17"/>
      <c r="E322" s="9">
        <v>482500.0</v>
      </c>
      <c r="F322" s="131">
        <v>1980.86</v>
      </c>
      <c r="G322" s="128" t="s">
        <v>1164</v>
      </c>
      <c r="H322" s="133">
        <f>SUM(E316:E322)/F322</f>
        <v>1534.999192</v>
      </c>
    </row>
    <row r="323">
      <c r="B323" s="130">
        <v>46223.0</v>
      </c>
      <c r="C323" s="9">
        <v>430000.0</v>
      </c>
      <c r="D323" s="17">
        <f t="shared" ref="D323:D327" si="43">C323*3.5%</f>
        <v>15050</v>
      </c>
      <c r="E323" s="17">
        <f t="shared" ref="E323:E327" si="44">C323-D323</f>
        <v>414950</v>
      </c>
      <c r="F323" s="17"/>
      <c r="G323" s="128" t="s">
        <v>1164</v>
      </c>
      <c r="H323" s="17"/>
    </row>
    <row r="324">
      <c r="A324" s="4" t="s">
        <v>1382</v>
      </c>
      <c r="B324" s="130">
        <v>46223.0</v>
      </c>
      <c r="C324" s="9">
        <v>678000.0</v>
      </c>
      <c r="D324" s="17">
        <f t="shared" si="43"/>
        <v>23730</v>
      </c>
      <c r="E324" s="17">
        <f t="shared" si="44"/>
        <v>654270</v>
      </c>
      <c r="F324" s="17"/>
      <c r="G324" s="128" t="s">
        <v>1164</v>
      </c>
      <c r="H324" s="17"/>
    </row>
    <row r="325">
      <c r="A325" s="4" t="s">
        <v>1269</v>
      </c>
      <c r="B325" s="130">
        <v>46223.0</v>
      </c>
      <c r="C325" s="9">
        <v>600000.0</v>
      </c>
      <c r="D325" s="17">
        <f t="shared" si="43"/>
        <v>21000</v>
      </c>
      <c r="E325" s="17">
        <f t="shared" si="44"/>
        <v>579000</v>
      </c>
      <c r="F325" s="17"/>
      <c r="G325" s="128" t="s">
        <v>1164</v>
      </c>
      <c r="H325" s="17"/>
    </row>
    <row r="326">
      <c r="A326" s="4" t="s">
        <v>1206</v>
      </c>
      <c r="B326" s="130">
        <v>46224.0</v>
      </c>
      <c r="C326" s="9">
        <v>396500.0</v>
      </c>
      <c r="D326" s="17">
        <f t="shared" si="43"/>
        <v>13877.5</v>
      </c>
      <c r="E326" s="17">
        <f t="shared" si="44"/>
        <v>382622.5</v>
      </c>
      <c r="F326" s="131">
        <v>1306.01</v>
      </c>
      <c r="G326" s="128" t="s">
        <v>1164</v>
      </c>
      <c r="H326" s="133">
        <f>SUM(E323:E326)/F326</f>
        <v>1554.997665</v>
      </c>
    </row>
    <row r="327">
      <c r="A327" s="4" t="s">
        <v>1349</v>
      </c>
      <c r="B327" s="130">
        <v>46225.0</v>
      </c>
      <c r="C327" s="9">
        <v>224750.0</v>
      </c>
      <c r="D327" s="17">
        <f t="shared" si="43"/>
        <v>7866.25</v>
      </c>
      <c r="E327" s="17">
        <f t="shared" si="44"/>
        <v>216883.75</v>
      </c>
      <c r="F327" s="17"/>
      <c r="G327" s="128" t="s">
        <v>1164</v>
      </c>
      <c r="H327" s="17"/>
    </row>
    <row r="328">
      <c r="A328" s="4" t="s">
        <v>1188</v>
      </c>
      <c r="B328" s="130"/>
      <c r="C328" s="9"/>
      <c r="D328" s="17"/>
      <c r="E328" s="9">
        <v>1700000.0</v>
      </c>
      <c r="F328" s="131">
        <v>1228.77</v>
      </c>
      <c r="G328" s="128" t="s">
        <v>1164</v>
      </c>
      <c r="H328" s="133">
        <f>SUM(E327:E328)/F328</f>
        <v>1560.002075</v>
      </c>
    </row>
    <row r="329">
      <c r="A329" s="4" t="s">
        <v>1383</v>
      </c>
      <c r="B329" s="130">
        <v>46226.0</v>
      </c>
      <c r="C329" s="9">
        <v>155000.0</v>
      </c>
      <c r="D329" s="17">
        <f>C329*3.5%</f>
        <v>5425</v>
      </c>
      <c r="E329" s="17">
        <f>C329-D329</f>
        <v>149575</v>
      </c>
      <c r="F329" s="17"/>
      <c r="G329" s="128" t="s">
        <v>1164</v>
      </c>
      <c r="H329" s="17"/>
    </row>
    <row r="330">
      <c r="A330" s="4" t="s">
        <v>1188</v>
      </c>
      <c r="B330" s="130"/>
      <c r="C330" s="9"/>
      <c r="D330" s="17"/>
      <c r="E330" s="9">
        <v>2480000.0</v>
      </c>
      <c r="F330" s="131">
        <v>1685.63</v>
      </c>
      <c r="G330" s="128" t="s">
        <v>1164</v>
      </c>
      <c r="H330" s="133">
        <f>SUM(E329:E330)/F330</f>
        <v>1559.995373</v>
      </c>
    </row>
    <row r="331">
      <c r="A331" s="4" t="s">
        <v>1384</v>
      </c>
      <c r="B331" s="130">
        <v>46227.0</v>
      </c>
      <c r="C331" s="9">
        <v>1545000.0</v>
      </c>
      <c r="D331" s="17">
        <f t="shared" ref="D331:D342" si="45">C331*3.5%</f>
        <v>54075</v>
      </c>
      <c r="E331" s="17">
        <f t="shared" ref="E331:E342" si="46">C331-D331</f>
        <v>1490925</v>
      </c>
      <c r="F331" s="17"/>
      <c r="G331" s="128" t="s">
        <v>1164</v>
      </c>
      <c r="H331" s="17"/>
    </row>
    <row r="332">
      <c r="A332" s="4" t="s">
        <v>1385</v>
      </c>
      <c r="B332" s="130">
        <v>46227.0</v>
      </c>
      <c r="C332" s="9">
        <v>400000.0</v>
      </c>
      <c r="D332" s="17">
        <f t="shared" si="45"/>
        <v>14000</v>
      </c>
      <c r="E332" s="17">
        <f t="shared" si="46"/>
        <v>386000</v>
      </c>
      <c r="F332" s="17"/>
      <c r="G332" s="128" t="s">
        <v>1164</v>
      </c>
      <c r="H332" s="17"/>
    </row>
    <row r="333">
      <c r="A333" s="4" t="s">
        <v>1385</v>
      </c>
      <c r="B333" s="130">
        <v>46227.0</v>
      </c>
      <c r="C333" s="9">
        <v>601160.0</v>
      </c>
      <c r="D333" s="17">
        <f t="shared" si="45"/>
        <v>21040.6</v>
      </c>
      <c r="E333" s="17">
        <f t="shared" si="46"/>
        <v>580119.4</v>
      </c>
      <c r="F333" s="17"/>
      <c r="G333" s="128" t="s">
        <v>1164</v>
      </c>
      <c r="H333" s="17"/>
    </row>
    <row r="334">
      <c r="A334" s="4" t="s">
        <v>1263</v>
      </c>
      <c r="B334" s="130">
        <v>46227.0</v>
      </c>
      <c r="C334" s="9">
        <v>811000.0</v>
      </c>
      <c r="D334" s="17">
        <f t="shared" si="45"/>
        <v>28385</v>
      </c>
      <c r="E334" s="17">
        <f t="shared" si="46"/>
        <v>782615</v>
      </c>
      <c r="F334" s="17"/>
      <c r="G334" s="128" t="s">
        <v>1164</v>
      </c>
      <c r="H334" s="17"/>
    </row>
    <row r="335">
      <c r="A335" s="4" t="s">
        <v>1309</v>
      </c>
      <c r="B335" s="130">
        <v>46227.0</v>
      </c>
      <c r="C335" s="9">
        <v>1000000.0</v>
      </c>
      <c r="D335" s="17">
        <f t="shared" si="45"/>
        <v>35000</v>
      </c>
      <c r="E335" s="17">
        <f t="shared" si="46"/>
        <v>965000</v>
      </c>
      <c r="F335" s="17"/>
      <c r="G335" s="128" t="s">
        <v>1164</v>
      </c>
      <c r="H335" s="17"/>
    </row>
    <row r="336">
      <c r="A336" s="4" t="s">
        <v>1387</v>
      </c>
      <c r="B336" s="130">
        <v>46230.0</v>
      </c>
      <c r="C336" s="9">
        <v>156500.0</v>
      </c>
      <c r="D336" s="17">
        <f t="shared" si="45"/>
        <v>5477.5</v>
      </c>
      <c r="E336" s="17">
        <f t="shared" si="46"/>
        <v>151022.5</v>
      </c>
      <c r="F336" s="17"/>
      <c r="G336" s="128" t="s">
        <v>1164</v>
      </c>
      <c r="H336" s="17"/>
    </row>
    <row r="337">
      <c r="A337" s="4" t="s">
        <v>1388</v>
      </c>
      <c r="B337" s="130">
        <v>46231.0</v>
      </c>
      <c r="C337" s="9">
        <v>298300.0</v>
      </c>
      <c r="D337" s="17">
        <f t="shared" si="45"/>
        <v>10440.5</v>
      </c>
      <c r="E337" s="17">
        <f t="shared" si="46"/>
        <v>287859.5</v>
      </c>
      <c r="F337" s="17"/>
      <c r="G337" s="128" t="s">
        <v>1164</v>
      </c>
      <c r="H337" s="17"/>
    </row>
    <row r="338">
      <c r="A338" s="4" t="s">
        <v>1244</v>
      </c>
      <c r="B338" s="130">
        <v>46234.0</v>
      </c>
      <c r="C338" s="9">
        <v>343200.0</v>
      </c>
      <c r="D338" s="17">
        <f t="shared" si="45"/>
        <v>12012</v>
      </c>
      <c r="E338" s="17">
        <f t="shared" si="46"/>
        <v>331188</v>
      </c>
      <c r="F338" s="17"/>
      <c r="G338" s="128" t="s">
        <v>1164</v>
      </c>
      <c r="H338" s="17"/>
    </row>
    <row r="339">
      <c r="B339" s="130">
        <v>46233.0</v>
      </c>
      <c r="C339" s="9">
        <v>800000.0</v>
      </c>
      <c r="D339" s="17">
        <f t="shared" si="45"/>
        <v>28000</v>
      </c>
      <c r="E339" s="17">
        <f t="shared" si="46"/>
        <v>772000</v>
      </c>
      <c r="F339" s="17"/>
      <c r="G339" s="128" t="s">
        <v>1164</v>
      </c>
      <c r="H339" s="17"/>
    </row>
    <row r="340">
      <c r="A340" s="4" t="s">
        <v>1309</v>
      </c>
      <c r="B340" s="130">
        <v>46234.0</v>
      </c>
      <c r="C340" s="9">
        <v>573500.0</v>
      </c>
      <c r="D340" s="17">
        <f t="shared" si="45"/>
        <v>20072.5</v>
      </c>
      <c r="E340" s="17">
        <f t="shared" si="46"/>
        <v>553427.5</v>
      </c>
      <c r="F340" s="17"/>
      <c r="G340" s="128" t="s">
        <v>1164</v>
      </c>
      <c r="H340" s="17"/>
    </row>
    <row r="341">
      <c r="A341" s="4" t="s">
        <v>1389</v>
      </c>
      <c r="B341" s="151">
        <v>46235.0</v>
      </c>
      <c r="C341" s="9">
        <v>269500.0</v>
      </c>
      <c r="D341" s="17">
        <f t="shared" si="45"/>
        <v>9432.5</v>
      </c>
      <c r="E341" s="17">
        <f t="shared" si="46"/>
        <v>260067.5</v>
      </c>
      <c r="F341" s="17"/>
      <c r="G341" s="128" t="s">
        <v>1164</v>
      </c>
      <c r="H341" s="17"/>
    </row>
    <row r="342">
      <c r="A342" s="4" t="s">
        <v>1384</v>
      </c>
      <c r="B342" s="130">
        <v>46237.0</v>
      </c>
      <c r="C342" s="9">
        <v>3921876.0</v>
      </c>
      <c r="D342" s="17">
        <f t="shared" si="45"/>
        <v>137265.66</v>
      </c>
      <c r="E342" s="17">
        <f t="shared" si="46"/>
        <v>3784610.34</v>
      </c>
      <c r="F342" s="17"/>
      <c r="G342" s="128" t="s">
        <v>1164</v>
      </c>
      <c r="H342" s="17"/>
    </row>
    <row r="343">
      <c r="A343" s="4" t="s">
        <v>1188</v>
      </c>
      <c r="B343" s="130"/>
      <c r="C343" s="9"/>
      <c r="D343" s="17"/>
      <c r="E343" s="9">
        <v>2700000.0</v>
      </c>
      <c r="F343" s="131">
        <v>8362.07</v>
      </c>
      <c r="G343" s="128" t="s">
        <v>1164</v>
      </c>
      <c r="H343" s="133">
        <f>SUM(E331:E343)/F343</f>
        <v>1560.000663</v>
      </c>
    </row>
    <row r="344">
      <c r="A344" s="19" t="s">
        <v>34</v>
      </c>
      <c r="B344" s="132">
        <v>46225.0</v>
      </c>
      <c r="C344" s="125"/>
      <c r="D344" s="61"/>
      <c r="E344" s="61"/>
      <c r="F344" s="125">
        <v>-10350.0</v>
      </c>
      <c r="G344" s="134" t="s">
        <v>1164</v>
      </c>
      <c r="H344" s="17"/>
    </row>
    <row r="345">
      <c r="A345" s="19" t="s">
        <v>34</v>
      </c>
      <c r="B345" s="132">
        <v>46233.0</v>
      </c>
      <c r="C345" s="125"/>
      <c r="D345" s="61"/>
      <c r="E345" s="61"/>
      <c r="F345" s="125">
        <v>-10350.0</v>
      </c>
      <c r="G345" s="134" t="s">
        <v>1164</v>
      </c>
      <c r="H345" s="17"/>
    </row>
    <row r="346">
      <c r="A346" s="19" t="s">
        <v>1321</v>
      </c>
      <c r="B346" s="132">
        <v>46238.0</v>
      </c>
      <c r="C346" s="125"/>
      <c r="D346" s="61"/>
      <c r="E346" s="61"/>
      <c r="F346" s="125">
        <v>-4280.23</v>
      </c>
      <c r="G346" s="134" t="s">
        <v>1164</v>
      </c>
      <c r="H346" s="17"/>
    </row>
    <row r="347">
      <c r="A347" s="4" t="s">
        <v>1188</v>
      </c>
      <c r="B347" s="130">
        <v>46226.0</v>
      </c>
      <c r="C347" s="9"/>
      <c r="D347" s="17"/>
      <c r="E347" s="17"/>
      <c r="F347" s="131">
        <v>5350.0</v>
      </c>
      <c r="G347" s="152"/>
      <c r="H347" s="17"/>
    </row>
    <row r="348">
      <c r="A348" s="4" t="s">
        <v>1188</v>
      </c>
      <c r="B348" s="130">
        <v>46230.0</v>
      </c>
      <c r="C348" s="9"/>
      <c r="D348" s="17"/>
      <c r="E348" s="17"/>
      <c r="F348" s="131">
        <v>8845.0</v>
      </c>
      <c r="G348" s="152"/>
      <c r="H348" s="17"/>
    </row>
    <row r="349">
      <c r="A349" s="4" t="s">
        <v>1188</v>
      </c>
      <c r="B349" s="130">
        <v>46237.0</v>
      </c>
      <c r="C349" s="9"/>
      <c r="D349" s="17"/>
      <c r="E349" s="17"/>
      <c r="F349" s="131">
        <v>3150.0</v>
      </c>
      <c r="G349" s="152"/>
      <c r="H349" s="17"/>
    </row>
    <row r="350">
      <c r="A350" s="4" t="s">
        <v>1390</v>
      </c>
      <c r="B350" s="130">
        <v>46238.0</v>
      </c>
      <c r="C350" s="9">
        <v>155000.0</v>
      </c>
      <c r="D350" s="17">
        <f t="shared" ref="D350:D352" si="47">C350*3.5%</f>
        <v>5425</v>
      </c>
      <c r="E350" s="17">
        <f t="shared" ref="E350:E352" si="48">C350-D350</f>
        <v>149575</v>
      </c>
      <c r="F350" s="17"/>
      <c r="G350" s="128" t="s">
        <v>1164</v>
      </c>
      <c r="H350" s="17"/>
    </row>
    <row r="351">
      <c r="A351" s="4" t="s">
        <v>1391</v>
      </c>
      <c r="B351" s="130">
        <v>46238.0</v>
      </c>
      <c r="C351" s="9">
        <v>785000.0</v>
      </c>
      <c r="D351" s="17">
        <f t="shared" si="47"/>
        <v>27475</v>
      </c>
      <c r="E351" s="17">
        <f t="shared" si="48"/>
        <v>757525</v>
      </c>
      <c r="F351" s="17"/>
      <c r="G351" s="128" t="s">
        <v>1164</v>
      </c>
      <c r="H351" s="17"/>
    </row>
    <row r="352">
      <c r="A352" s="4" t="s">
        <v>1228</v>
      </c>
      <c r="B352" s="130">
        <v>46238.0</v>
      </c>
      <c r="C352" s="9">
        <v>84975.0</v>
      </c>
      <c r="D352" s="17">
        <f t="shared" si="47"/>
        <v>2974.125</v>
      </c>
      <c r="E352" s="17">
        <f t="shared" si="48"/>
        <v>82000.875</v>
      </c>
      <c r="F352" s="17"/>
      <c r="G352" s="128" t="s">
        <v>1164</v>
      </c>
      <c r="H352" s="17"/>
    </row>
    <row r="353">
      <c r="A353" s="4" t="s">
        <v>1188</v>
      </c>
      <c r="B353" s="130">
        <v>46238.0</v>
      </c>
      <c r="C353" s="9"/>
      <c r="D353" s="17"/>
      <c r="E353" s="9">
        <v>6000000.0</v>
      </c>
      <c r="F353" s="17"/>
      <c r="G353" s="128" t="s">
        <v>1164</v>
      </c>
      <c r="H353" s="17"/>
    </row>
    <row r="354">
      <c r="A354" s="4" t="s">
        <v>1188</v>
      </c>
      <c r="B354" s="130">
        <v>46238.0</v>
      </c>
      <c r="C354" s="9"/>
      <c r="D354" s="17"/>
      <c r="E354" s="9">
        <v>890000.0</v>
      </c>
      <c r="F354" s="131">
        <v>5116.3</v>
      </c>
      <c r="G354" s="128" t="s">
        <v>1164</v>
      </c>
      <c r="H354" s="133">
        <f>SUM(E350:E354)/F354</f>
        <v>1539.99978</v>
      </c>
    </row>
    <row r="355">
      <c r="A355" s="44" t="s">
        <v>1188</v>
      </c>
      <c r="B355" s="186">
        <v>46238.0</v>
      </c>
      <c r="C355" s="187"/>
      <c r="D355" s="188">
        <f>C355*3.5%</f>
        <v>0</v>
      </c>
      <c r="E355" s="188">
        <f>C355-D355</f>
        <v>0</v>
      </c>
      <c r="F355" s="188">
        <v>5895.0</v>
      </c>
      <c r="G355" s="189" t="s">
        <v>1164</v>
      </c>
      <c r="H355" s="187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</row>
    <row r="356">
      <c r="A356" s="19" t="s">
        <v>34</v>
      </c>
      <c r="B356" s="132">
        <v>46238.0</v>
      </c>
      <c r="C356" s="125"/>
      <c r="D356" s="61"/>
      <c r="E356" s="61"/>
      <c r="F356" s="125">
        <v>-8487.0</v>
      </c>
      <c r="G356" s="134" t="s">
        <v>1164</v>
      </c>
      <c r="H356" s="17"/>
    </row>
    <row r="357">
      <c r="B357" s="130">
        <v>46239.0</v>
      </c>
      <c r="C357" s="9">
        <v>292000.0</v>
      </c>
      <c r="D357" s="17">
        <f t="shared" ref="D357:D360" si="49">C357*3.5%</f>
        <v>10220</v>
      </c>
      <c r="E357" s="17">
        <f t="shared" ref="E357:E360" si="50">C357-D357</f>
        <v>281780</v>
      </c>
      <c r="F357" s="17"/>
      <c r="G357" s="128" t="s">
        <v>1164</v>
      </c>
      <c r="H357" s="17"/>
    </row>
    <row r="358">
      <c r="B358" s="130">
        <v>46240.0</v>
      </c>
      <c r="C358" s="9">
        <v>933000.0</v>
      </c>
      <c r="D358" s="17">
        <f t="shared" si="49"/>
        <v>32655</v>
      </c>
      <c r="E358" s="17">
        <f t="shared" si="50"/>
        <v>900345</v>
      </c>
      <c r="F358" s="17"/>
      <c r="G358" s="128" t="s">
        <v>1164</v>
      </c>
      <c r="H358" s="17"/>
    </row>
    <row r="359">
      <c r="B359" s="130">
        <v>46240.0</v>
      </c>
      <c r="C359" s="9">
        <v>300000.0</v>
      </c>
      <c r="D359" s="17">
        <f t="shared" si="49"/>
        <v>10500</v>
      </c>
      <c r="E359" s="17">
        <f t="shared" si="50"/>
        <v>289500</v>
      </c>
      <c r="F359" s="17"/>
      <c r="G359" s="128" t="s">
        <v>1164</v>
      </c>
      <c r="H359" s="17"/>
    </row>
    <row r="360">
      <c r="A360" s="44" t="s">
        <v>1392</v>
      </c>
      <c r="B360" s="186">
        <v>46239.0</v>
      </c>
      <c r="C360" s="188">
        <v>255750.0</v>
      </c>
      <c r="D360" s="188">
        <f t="shared" si="49"/>
        <v>8951.25</v>
      </c>
      <c r="E360" s="188">
        <f t="shared" si="50"/>
        <v>246798.75</v>
      </c>
      <c r="F360" s="131">
        <v>1112.25</v>
      </c>
      <c r="G360" s="128" t="s">
        <v>1164</v>
      </c>
      <c r="H360" s="133">
        <f>SUM(E356:E360)/F360</f>
        <v>1544.997752</v>
      </c>
    </row>
    <row r="361">
      <c r="A361" s="44" t="s">
        <v>1188</v>
      </c>
      <c r="B361" s="186">
        <v>46238.0</v>
      </c>
      <c r="C361" s="187"/>
      <c r="D361" s="187"/>
      <c r="E361" s="190">
        <v>3960000.0</v>
      </c>
      <c r="F361" s="191">
        <v>2571.43</v>
      </c>
      <c r="G361" s="192" t="s">
        <v>1164</v>
      </c>
      <c r="H361" s="191">
        <f>SUM(E361)/F361</f>
        <v>1539.999144</v>
      </c>
    </row>
    <row r="362">
      <c r="A362" s="44" t="s">
        <v>1188</v>
      </c>
      <c r="B362" s="193">
        <v>46247.0</v>
      </c>
      <c r="C362" s="187"/>
      <c r="D362" s="187"/>
      <c r="E362" s="190"/>
      <c r="F362" s="194">
        <v>31000.0</v>
      </c>
      <c r="G362" s="192" t="s">
        <v>1164</v>
      </c>
      <c r="H362" s="195"/>
    </row>
    <row r="363">
      <c r="A363" s="19" t="s">
        <v>1393</v>
      </c>
      <c r="B363" s="132">
        <v>46247.0</v>
      </c>
      <c r="C363" s="125"/>
      <c r="D363" s="61"/>
      <c r="E363" s="61"/>
      <c r="F363" s="125">
        <v>-36225.0</v>
      </c>
      <c r="G363" s="134" t="s">
        <v>1164</v>
      </c>
      <c r="H363" s="17"/>
    </row>
    <row r="364">
      <c r="A364" s="19" t="s">
        <v>1321</v>
      </c>
      <c r="B364" s="132">
        <v>46256.0</v>
      </c>
      <c r="C364" s="125"/>
      <c r="D364" s="61"/>
      <c r="E364" s="61"/>
      <c r="F364" s="125">
        <v>-7656.93</v>
      </c>
      <c r="G364" s="134" t="s">
        <v>1164</v>
      </c>
      <c r="H364" s="17"/>
    </row>
    <row r="365">
      <c r="A365" s="44" t="s">
        <v>1188</v>
      </c>
      <c r="B365" s="193">
        <v>46258.0</v>
      </c>
      <c r="C365" s="187"/>
      <c r="D365" s="187"/>
      <c r="E365" s="190"/>
      <c r="F365" s="194">
        <v>10000.0</v>
      </c>
      <c r="G365" s="192" t="s">
        <v>1164</v>
      </c>
      <c r="H365" s="17"/>
    </row>
    <row r="366">
      <c r="A366" s="19" t="s">
        <v>1321</v>
      </c>
      <c r="B366" s="132">
        <v>46258.0</v>
      </c>
      <c r="C366" s="125"/>
      <c r="D366" s="61"/>
      <c r="E366" s="61"/>
      <c r="F366" s="125">
        <v>-3105.0</v>
      </c>
      <c r="G366" s="134" t="s">
        <v>1164</v>
      </c>
      <c r="H366" s="17"/>
    </row>
    <row r="367">
      <c r="B367" s="130">
        <v>46245.0</v>
      </c>
      <c r="C367" s="9">
        <v>465000.0</v>
      </c>
      <c r="D367" s="17">
        <f t="shared" ref="D367:D373" si="51">C367*3.5%</f>
        <v>16275</v>
      </c>
      <c r="E367" s="17">
        <f t="shared" ref="E367:E373" si="52">C367-D367</f>
        <v>448725</v>
      </c>
      <c r="F367" s="17"/>
      <c r="G367" s="128" t="s">
        <v>1164</v>
      </c>
      <c r="H367" s="17"/>
    </row>
    <row r="368">
      <c r="B368" s="130">
        <v>46247.0</v>
      </c>
      <c r="C368" s="9">
        <v>940000.0</v>
      </c>
      <c r="D368" s="17">
        <f t="shared" si="51"/>
        <v>32900</v>
      </c>
      <c r="E368" s="17">
        <f t="shared" si="52"/>
        <v>907100</v>
      </c>
      <c r="F368" s="17"/>
      <c r="G368" s="128" t="s">
        <v>1164</v>
      </c>
      <c r="H368" s="17"/>
    </row>
    <row r="369">
      <c r="B369" s="130">
        <v>46247.0</v>
      </c>
      <c r="C369" s="9">
        <v>1030000.0</v>
      </c>
      <c r="D369" s="17">
        <f t="shared" si="51"/>
        <v>36050</v>
      </c>
      <c r="E369" s="17">
        <f t="shared" si="52"/>
        <v>993950</v>
      </c>
      <c r="F369" s="17"/>
      <c r="G369" s="128" t="s">
        <v>1164</v>
      </c>
      <c r="H369" s="17"/>
    </row>
    <row r="370">
      <c r="B370" s="130">
        <v>46247.0</v>
      </c>
      <c r="C370" s="9">
        <v>940000.0</v>
      </c>
      <c r="D370" s="17">
        <f t="shared" si="51"/>
        <v>32900</v>
      </c>
      <c r="E370" s="17">
        <f t="shared" si="52"/>
        <v>907100</v>
      </c>
      <c r="F370" s="17"/>
      <c r="G370" s="128" t="s">
        <v>1164</v>
      </c>
      <c r="H370" s="17"/>
    </row>
    <row r="371">
      <c r="A371" s="4" t="s">
        <v>1219</v>
      </c>
      <c r="B371" s="130">
        <v>46247.0</v>
      </c>
      <c r="C371" s="9">
        <v>154000.0</v>
      </c>
      <c r="D371" s="17">
        <f t="shared" si="51"/>
        <v>5390</v>
      </c>
      <c r="E371" s="17">
        <f t="shared" si="52"/>
        <v>148610</v>
      </c>
      <c r="F371" s="17"/>
      <c r="G371" s="128" t="s">
        <v>1164</v>
      </c>
      <c r="H371" s="17"/>
    </row>
    <row r="372">
      <c r="A372" s="4" t="s">
        <v>1394</v>
      </c>
      <c r="B372" s="130">
        <v>46252.0</v>
      </c>
      <c r="C372" s="9">
        <v>400000.0</v>
      </c>
      <c r="D372" s="17">
        <f t="shared" si="51"/>
        <v>14000</v>
      </c>
      <c r="E372" s="17">
        <f t="shared" si="52"/>
        <v>386000</v>
      </c>
      <c r="F372" s="17"/>
      <c r="G372" s="128" t="s">
        <v>1164</v>
      </c>
      <c r="H372" s="17"/>
    </row>
    <row r="373">
      <c r="A373" s="14" t="s">
        <v>1395</v>
      </c>
      <c r="B373" s="130">
        <v>46254.0</v>
      </c>
      <c r="C373" s="9">
        <v>234000.0</v>
      </c>
      <c r="D373" s="17">
        <f t="shared" si="51"/>
        <v>8190</v>
      </c>
      <c r="E373" s="17">
        <f t="shared" si="52"/>
        <v>225810</v>
      </c>
      <c r="F373" s="17"/>
      <c r="G373" s="128" t="s">
        <v>1164</v>
      </c>
      <c r="H373" s="17"/>
    </row>
    <row r="374">
      <c r="A374" s="44" t="s">
        <v>1188</v>
      </c>
      <c r="B374" s="186">
        <v>46238.0</v>
      </c>
      <c r="C374" s="187"/>
      <c r="D374" s="187"/>
      <c r="E374" s="190">
        <v>6954000.0</v>
      </c>
      <c r="F374" s="196">
        <v>7032.88</v>
      </c>
      <c r="G374" s="192" t="s">
        <v>1164</v>
      </c>
      <c r="H374" s="133">
        <f>SUM(E367:E374)/F374</f>
        <v>1560.000313</v>
      </c>
    </row>
    <row r="375">
      <c r="A375" s="4" t="s">
        <v>1219</v>
      </c>
      <c r="B375" s="130">
        <v>46255.0</v>
      </c>
      <c r="C375" s="9">
        <v>154000.0</v>
      </c>
      <c r="D375" s="17">
        <f t="shared" ref="D375:D381" si="53">C375*3.5%</f>
        <v>5390</v>
      </c>
      <c r="E375" s="17">
        <f t="shared" ref="E375:E381" si="54">C375-D375</f>
        <v>148610</v>
      </c>
      <c r="F375" s="17"/>
      <c r="G375" s="128" t="s">
        <v>1164</v>
      </c>
      <c r="H375" s="17"/>
    </row>
    <row r="376">
      <c r="A376" s="4" t="s">
        <v>1396</v>
      </c>
      <c r="B376" s="130">
        <v>46259.0</v>
      </c>
      <c r="C376" s="9">
        <v>116625.0</v>
      </c>
      <c r="D376" s="17">
        <f t="shared" si="53"/>
        <v>4081.875</v>
      </c>
      <c r="E376" s="17">
        <f t="shared" si="54"/>
        <v>112543.125</v>
      </c>
      <c r="F376" s="17"/>
      <c r="G376" s="128" t="s">
        <v>1164</v>
      </c>
      <c r="H376" s="17"/>
    </row>
    <row r="377">
      <c r="A377" s="4" t="s">
        <v>1397</v>
      </c>
      <c r="B377" s="130">
        <v>46259.0</v>
      </c>
      <c r="C377" s="9">
        <v>31000.0</v>
      </c>
      <c r="D377" s="17">
        <f t="shared" si="53"/>
        <v>1085</v>
      </c>
      <c r="E377" s="17">
        <f t="shared" si="54"/>
        <v>29915</v>
      </c>
      <c r="F377" s="17"/>
      <c r="G377" s="128" t="s">
        <v>1164</v>
      </c>
      <c r="H377" s="17"/>
    </row>
    <row r="378">
      <c r="A378" s="4" t="s">
        <v>1397</v>
      </c>
      <c r="B378" s="130">
        <v>46259.0</v>
      </c>
      <c r="C378" s="9">
        <v>1050.0</v>
      </c>
      <c r="D378" s="17">
        <f t="shared" si="53"/>
        <v>36.75</v>
      </c>
      <c r="E378" s="17">
        <f t="shared" si="54"/>
        <v>1013.25</v>
      </c>
      <c r="F378" s="17"/>
      <c r="G378" s="128" t="s">
        <v>1164</v>
      </c>
      <c r="H378" s="17"/>
    </row>
    <row r="379">
      <c r="B379" s="130">
        <v>46260.0</v>
      </c>
      <c r="C379" s="9">
        <v>139500.0</v>
      </c>
      <c r="D379" s="17">
        <f t="shared" si="53"/>
        <v>4882.5</v>
      </c>
      <c r="E379" s="17">
        <f t="shared" si="54"/>
        <v>134617.5</v>
      </c>
      <c r="F379" s="17"/>
      <c r="G379" s="128" t="s">
        <v>1164</v>
      </c>
      <c r="H379" s="17"/>
    </row>
    <row r="380">
      <c r="B380" s="130">
        <v>46260.0</v>
      </c>
      <c r="C380" s="9">
        <v>194375.0</v>
      </c>
      <c r="D380" s="17">
        <f t="shared" si="53"/>
        <v>6803.125</v>
      </c>
      <c r="E380" s="17">
        <f t="shared" si="54"/>
        <v>187571.875</v>
      </c>
      <c r="F380" s="17"/>
      <c r="G380" s="128" t="s">
        <v>1164</v>
      </c>
      <c r="H380" s="17"/>
    </row>
    <row r="381">
      <c r="B381" s="130">
        <v>46261.0</v>
      </c>
      <c r="C381" s="9">
        <v>571000.0</v>
      </c>
      <c r="D381" s="17">
        <f t="shared" si="53"/>
        <v>19985</v>
      </c>
      <c r="E381" s="17">
        <f t="shared" si="54"/>
        <v>551015</v>
      </c>
      <c r="F381" s="196">
        <v>746.98</v>
      </c>
      <c r="G381" s="192" t="s">
        <v>1164</v>
      </c>
      <c r="H381" s="133">
        <f>SUM(E375:E381)/F381</f>
        <v>1559.995917</v>
      </c>
    </row>
    <row r="382">
      <c r="A382" s="44" t="s">
        <v>1188</v>
      </c>
      <c r="B382" s="186">
        <v>46238.0</v>
      </c>
      <c r="C382" s="187"/>
      <c r="D382" s="187"/>
      <c r="E382" s="190">
        <v>2588000.0</v>
      </c>
      <c r="F382" s="17"/>
      <c r="G382" s="128" t="s">
        <v>1164</v>
      </c>
      <c r="H382" s="17"/>
    </row>
    <row r="383">
      <c r="A383" s="44" t="s">
        <v>1188</v>
      </c>
      <c r="B383" s="186">
        <v>46238.0</v>
      </c>
      <c r="C383" s="187"/>
      <c r="D383" s="187"/>
      <c r="E383" s="190">
        <v>3480000.0</v>
      </c>
      <c r="F383" s="17"/>
      <c r="G383" s="128" t="s">
        <v>1164</v>
      </c>
      <c r="H383" s="17"/>
    </row>
    <row r="384">
      <c r="B384" s="130">
        <v>46263.0</v>
      </c>
      <c r="C384" s="9">
        <v>154000.0</v>
      </c>
      <c r="D384" s="17">
        <f t="shared" ref="D384:D390" si="55">C384*3.5%</f>
        <v>5390</v>
      </c>
      <c r="E384" s="17">
        <f t="shared" ref="E384:E390" si="56">C384-D384</f>
        <v>148610</v>
      </c>
      <c r="F384" s="17"/>
      <c r="G384" s="128" t="s">
        <v>1164</v>
      </c>
      <c r="H384" s="17"/>
    </row>
    <row r="385">
      <c r="B385" s="130">
        <v>46263.0</v>
      </c>
      <c r="C385" s="9">
        <v>295000.0</v>
      </c>
      <c r="D385" s="17">
        <f t="shared" si="55"/>
        <v>10325</v>
      </c>
      <c r="E385" s="17">
        <f t="shared" si="56"/>
        <v>284675</v>
      </c>
      <c r="F385" s="17"/>
      <c r="G385" s="128" t="s">
        <v>1164</v>
      </c>
      <c r="H385" s="17"/>
    </row>
    <row r="386">
      <c r="B386" s="130">
        <v>46263.0</v>
      </c>
      <c r="C386" s="9">
        <v>1305000.0</v>
      </c>
      <c r="D386" s="17">
        <f t="shared" si="55"/>
        <v>45675</v>
      </c>
      <c r="E386" s="17">
        <f t="shared" si="56"/>
        <v>1259325</v>
      </c>
      <c r="F386" s="17"/>
      <c r="G386" s="128" t="s">
        <v>1164</v>
      </c>
      <c r="H386" s="17"/>
    </row>
    <row r="387">
      <c r="B387" s="130">
        <v>46263.0</v>
      </c>
      <c r="C387" s="9">
        <v>233500.0</v>
      </c>
      <c r="D387" s="17">
        <f t="shared" si="55"/>
        <v>8172.5</v>
      </c>
      <c r="E387" s="17">
        <f t="shared" si="56"/>
        <v>225327.5</v>
      </c>
      <c r="F387" s="17"/>
      <c r="G387" s="128" t="s">
        <v>1164</v>
      </c>
      <c r="H387" s="17"/>
    </row>
    <row r="388">
      <c r="B388" s="130">
        <v>46264.0</v>
      </c>
      <c r="C388" s="9">
        <v>210000.0</v>
      </c>
      <c r="D388" s="17">
        <f t="shared" si="55"/>
        <v>7350</v>
      </c>
      <c r="E388" s="17">
        <f t="shared" si="56"/>
        <v>202650</v>
      </c>
      <c r="F388" s="17"/>
      <c r="G388" s="128" t="s">
        <v>1164</v>
      </c>
      <c r="H388" s="17"/>
    </row>
    <row r="389">
      <c r="B389" s="130">
        <v>46264.0</v>
      </c>
      <c r="C389" s="9">
        <v>90000.0</v>
      </c>
      <c r="D389" s="17">
        <f t="shared" si="55"/>
        <v>3150</v>
      </c>
      <c r="E389" s="17">
        <f t="shared" si="56"/>
        <v>86850</v>
      </c>
      <c r="F389" s="17"/>
      <c r="G389" s="128" t="s">
        <v>1164</v>
      </c>
      <c r="H389" s="17"/>
    </row>
    <row r="390">
      <c r="B390" s="130">
        <v>46264.0</v>
      </c>
      <c r="C390" s="9">
        <v>377865.0</v>
      </c>
      <c r="D390" s="17">
        <f t="shared" si="55"/>
        <v>13225.275</v>
      </c>
      <c r="E390" s="17">
        <f t="shared" si="56"/>
        <v>364639.725</v>
      </c>
      <c r="F390" s="196">
        <v>5538.51</v>
      </c>
      <c r="G390" s="192" t="s">
        <v>1164</v>
      </c>
      <c r="H390" s="133">
        <f>SUM(E382:E390)/F390</f>
        <v>1560.000293</v>
      </c>
    </row>
    <row r="391">
      <c r="A391" s="4" t="s">
        <v>1188</v>
      </c>
      <c r="B391" s="130">
        <v>46262.0</v>
      </c>
      <c r="C391" s="9"/>
      <c r="D391" s="17"/>
      <c r="E391" s="17"/>
      <c r="F391" s="9">
        <v>17000.0</v>
      </c>
      <c r="G391" s="128"/>
      <c r="H391" s="17"/>
    </row>
    <row r="392">
      <c r="A392" s="4" t="s">
        <v>1188</v>
      </c>
      <c r="B392" s="130">
        <v>46262.0</v>
      </c>
      <c r="C392" s="9"/>
      <c r="D392" s="17"/>
      <c r="E392" s="17"/>
      <c r="F392" s="9">
        <v>2100.0</v>
      </c>
      <c r="G392" s="128"/>
      <c r="H392" s="17"/>
    </row>
    <row r="393">
      <c r="A393" s="4" t="s">
        <v>1188</v>
      </c>
      <c r="B393" s="130">
        <v>46262.0</v>
      </c>
      <c r="C393" s="9"/>
      <c r="D393" s="17"/>
      <c r="E393" s="17"/>
      <c r="F393" s="9">
        <v>3800.0</v>
      </c>
      <c r="G393" s="128"/>
      <c r="H393" s="17"/>
    </row>
    <row r="394">
      <c r="A394" s="19" t="s">
        <v>1393</v>
      </c>
      <c r="B394" s="132">
        <v>46262.0</v>
      </c>
      <c r="C394" s="125"/>
      <c r="D394" s="61"/>
      <c r="E394" s="61"/>
      <c r="F394" s="125">
        <v>-20700.0</v>
      </c>
      <c r="G394" s="134" t="s">
        <v>1164</v>
      </c>
      <c r="H394" s="17"/>
    </row>
    <row r="395">
      <c r="A395" s="19" t="s">
        <v>1398</v>
      </c>
      <c r="B395" s="132">
        <v>46262.0</v>
      </c>
      <c r="C395" s="125"/>
      <c r="D395" s="61"/>
      <c r="E395" s="61"/>
      <c r="F395" s="125">
        <v>-6054.75</v>
      </c>
      <c r="G395" s="134" t="s">
        <v>1164</v>
      </c>
      <c r="H395" s="17"/>
    </row>
    <row r="396">
      <c r="A396" s="19" t="s">
        <v>34</v>
      </c>
      <c r="B396" s="132">
        <v>46265.0</v>
      </c>
      <c r="C396" s="125"/>
      <c r="D396" s="61"/>
      <c r="E396" s="61"/>
      <c r="F396" s="125">
        <v>-17595.0</v>
      </c>
      <c r="G396" s="134" t="s">
        <v>1164</v>
      </c>
      <c r="H396" s="17"/>
    </row>
    <row r="397">
      <c r="A397" s="19" t="s">
        <v>1399</v>
      </c>
      <c r="B397" s="132">
        <v>46270.0</v>
      </c>
      <c r="C397" s="125"/>
      <c r="D397" s="61"/>
      <c r="E397" s="61"/>
      <c r="F397" s="125">
        <v>-2820.38</v>
      </c>
      <c r="G397" s="134" t="s">
        <v>1164</v>
      </c>
      <c r="H397" s="17"/>
    </row>
    <row r="398">
      <c r="A398" s="4" t="s">
        <v>1188</v>
      </c>
      <c r="B398" s="130">
        <v>46269.0</v>
      </c>
      <c r="C398" s="9"/>
      <c r="D398" s="17"/>
      <c r="E398" s="17"/>
      <c r="F398" s="9">
        <v>5800.0</v>
      </c>
      <c r="G398" s="128"/>
      <c r="H398" s="17"/>
    </row>
    <row r="399">
      <c r="B399" s="130">
        <v>46265.0</v>
      </c>
      <c r="C399" s="9">
        <v>295000.0</v>
      </c>
      <c r="D399" s="17">
        <f t="shared" ref="D399:D405" si="57">C399*3.5%</f>
        <v>10325</v>
      </c>
      <c r="E399" s="17">
        <f t="shared" ref="E399:E405" si="58">C399-D399</f>
        <v>284675</v>
      </c>
      <c r="F399" s="17"/>
      <c r="G399" s="128" t="s">
        <v>1164</v>
      </c>
      <c r="H399" s="17"/>
    </row>
    <row r="400">
      <c r="B400" s="130">
        <v>46266.0</v>
      </c>
      <c r="C400" s="9">
        <v>311000.0</v>
      </c>
      <c r="D400" s="17">
        <f t="shared" si="57"/>
        <v>10885</v>
      </c>
      <c r="E400" s="17">
        <f t="shared" si="58"/>
        <v>300115</v>
      </c>
      <c r="F400" s="17"/>
      <c r="G400" s="128" t="s">
        <v>1164</v>
      </c>
      <c r="H400" s="17"/>
    </row>
    <row r="401">
      <c r="B401" s="130">
        <v>46266.0</v>
      </c>
      <c r="C401" s="9">
        <v>1500000.0</v>
      </c>
      <c r="D401" s="17">
        <f t="shared" si="57"/>
        <v>52500</v>
      </c>
      <c r="E401" s="17">
        <f t="shared" si="58"/>
        <v>1447500</v>
      </c>
      <c r="F401" s="196">
        <v>1315.4</v>
      </c>
      <c r="G401" s="192" t="s">
        <v>1164</v>
      </c>
      <c r="H401" s="133">
        <f>SUM(E399:E401)/F401</f>
        <v>1544.997719</v>
      </c>
    </row>
    <row r="402">
      <c r="B402" s="130">
        <v>46266.0</v>
      </c>
      <c r="C402" s="9">
        <v>340000.0</v>
      </c>
      <c r="D402" s="17">
        <f t="shared" si="57"/>
        <v>11900</v>
      </c>
      <c r="E402" s="17">
        <f t="shared" si="58"/>
        <v>328100</v>
      </c>
      <c r="F402" s="17"/>
      <c r="G402" s="128" t="s">
        <v>1164</v>
      </c>
      <c r="H402" s="17"/>
    </row>
    <row r="403">
      <c r="B403" s="130">
        <v>46267.0</v>
      </c>
      <c r="C403" s="9">
        <v>292000.0</v>
      </c>
      <c r="D403" s="17">
        <f t="shared" si="57"/>
        <v>10220</v>
      </c>
      <c r="E403" s="17">
        <f t="shared" si="58"/>
        <v>281780</v>
      </c>
      <c r="F403" s="190"/>
      <c r="G403" s="192" t="s">
        <v>1164</v>
      </c>
      <c r="H403" s="17"/>
    </row>
    <row r="404">
      <c r="B404" s="130">
        <v>46268.0</v>
      </c>
      <c r="C404" s="9">
        <v>752500.0</v>
      </c>
      <c r="D404" s="17">
        <f t="shared" si="57"/>
        <v>26337.5</v>
      </c>
      <c r="E404" s="17">
        <f t="shared" si="58"/>
        <v>726162.5</v>
      </c>
      <c r="F404" s="17"/>
      <c r="G404" s="128" t="s">
        <v>1164</v>
      </c>
      <c r="H404" s="17"/>
    </row>
    <row r="405">
      <c r="B405" s="130">
        <v>46268.0</v>
      </c>
      <c r="C405" s="9">
        <v>1236000.0</v>
      </c>
      <c r="D405" s="17">
        <f t="shared" si="57"/>
        <v>43260</v>
      </c>
      <c r="E405" s="17">
        <f t="shared" si="58"/>
        <v>1192740</v>
      </c>
      <c r="F405" s="17"/>
      <c r="G405" s="128" t="s">
        <v>1164</v>
      </c>
      <c r="H405" s="17"/>
    </row>
    <row r="406">
      <c r="A406" s="44" t="s">
        <v>1188</v>
      </c>
      <c r="B406" s="186">
        <v>46238.0</v>
      </c>
      <c r="C406" s="187"/>
      <c r="D406" s="187"/>
      <c r="E406" s="190">
        <v>2000000.0</v>
      </c>
      <c r="F406" s="196">
        <v>2931.25</v>
      </c>
      <c r="G406" s="192" t="s">
        <v>1164</v>
      </c>
      <c r="H406" s="133">
        <f>SUM(E402:E406)/F406</f>
        <v>1545.000426</v>
      </c>
    </row>
    <row r="407">
      <c r="B407" s="130">
        <v>46265.0</v>
      </c>
      <c r="C407" s="9">
        <v>1710300.0</v>
      </c>
      <c r="D407" s="17">
        <f t="shared" ref="D407:D427" si="59">C407*3.5%</f>
        <v>59860.5</v>
      </c>
      <c r="E407" s="17">
        <f t="shared" ref="E407:E427" si="60">C407-D407</f>
        <v>1650439.5</v>
      </c>
      <c r="F407" s="17"/>
      <c r="G407" s="128" t="s">
        <v>1164</v>
      </c>
      <c r="H407" s="17"/>
    </row>
    <row r="408">
      <c r="B408" s="130">
        <v>46269.0</v>
      </c>
      <c r="C408" s="9">
        <v>385000.0</v>
      </c>
      <c r="D408" s="17">
        <f t="shared" si="59"/>
        <v>13475</v>
      </c>
      <c r="E408" s="17">
        <f t="shared" si="60"/>
        <v>371525</v>
      </c>
      <c r="F408" s="17"/>
      <c r="G408" s="128" t="s">
        <v>1164</v>
      </c>
      <c r="H408" s="17"/>
    </row>
    <row r="409">
      <c r="B409" s="130">
        <v>46270.0</v>
      </c>
      <c r="C409" s="9">
        <v>154000.0</v>
      </c>
      <c r="D409" s="17">
        <f t="shared" si="59"/>
        <v>5390</v>
      </c>
      <c r="E409" s="17">
        <f t="shared" si="60"/>
        <v>148610</v>
      </c>
      <c r="F409" s="17"/>
      <c r="G409" s="128" t="s">
        <v>1164</v>
      </c>
      <c r="H409" s="17"/>
    </row>
    <row r="410">
      <c r="B410" s="130">
        <v>46274.0</v>
      </c>
      <c r="C410" s="9">
        <v>252100.0</v>
      </c>
      <c r="D410" s="17">
        <f t="shared" si="59"/>
        <v>8823.5</v>
      </c>
      <c r="E410" s="17">
        <f t="shared" si="60"/>
        <v>243276.5</v>
      </c>
      <c r="F410" s="17"/>
      <c r="G410" s="128" t="s">
        <v>1164</v>
      </c>
      <c r="H410" s="17"/>
    </row>
    <row r="411">
      <c r="B411" s="130">
        <v>46274.0</v>
      </c>
      <c r="C411" s="9">
        <v>291500.0</v>
      </c>
      <c r="D411" s="17">
        <f t="shared" si="59"/>
        <v>10202.5</v>
      </c>
      <c r="E411" s="17">
        <f t="shared" si="60"/>
        <v>281297.5</v>
      </c>
      <c r="F411" s="17"/>
      <c r="G411" s="128" t="s">
        <v>1164</v>
      </c>
      <c r="H411" s="17"/>
    </row>
    <row r="412">
      <c r="B412" s="130">
        <v>46274.0</v>
      </c>
      <c r="C412" s="9">
        <v>1216601.76</v>
      </c>
      <c r="D412" s="17">
        <f t="shared" si="59"/>
        <v>42581.0616</v>
      </c>
      <c r="E412" s="17">
        <f t="shared" si="60"/>
        <v>1174020.698</v>
      </c>
      <c r="F412" s="17"/>
      <c r="G412" s="128" t="s">
        <v>1164</v>
      </c>
      <c r="H412" s="17"/>
    </row>
    <row r="413">
      <c r="B413" s="130">
        <v>46275.0</v>
      </c>
      <c r="C413" s="9">
        <v>400400.0</v>
      </c>
      <c r="D413" s="17">
        <f t="shared" si="59"/>
        <v>14014</v>
      </c>
      <c r="E413" s="17">
        <f t="shared" si="60"/>
        <v>386386</v>
      </c>
      <c r="F413" s="17"/>
      <c r="G413" s="128" t="s">
        <v>1164</v>
      </c>
      <c r="H413" s="17"/>
    </row>
    <row r="414">
      <c r="B414" s="130">
        <v>46276.0</v>
      </c>
      <c r="C414" s="9">
        <v>418500.0</v>
      </c>
      <c r="D414" s="17">
        <f t="shared" si="59"/>
        <v>14647.5</v>
      </c>
      <c r="E414" s="17">
        <f t="shared" si="60"/>
        <v>403852.5</v>
      </c>
      <c r="F414" s="17"/>
      <c r="G414" s="128" t="s">
        <v>1164</v>
      </c>
      <c r="H414" s="17"/>
    </row>
    <row r="415">
      <c r="B415" s="130">
        <v>46277.0</v>
      </c>
      <c r="C415" s="9">
        <v>900000.0</v>
      </c>
      <c r="D415" s="17">
        <f t="shared" si="59"/>
        <v>31500</v>
      </c>
      <c r="E415" s="17">
        <f t="shared" si="60"/>
        <v>868500</v>
      </c>
      <c r="F415" s="17"/>
      <c r="G415" s="128" t="s">
        <v>1164</v>
      </c>
      <c r="H415" s="17"/>
    </row>
    <row r="416">
      <c r="B416" s="130">
        <v>46277.0</v>
      </c>
      <c r="C416" s="9">
        <v>315800.0</v>
      </c>
      <c r="D416" s="17">
        <f t="shared" si="59"/>
        <v>11053</v>
      </c>
      <c r="E416" s="17">
        <f t="shared" si="60"/>
        <v>304747</v>
      </c>
      <c r="F416" s="17"/>
      <c r="G416" s="128" t="s">
        <v>1164</v>
      </c>
      <c r="H416" s="17"/>
    </row>
    <row r="417">
      <c r="B417" s="130">
        <v>46277.0</v>
      </c>
      <c r="C417" s="9">
        <v>1000000.0</v>
      </c>
      <c r="D417" s="17">
        <f t="shared" si="59"/>
        <v>35000</v>
      </c>
      <c r="E417" s="17">
        <f t="shared" si="60"/>
        <v>965000</v>
      </c>
      <c r="F417" s="196">
        <v>4357.47</v>
      </c>
      <c r="G417" s="192" t="s">
        <v>1164</v>
      </c>
      <c r="H417" s="133">
        <f>SUM(E407:E417)/F417</f>
        <v>1560.000344</v>
      </c>
    </row>
    <row r="418">
      <c r="B418" s="130">
        <v>46279.0</v>
      </c>
      <c r="C418" s="9">
        <v>55000.0</v>
      </c>
      <c r="D418" s="17">
        <f t="shared" si="59"/>
        <v>1925</v>
      </c>
      <c r="E418" s="17">
        <f t="shared" si="60"/>
        <v>53075</v>
      </c>
      <c r="F418" s="17"/>
      <c r="G418" s="128" t="s">
        <v>1164</v>
      </c>
      <c r="H418" s="17"/>
    </row>
    <row r="419">
      <c r="B419" s="130">
        <v>46279.0</v>
      </c>
      <c r="C419" s="9">
        <v>622000.0</v>
      </c>
      <c r="D419" s="17">
        <f t="shared" si="59"/>
        <v>21770</v>
      </c>
      <c r="E419" s="17">
        <f t="shared" si="60"/>
        <v>600230</v>
      </c>
      <c r="F419" s="17"/>
      <c r="G419" s="128" t="s">
        <v>1164</v>
      </c>
      <c r="H419" s="17"/>
    </row>
    <row r="420">
      <c r="B420" s="130">
        <v>46282.0</v>
      </c>
      <c r="C420" s="9">
        <v>385000.0</v>
      </c>
      <c r="D420" s="17">
        <f t="shared" si="59"/>
        <v>13475</v>
      </c>
      <c r="E420" s="17">
        <f t="shared" si="60"/>
        <v>371525</v>
      </c>
      <c r="F420" s="17"/>
      <c r="G420" s="128" t="s">
        <v>1164</v>
      </c>
      <c r="H420" s="17"/>
    </row>
    <row r="421">
      <c r="B421" s="130">
        <v>46282.0</v>
      </c>
      <c r="C421" s="9">
        <v>483000.0</v>
      </c>
      <c r="D421" s="17">
        <f t="shared" si="59"/>
        <v>16905</v>
      </c>
      <c r="E421" s="17">
        <f t="shared" si="60"/>
        <v>466095</v>
      </c>
      <c r="F421" s="17"/>
      <c r="G421" s="128" t="s">
        <v>1164</v>
      </c>
      <c r="H421" s="17"/>
    </row>
    <row r="422">
      <c r="B422" s="130">
        <v>46282.0</v>
      </c>
      <c r="C422" s="9">
        <v>268000.0</v>
      </c>
      <c r="D422" s="17">
        <f t="shared" si="59"/>
        <v>9380</v>
      </c>
      <c r="E422" s="17">
        <f t="shared" si="60"/>
        <v>258620</v>
      </c>
      <c r="F422" s="17"/>
      <c r="G422" s="128" t="s">
        <v>1164</v>
      </c>
      <c r="H422" s="17"/>
    </row>
    <row r="423">
      <c r="B423" s="130">
        <v>46283.0</v>
      </c>
      <c r="C423" s="9">
        <v>614460.0</v>
      </c>
      <c r="D423" s="17">
        <f t="shared" si="59"/>
        <v>21506.1</v>
      </c>
      <c r="E423" s="17">
        <f t="shared" si="60"/>
        <v>592953.9</v>
      </c>
      <c r="F423" s="17"/>
      <c r="G423" s="128" t="s">
        <v>1164</v>
      </c>
      <c r="H423" s="17"/>
    </row>
    <row r="424">
      <c r="B424" s="130">
        <v>46283.0</v>
      </c>
      <c r="C424" s="9">
        <v>1748400.0</v>
      </c>
      <c r="D424" s="17">
        <f t="shared" si="59"/>
        <v>61194</v>
      </c>
      <c r="E424" s="17">
        <f t="shared" si="60"/>
        <v>1687206</v>
      </c>
      <c r="F424" s="17"/>
      <c r="G424" s="128" t="s">
        <v>1164</v>
      </c>
      <c r="H424" s="17"/>
    </row>
    <row r="425">
      <c r="B425" s="130">
        <v>46284.0</v>
      </c>
      <c r="C425" s="9">
        <v>77000.0</v>
      </c>
      <c r="D425" s="17">
        <f t="shared" si="59"/>
        <v>2695</v>
      </c>
      <c r="E425" s="17">
        <f t="shared" si="60"/>
        <v>74305</v>
      </c>
      <c r="F425" s="196">
        <v>2622.37</v>
      </c>
      <c r="G425" s="192" t="s">
        <v>1164</v>
      </c>
      <c r="H425" s="133">
        <f>SUM(E418:E425)/F425</f>
        <v>1565.000324</v>
      </c>
    </row>
    <row r="426">
      <c r="B426" s="130">
        <v>46287.0</v>
      </c>
      <c r="C426" s="9">
        <v>621139.25</v>
      </c>
      <c r="D426" s="17">
        <f t="shared" si="59"/>
        <v>21739.87375</v>
      </c>
      <c r="E426" s="17">
        <f t="shared" si="60"/>
        <v>599399.3763</v>
      </c>
      <c r="F426" s="17"/>
      <c r="G426" s="128" t="s">
        <v>1164</v>
      </c>
      <c r="H426" s="17"/>
    </row>
    <row r="427">
      <c r="B427" s="130">
        <v>46288.0</v>
      </c>
      <c r="C427" s="9">
        <v>1250000.0</v>
      </c>
      <c r="D427" s="17">
        <f t="shared" si="59"/>
        <v>43750</v>
      </c>
      <c r="E427" s="17">
        <f t="shared" si="60"/>
        <v>1206250</v>
      </c>
      <c r="F427" s="196">
        <v>1153.77</v>
      </c>
      <c r="G427" s="192" t="s">
        <v>1164</v>
      </c>
      <c r="H427" s="133">
        <f>SUM(E426:E427)/F427</f>
        <v>1564.999416</v>
      </c>
    </row>
    <row r="428">
      <c r="A428" s="19" t="s">
        <v>1400</v>
      </c>
      <c r="B428" s="132">
        <v>46283.0</v>
      </c>
      <c r="C428" s="125"/>
      <c r="D428" s="61"/>
      <c r="E428" s="61"/>
      <c r="F428" s="125">
        <v>-6640.56</v>
      </c>
      <c r="G428" s="134" t="s">
        <v>1164</v>
      </c>
      <c r="H428" s="17"/>
    </row>
    <row r="429">
      <c r="B429" s="130">
        <v>46289.0</v>
      </c>
      <c r="C429" s="9">
        <v>613080.0</v>
      </c>
      <c r="D429" s="17">
        <f t="shared" ref="D429:D434" si="61">C429*3.5%</f>
        <v>21457.8</v>
      </c>
      <c r="E429" s="17">
        <f t="shared" ref="E429:E434" si="62">C429-D429</f>
        <v>591622.2</v>
      </c>
      <c r="F429" s="17"/>
      <c r="G429" s="152"/>
      <c r="H429" s="17"/>
    </row>
    <row r="430">
      <c r="B430" s="59"/>
      <c r="C430" s="17"/>
      <c r="D430" s="17">
        <f t="shared" si="61"/>
        <v>0</v>
      </c>
      <c r="E430" s="17">
        <f t="shared" si="62"/>
        <v>0</v>
      </c>
      <c r="F430" s="17"/>
      <c r="G430" s="152"/>
      <c r="H430" s="17"/>
    </row>
    <row r="431">
      <c r="B431" s="59"/>
      <c r="C431" s="17"/>
      <c r="D431" s="17">
        <f t="shared" si="61"/>
        <v>0</v>
      </c>
      <c r="E431" s="17">
        <f t="shared" si="62"/>
        <v>0</v>
      </c>
      <c r="F431" s="17"/>
      <c r="G431" s="152"/>
      <c r="H431" s="17"/>
    </row>
    <row r="432">
      <c r="B432" s="59"/>
      <c r="C432" s="17"/>
      <c r="D432" s="17">
        <f t="shared" si="61"/>
        <v>0</v>
      </c>
      <c r="E432" s="17">
        <f t="shared" si="62"/>
        <v>0</v>
      </c>
      <c r="F432" s="17"/>
      <c r="G432" s="152"/>
      <c r="H432" s="17"/>
    </row>
    <row r="433">
      <c r="B433" s="59"/>
      <c r="C433" s="17"/>
      <c r="D433" s="17">
        <f t="shared" si="61"/>
        <v>0</v>
      </c>
      <c r="E433" s="17">
        <f t="shared" si="62"/>
        <v>0</v>
      </c>
      <c r="F433" s="17"/>
      <c r="G433" s="152"/>
      <c r="H433" s="17"/>
    </row>
    <row r="434">
      <c r="B434" s="59"/>
      <c r="C434" s="17"/>
      <c r="D434" s="17">
        <f t="shared" si="61"/>
        <v>0</v>
      </c>
      <c r="E434" s="17">
        <f t="shared" si="62"/>
        <v>0</v>
      </c>
      <c r="F434" s="17"/>
      <c r="G434" s="152"/>
      <c r="H434" s="17"/>
    </row>
    <row r="435">
      <c r="B435" s="59"/>
      <c r="C435" s="17"/>
      <c r="D435" s="17"/>
      <c r="E435" s="17"/>
      <c r="F435" s="17"/>
      <c r="G435" s="152"/>
      <c r="H435" s="17"/>
    </row>
    <row r="436">
      <c r="B436" s="59"/>
      <c r="C436" s="17"/>
      <c r="D436" s="17"/>
      <c r="E436" s="17"/>
      <c r="F436" s="17"/>
      <c r="G436" s="152"/>
      <c r="H436" s="17"/>
    </row>
    <row r="437">
      <c r="B437" s="59"/>
      <c r="C437" s="17"/>
      <c r="D437" s="17"/>
      <c r="E437" s="17"/>
      <c r="F437" s="17"/>
      <c r="G437" s="152"/>
      <c r="H437" s="17"/>
    </row>
    <row r="438">
      <c r="B438" s="59"/>
      <c r="C438" s="17"/>
      <c r="D438" s="17"/>
      <c r="E438" s="17"/>
      <c r="F438" s="17"/>
      <c r="G438" s="152"/>
      <c r="H438" s="17"/>
    </row>
    <row r="439">
      <c r="B439" s="59"/>
      <c r="C439" s="17"/>
      <c r="D439" s="17"/>
      <c r="E439" s="17"/>
      <c r="F439" s="17"/>
      <c r="G439" s="152"/>
      <c r="H439" s="17"/>
    </row>
    <row r="440">
      <c r="B440" s="59"/>
      <c r="C440" s="17"/>
      <c r="D440" s="17"/>
      <c r="E440" s="17"/>
      <c r="F440" s="17"/>
      <c r="G440" s="152"/>
      <c r="H440" s="17"/>
    </row>
    <row r="441">
      <c r="B441" s="59"/>
      <c r="C441" s="17"/>
      <c r="D441" s="17"/>
      <c r="E441" s="17"/>
      <c r="F441" s="17"/>
      <c r="G441" s="152"/>
      <c r="H441" s="17"/>
    </row>
    <row r="442">
      <c r="B442" s="59"/>
      <c r="C442" s="17"/>
      <c r="D442" s="17"/>
      <c r="E442" s="17"/>
      <c r="F442" s="17"/>
      <c r="G442" s="152"/>
      <c r="H442" s="17"/>
    </row>
    <row r="443">
      <c r="B443" s="59"/>
      <c r="C443" s="17"/>
      <c r="D443" s="17"/>
      <c r="E443" s="17"/>
      <c r="F443" s="17"/>
      <c r="G443" s="152"/>
      <c r="H443" s="17"/>
    </row>
    <row r="444">
      <c r="B444" s="59"/>
      <c r="C444" s="17"/>
      <c r="D444" s="17"/>
      <c r="E444" s="17"/>
      <c r="F444" s="17"/>
      <c r="G444" s="152"/>
      <c r="H444" s="17"/>
    </row>
    <row r="445">
      <c r="B445" s="59"/>
      <c r="C445" s="17"/>
      <c r="D445" s="17"/>
      <c r="E445" s="17"/>
      <c r="F445" s="17"/>
      <c r="G445" s="152"/>
      <c r="H445" s="17"/>
    </row>
    <row r="446">
      <c r="B446" s="59"/>
      <c r="C446" s="17"/>
      <c r="D446" s="17"/>
      <c r="E446" s="17"/>
      <c r="F446" s="17"/>
      <c r="G446" s="152"/>
      <c r="H446" s="17"/>
    </row>
    <row r="447">
      <c r="B447" s="59"/>
      <c r="C447" s="17"/>
      <c r="D447" s="17"/>
      <c r="E447" s="17"/>
      <c r="F447" s="17"/>
      <c r="G447" s="152"/>
      <c r="H447" s="17"/>
    </row>
    <row r="448">
      <c r="B448" s="59"/>
      <c r="C448" s="17"/>
      <c r="D448" s="17"/>
      <c r="E448" s="17"/>
      <c r="F448" s="17"/>
      <c r="G448" s="152"/>
      <c r="H448" s="17"/>
    </row>
    <row r="449">
      <c r="B449" s="59"/>
      <c r="C449" s="17"/>
      <c r="D449" s="17"/>
      <c r="E449" s="17"/>
      <c r="F449" s="17"/>
      <c r="G449" s="152"/>
      <c r="H449" s="17"/>
    </row>
    <row r="450">
      <c r="B450" s="59"/>
      <c r="C450" s="17"/>
      <c r="D450" s="17"/>
      <c r="E450" s="17"/>
      <c r="F450" s="17"/>
      <c r="G450" s="152"/>
      <c r="H450" s="17"/>
    </row>
    <row r="451">
      <c r="B451" s="59"/>
      <c r="C451" s="17"/>
      <c r="D451" s="17"/>
      <c r="E451" s="17"/>
      <c r="F451" s="17"/>
      <c r="G451" s="152"/>
      <c r="H451" s="17"/>
    </row>
    <row r="452">
      <c r="B452" s="59"/>
      <c r="C452" s="17"/>
      <c r="D452" s="17"/>
      <c r="E452" s="17"/>
      <c r="F452" s="17"/>
      <c r="G452" s="152"/>
      <c r="H452" s="17"/>
    </row>
    <row r="453">
      <c r="B453" s="59"/>
      <c r="C453" s="17"/>
      <c r="D453" s="17"/>
      <c r="E453" s="17"/>
      <c r="F453" s="17"/>
      <c r="G453" s="152"/>
      <c r="H453" s="17"/>
    </row>
    <row r="454">
      <c r="B454" s="59"/>
      <c r="C454" s="17"/>
      <c r="D454" s="17"/>
      <c r="E454" s="17"/>
      <c r="F454" s="17"/>
      <c r="G454" s="152"/>
      <c r="H454" s="17"/>
    </row>
    <row r="455">
      <c r="B455" s="59"/>
      <c r="C455" s="17"/>
      <c r="D455" s="17"/>
      <c r="E455" s="17"/>
      <c r="F455" s="17"/>
      <c r="G455" s="152"/>
      <c r="H455" s="17"/>
    </row>
    <row r="456">
      <c r="B456" s="59"/>
      <c r="C456" s="17"/>
      <c r="D456" s="17"/>
      <c r="E456" s="17"/>
      <c r="F456" s="17"/>
      <c r="G456" s="152"/>
      <c r="H456" s="17"/>
    </row>
    <row r="457">
      <c r="B457" s="59"/>
      <c r="C457" s="17"/>
      <c r="D457" s="17"/>
      <c r="E457" s="17"/>
      <c r="F457" s="17"/>
      <c r="G457" s="152"/>
      <c r="H457" s="17"/>
    </row>
    <row r="458">
      <c r="B458" s="59"/>
      <c r="C458" s="17"/>
      <c r="D458" s="17"/>
      <c r="E458" s="17"/>
      <c r="F458" s="17"/>
      <c r="G458" s="152"/>
      <c r="H458" s="17"/>
    </row>
    <row r="459">
      <c r="B459" s="59"/>
      <c r="C459" s="17"/>
      <c r="D459" s="17"/>
      <c r="E459" s="17"/>
      <c r="F459" s="17"/>
      <c r="G459" s="152"/>
      <c r="H459" s="17"/>
    </row>
    <row r="460">
      <c r="B460" s="59"/>
      <c r="C460" s="17"/>
      <c r="D460" s="17"/>
      <c r="E460" s="17"/>
      <c r="F460" s="17"/>
      <c r="G460" s="152"/>
      <c r="H460" s="17"/>
    </row>
    <row r="461">
      <c r="B461" s="59"/>
      <c r="C461" s="17"/>
      <c r="D461" s="17"/>
      <c r="E461" s="17"/>
      <c r="F461" s="17"/>
      <c r="G461" s="152"/>
      <c r="H461" s="17"/>
    </row>
    <row r="462">
      <c r="B462" s="59"/>
      <c r="C462" s="17"/>
      <c r="D462" s="17"/>
      <c r="E462" s="17"/>
      <c r="F462" s="17"/>
      <c r="G462" s="152"/>
      <c r="H462" s="17"/>
    </row>
    <row r="463">
      <c r="B463" s="59"/>
      <c r="C463" s="17"/>
      <c r="D463" s="17"/>
      <c r="E463" s="17"/>
      <c r="F463" s="17"/>
      <c r="G463" s="152"/>
      <c r="H463" s="17"/>
    </row>
    <row r="464">
      <c r="B464" s="59"/>
      <c r="C464" s="17"/>
      <c r="D464" s="17"/>
      <c r="E464" s="17"/>
      <c r="F464" s="17"/>
      <c r="G464" s="152"/>
      <c r="H464" s="17"/>
    </row>
    <row r="465">
      <c r="B465" s="59"/>
      <c r="C465" s="17"/>
      <c r="D465" s="17"/>
      <c r="E465" s="17"/>
      <c r="F465" s="17"/>
      <c r="G465" s="152"/>
      <c r="H465" s="17"/>
    </row>
    <row r="466">
      <c r="B466" s="59"/>
      <c r="C466" s="17"/>
      <c r="D466" s="17"/>
      <c r="E466" s="17"/>
      <c r="F466" s="17"/>
      <c r="G466" s="152"/>
      <c r="H466" s="17"/>
    </row>
    <row r="467">
      <c r="B467" s="59"/>
      <c r="C467" s="17"/>
      <c r="D467" s="17"/>
      <c r="E467" s="17"/>
      <c r="F467" s="17"/>
      <c r="G467" s="152"/>
      <c r="H467" s="17"/>
    </row>
    <row r="468">
      <c r="B468" s="59"/>
      <c r="C468" s="17"/>
      <c r="D468" s="17"/>
      <c r="E468" s="17"/>
      <c r="F468" s="17"/>
      <c r="G468" s="152"/>
      <c r="H468" s="17"/>
    </row>
    <row r="469">
      <c r="B469" s="59"/>
      <c r="C469" s="17"/>
      <c r="D469" s="17"/>
      <c r="E469" s="17"/>
      <c r="F469" s="17"/>
      <c r="G469" s="152"/>
      <c r="H469" s="17"/>
    </row>
    <row r="470">
      <c r="B470" s="59"/>
      <c r="C470" s="17"/>
      <c r="D470" s="17"/>
      <c r="E470" s="17"/>
      <c r="F470" s="17"/>
      <c r="G470" s="152"/>
      <c r="H470" s="17"/>
    </row>
    <row r="471">
      <c r="B471" s="59"/>
      <c r="C471" s="17"/>
      <c r="D471" s="17"/>
      <c r="E471" s="17"/>
      <c r="F471" s="17"/>
      <c r="G471" s="152"/>
      <c r="H471" s="17"/>
    </row>
    <row r="472">
      <c r="B472" s="59"/>
      <c r="C472" s="17"/>
      <c r="D472" s="17"/>
      <c r="E472" s="17"/>
      <c r="F472" s="17"/>
      <c r="G472" s="152"/>
      <c r="H472" s="17"/>
    </row>
    <row r="473">
      <c r="B473" s="59"/>
      <c r="C473" s="17"/>
      <c r="D473" s="17"/>
      <c r="E473" s="17"/>
      <c r="F473" s="17"/>
      <c r="G473" s="152"/>
      <c r="H473" s="17"/>
    </row>
    <row r="474">
      <c r="B474" s="59"/>
      <c r="C474" s="17"/>
      <c r="D474" s="17"/>
      <c r="E474" s="17"/>
      <c r="F474" s="17"/>
      <c r="G474" s="152"/>
      <c r="H474" s="17"/>
    </row>
    <row r="475">
      <c r="B475" s="59"/>
      <c r="C475" s="17"/>
      <c r="D475" s="17"/>
      <c r="E475" s="17"/>
      <c r="F475" s="17"/>
      <c r="G475" s="152"/>
      <c r="H475" s="17"/>
    </row>
    <row r="476">
      <c r="B476" s="59"/>
      <c r="C476" s="17"/>
      <c r="D476" s="17"/>
      <c r="E476" s="17"/>
      <c r="F476" s="17"/>
      <c r="G476" s="152"/>
      <c r="H476" s="17"/>
    </row>
    <row r="477">
      <c r="B477" s="59"/>
      <c r="C477" s="17"/>
      <c r="D477" s="17"/>
      <c r="E477" s="17"/>
      <c r="F477" s="17"/>
      <c r="G477" s="152"/>
      <c r="H477" s="17"/>
    </row>
    <row r="478">
      <c r="B478" s="59"/>
      <c r="C478" s="17"/>
      <c r="D478" s="17"/>
      <c r="E478" s="17"/>
      <c r="F478" s="17"/>
      <c r="G478" s="152"/>
      <c r="H478" s="17"/>
    </row>
    <row r="479">
      <c r="B479" s="59"/>
      <c r="C479" s="17"/>
      <c r="D479" s="17"/>
      <c r="E479" s="17"/>
      <c r="F479" s="17"/>
      <c r="G479" s="152"/>
      <c r="H479" s="17"/>
    </row>
    <row r="480">
      <c r="B480" s="59"/>
      <c r="C480" s="17"/>
      <c r="D480" s="17"/>
      <c r="E480" s="17"/>
      <c r="F480" s="17"/>
      <c r="G480" s="152"/>
      <c r="H480" s="17"/>
    </row>
    <row r="481">
      <c r="B481" s="59"/>
      <c r="C481" s="17"/>
      <c r="D481" s="17"/>
      <c r="E481" s="17"/>
      <c r="F481" s="17"/>
      <c r="G481" s="152"/>
      <c r="H481" s="17"/>
    </row>
    <row r="482">
      <c r="B482" s="59"/>
      <c r="C482" s="17"/>
      <c r="D482" s="17"/>
      <c r="E482" s="17"/>
      <c r="F482" s="17"/>
      <c r="G482" s="152"/>
      <c r="H482" s="17"/>
    </row>
    <row r="483">
      <c r="B483" s="59"/>
      <c r="C483" s="17"/>
      <c r="D483" s="17"/>
      <c r="E483" s="17"/>
      <c r="F483" s="17"/>
      <c r="G483" s="152"/>
      <c r="H483" s="17"/>
    </row>
    <row r="484">
      <c r="B484" s="59"/>
      <c r="C484" s="17"/>
      <c r="D484" s="17"/>
      <c r="E484" s="17"/>
      <c r="F484" s="17"/>
      <c r="G484" s="152"/>
      <c r="H484" s="17"/>
    </row>
    <row r="485">
      <c r="B485" s="59"/>
      <c r="C485" s="17"/>
      <c r="D485" s="17"/>
      <c r="E485" s="17"/>
      <c r="F485" s="17"/>
      <c r="G485" s="152"/>
      <c r="H485" s="17"/>
    </row>
    <row r="486">
      <c r="B486" s="59"/>
      <c r="C486" s="17"/>
      <c r="D486" s="17"/>
      <c r="E486" s="17"/>
      <c r="F486" s="17"/>
      <c r="G486" s="152"/>
      <c r="H486" s="17"/>
    </row>
    <row r="487">
      <c r="B487" s="59"/>
      <c r="C487" s="17"/>
      <c r="D487" s="17"/>
      <c r="E487" s="17"/>
      <c r="F487" s="17"/>
      <c r="G487" s="152"/>
      <c r="H487" s="17"/>
    </row>
    <row r="488">
      <c r="B488" s="59"/>
      <c r="C488" s="17"/>
      <c r="D488" s="17"/>
      <c r="E488" s="17"/>
      <c r="F488" s="17"/>
      <c r="G488" s="152"/>
      <c r="H488" s="17"/>
    </row>
    <row r="489">
      <c r="B489" s="59"/>
      <c r="C489" s="17"/>
      <c r="D489" s="17"/>
      <c r="E489" s="17"/>
      <c r="F489" s="17"/>
      <c r="G489" s="152"/>
      <c r="H489" s="17"/>
    </row>
    <row r="490">
      <c r="B490" s="59"/>
      <c r="C490" s="17"/>
      <c r="D490" s="17"/>
      <c r="E490" s="17"/>
      <c r="F490" s="17"/>
      <c r="G490" s="152"/>
      <c r="H490" s="17"/>
    </row>
    <row r="491">
      <c r="B491" s="59"/>
      <c r="C491" s="17"/>
      <c r="D491" s="17"/>
      <c r="E491" s="17"/>
      <c r="F491" s="17"/>
      <c r="G491" s="152"/>
      <c r="H491" s="17"/>
    </row>
    <row r="492">
      <c r="B492" s="59"/>
      <c r="C492" s="17"/>
      <c r="D492" s="17"/>
      <c r="E492" s="17"/>
      <c r="F492" s="17"/>
      <c r="G492" s="152"/>
      <c r="H492" s="17"/>
    </row>
    <row r="493">
      <c r="B493" s="59"/>
      <c r="C493" s="17"/>
      <c r="D493" s="17"/>
      <c r="E493" s="17"/>
      <c r="F493" s="17"/>
      <c r="G493" s="152"/>
      <c r="H493" s="17"/>
    </row>
    <row r="494">
      <c r="B494" s="59"/>
      <c r="C494" s="17"/>
      <c r="D494" s="17"/>
      <c r="E494" s="17"/>
      <c r="F494" s="17"/>
      <c r="G494" s="152"/>
      <c r="H494" s="17"/>
    </row>
    <row r="495">
      <c r="B495" s="59"/>
      <c r="C495" s="17"/>
      <c r="D495" s="17"/>
      <c r="E495" s="17"/>
      <c r="F495" s="17"/>
      <c r="G495" s="152"/>
      <c r="H495" s="17"/>
    </row>
    <row r="496">
      <c r="B496" s="59"/>
      <c r="C496" s="17"/>
      <c r="D496" s="17"/>
      <c r="E496" s="17"/>
      <c r="F496" s="17"/>
      <c r="G496" s="152"/>
      <c r="H496" s="17"/>
    </row>
    <row r="497">
      <c r="B497" s="59"/>
      <c r="C497" s="17"/>
      <c r="D497" s="17"/>
      <c r="E497" s="17"/>
      <c r="F497" s="17"/>
      <c r="G497" s="152"/>
      <c r="H497" s="17"/>
    </row>
    <row r="498">
      <c r="B498" s="59"/>
      <c r="C498" s="17"/>
      <c r="D498" s="17"/>
      <c r="E498" s="17"/>
      <c r="F498" s="17"/>
      <c r="G498" s="152"/>
      <c r="H498" s="17"/>
    </row>
    <row r="499">
      <c r="B499" s="59"/>
      <c r="C499" s="17"/>
      <c r="D499" s="17"/>
      <c r="E499" s="17"/>
      <c r="F499" s="17"/>
      <c r="G499" s="152"/>
      <c r="H499" s="17"/>
    </row>
    <row r="500">
      <c r="B500" s="59"/>
      <c r="C500" s="17"/>
      <c r="D500" s="17"/>
      <c r="E500" s="17"/>
      <c r="F500" s="17"/>
      <c r="G500" s="152"/>
      <c r="H500" s="17"/>
    </row>
    <row r="501">
      <c r="B501" s="59"/>
      <c r="C501" s="17"/>
      <c r="D501" s="17"/>
      <c r="E501" s="17"/>
      <c r="F501" s="17"/>
      <c r="G501" s="152"/>
      <c r="H501" s="17"/>
    </row>
    <row r="502">
      <c r="B502" s="59"/>
      <c r="C502" s="17"/>
      <c r="D502" s="17"/>
      <c r="E502" s="17"/>
      <c r="F502" s="17"/>
      <c r="G502" s="152"/>
      <c r="H502" s="17"/>
    </row>
    <row r="503">
      <c r="B503" s="59"/>
      <c r="C503" s="17"/>
      <c r="D503" s="17"/>
      <c r="E503" s="17"/>
      <c r="F503" s="17"/>
      <c r="G503" s="152"/>
      <c r="H503" s="17"/>
    </row>
    <row r="504">
      <c r="B504" s="59"/>
      <c r="C504" s="17"/>
      <c r="D504" s="17"/>
      <c r="E504" s="17"/>
      <c r="F504" s="17"/>
      <c r="G504" s="152"/>
      <c r="H504" s="17"/>
    </row>
    <row r="505">
      <c r="B505" s="59"/>
      <c r="C505" s="17"/>
      <c r="D505" s="17"/>
      <c r="E505" s="17"/>
      <c r="F505" s="17"/>
      <c r="G505" s="152"/>
      <c r="H505" s="17"/>
    </row>
    <row r="506">
      <c r="B506" s="59"/>
      <c r="C506" s="17"/>
      <c r="D506" s="17"/>
      <c r="E506" s="17"/>
      <c r="F506" s="17"/>
      <c r="G506" s="152"/>
      <c r="H506" s="17"/>
    </row>
    <row r="507">
      <c r="B507" s="59"/>
      <c r="C507" s="17"/>
      <c r="D507" s="17"/>
      <c r="E507" s="17"/>
      <c r="F507" s="17"/>
      <c r="G507" s="152"/>
      <c r="H507" s="17"/>
    </row>
    <row r="508">
      <c r="B508" s="59"/>
      <c r="C508" s="17"/>
      <c r="D508" s="17"/>
      <c r="E508" s="17"/>
      <c r="F508" s="17"/>
      <c r="G508" s="152"/>
      <c r="H508" s="17"/>
    </row>
    <row r="509">
      <c r="B509" s="59"/>
      <c r="C509" s="17"/>
      <c r="D509" s="17"/>
      <c r="E509" s="17"/>
      <c r="F509" s="17"/>
      <c r="G509" s="152"/>
      <c r="H509" s="17"/>
    </row>
    <row r="510">
      <c r="B510" s="59"/>
      <c r="C510" s="17"/>
      <c r="D510" s="17"/>
      <c r="E510" s="17"/>
      <c r="F510" s="17"/>
      <c r="G510" s="152"/>
      <c r="H510" s="17"/>
    </row>
    <row r="511">
      <c r="B511" s="59"/>
      <c r="C511" s="17"/>
      <c r="D511" s="17"/>
      <c r="E511" s="17"/>
      <c r="F511" s="17"/>
      <c r="G511" s="152"/>
      <c r="H511" s="17"/>
    </row>
    <row r="512">
      <c r="B512" s="59"/>
      <c r="C512" s="17"/>
      <c r="D512" s="17"/>
      <c r="E512" s="17"/>
      <c r="F512" s="17"/>
      <c r="G512" s="152"/>
      <c r="H512" s="17"/>
    </row>
    <row r="513">
      <c r="B513" s="59"/>
      <c r="C513" s="17"/>
      <c r="D513" s="17"/>
      <c r="E513" s="17"/>
      <c r="F513" s="17"/>
      <c r="G513" s="152"/>
      <c r="H513" s="17"/>
    </row>
    <row r="514">
      <c r="B514" s="59"/>
      <c r="C514" s="17"/>
      <c r="D514" s="17"/>
      <c r="E514" s="17"/>
      <c r="F514" s="17"/>
      <c r="G514" s="152"/>
      <c r="H514" s="17"/>
    </row>
    <row r="515">
      <c r="B515" s="59"/>
      <c r="C515" s="17"/>
      <c r="D515" s="17"/>
      <c r="E515" s="17"/>
      <c r="F515" s="17"/>
      <c r="G515" s="152"/>
      <c r="H515" s="17"/>
    </row>
    <row r="516">
      <c r="B516" s="59"/>
      <c r="C516" s="17"/>
      <c r="D516" s="17"/>
      <c r="E516" s="17"/>
      <c r="F516" s="17"/>
      <c r="G516" s="152"/>
      <c r="H516" s="17"/>
    </row>
    <row r="517">
      <c r="B517" s="59"/>
      <c r="C517" s="17"/>
      <c r="D517" s="17"/>
      <c r="E517" s="17"/>
      <c r="F517" s="17"/>
      <c r="G517" s="152"/>
      <c r="H517" s="17"/>
    </row>
    <row r="518">
      <c r="B518" s="59"/>
      <c r="C518" s="17"/>
      <c r="D518" s="17"/>
      <c r="E518" s="17"/>
      <c r="F518" s="17"/>
      <c r="G518" s="152"/>
      <c r="H518" s="17"/>
    </row>
    <row r="519">
      <c r="B519" s="59"/>
      <c r="C519" s="17"/>
      <c r="D519" s="17"/>
      <c r="E519" s="17"/>
      <c r="F519" s="17"/>
      <c r="G519" s="152"/>
      <c r="H519" s="17"/>
    </row>
    <row r="520">
      <c r="B520" s="59"/>
      <c r="C520" s="17"/>
      <c r="D520" s="17"/>
      <c r="E520" s="17"/>
      <c r="F520" s="17"/>
      <c r="G520" s="152"/>
      <c r="H520" s="17"/>
    </row>
    <row r="521">
      <c r="B521" s="59"/>
      <c r="C521" s="17"/>
      <c r="D521" s="17"/>
      <c r="E521" s="17"/>
      <c r="F521" s="17"/>
      <c r="G521" s="152"/>
      <c r="H521" s="17"/>
    </row>
    <row r="522">
      <c r="B522" s="59"/>
      <c r="C522" s="17"/>
      <c r="D522" s="17"/>
      <c r="E522" s="17"/>
      <c r="F522" s="17"/>
      <c r="G522" s="152"/>
      <c r="H522" s="17"/>
    </row>
    <row r="523">
      <c r="B523" s="59"/>
      <c r="C523" s="17"/>
      <c r="D523" s="17"/>
      <c r="E523" s="17"/>
      <c r="F523" s="17"/>
      <c r="G523" s="152"/>
      <c r="H523" s="17"/>
    </row>
    <row r="524">
      <c r="B524" s="59"/>
      <c r="C524" s="17"/>
      <c r="D524" s="17"/>
      <c r="E524" s="17"/>
      <c r="F524" s="17"/>
      <c r="G524" s="152"/>
      <c r="H524" s="17"/>
    </row>
    <row r="525">
      <c r="B525" s="59"/>
      <c r="C525" s="17"/>
      <c r="D525" s="17"/>
      <c r="E525" s="17"/>
      <c r="F525" s="17"/>
      <c r="G525" s="152"/>
      <c r="H525" s="17"/>
    </row>
    <row r="526">
      <c r="B526" s="59"/>
      <c r="C526" s="17"/>
      <c r="D526" s="17"/>
      <c r="E526" s="17"/>
      <c r="F526" s="17"/>
      <c r="G526" s="152"/>
      <c r="H526" s="17"/>
    </row>
    <row r="527">
      <c r="B527" s="59"/>
      <c r="C527" s="17"/>
      <c r="D527" s="17"/>
      <c r="E527" s="17"/>
      <c r="F527" s="17"/>
      <c r="G527" s="152"/>
      <c r="H527" s="17"/>
    </row>
    <row r="528">
      <c r="B528" s="59"/>
      <c r="C528" s="17"/>
      <c r="D528" s="17"/>
      <c r="E528" s="17"/>
      <c r="F528" s="17"/>
      <c r="G528" s="152"/>
      <c r="H528" s="17"/>
    </row>
    <row r="529">
      <c r="B529" s="59"/>
      <c r="C529" s="17"/>
      <c r="D529" s="17"/>
      <c r="E529" s="17"/>
      <c r="F529" s="17"/>
      <c r="G529" s="152"/>
      <c r="H529" s="17"/>
    </row>
    <row r="530">
      <c r="B530" s="59"/>
      <c r="C530" s="17"/>
      <c r="D530" s="17"/>
      <c r="E530" s="17"/>
      <c r="F530" s="17"/>
      <c r="G530" s="152"/>
      <c r="H530" s="17"/>
    </row>
    <row r="531">
      <c r="B531" s="59"/>
      <c r="C531" s="17"/>
      <c r="D531" s="17"/>
      <c r="E531" s="17"/>
      <c r="F531" s="17"/>
      <c r="G531" s="152"/>
      <c r="H531" s="17"/>
    </row>
    <row r="532">
      <c r="B532" s="59"/>
      <c r="C532" s="17"/>
      <c r="D532" s="17"/>
      <c r="E532" s="17"/>
      <c r="F532" s="17"/>
      <c r="G532" s="152"/>
      <c r="H532" s="17"/>
    </row>
    <row r="533">
      <c r="B533" s="59"/>
      <c r="C533" s="17"/>
      <c r="D533" s="17"/>
      <c r="E533" s="17"/>
      <c r="F533" s="17"/>
      <c r="G533" s="152"/>
      <c r="H533" s="17"/>
    </row>
    <row r="534">
      <c r="B534" s="59"/>
      <c r="C534" s="17"/>
      <c r="D534" s="17"/>
      <c r="E534" s="17"/>
      <c r="F534" s="17"/>
      <c r="G534" s="152"/>
      <c r="H534" s="17"/>
    </row>
    <row r="535">
      <c r="B535" s="59"/>
      <c r="C535" s="17"/>
      <c r="D535" s="17"/>
      <c r="E535" s="17"/>
      <c r="F535" s="17"/>
      <c r="G535" s="152"/>
      <c r="H535" s="17"/>
    </row>
    <row r="536">
      <c r="B536" s="59"/>
      <c r="C536" s="17"/>
      <c r="D536" s="17"/>
      <c r="E536" s="17"/>
      <c r="F536" s="17"/>
      <c r="G536" s="152"/>
      <c r="H536" s="17"/>
    </row>
    <row r="537">
      <c r="B537" s="59"/>
      <c r="C537" s="17"/>
      <c r="D537" s="17"/>
      <c r="E537" s="17"/>
      <c r="F537" s="17"/>
      <c r="G537" s="152"/>
      <c r="H537" s="17"/>
    </row>
    <row r="538">
      <c r="B538" s="59"/>
      <c r="C538" s="17"/>
      <c r="D538" s="17"/>
      <c r="E538" s="17"/>
      <c r="F538" s="17"/>
      <c r="G538" s="152"/>
      <c r="H538" s="17"/>
    </row>
    <row r="539">
      <c r="B539" s="59"/>
      <c r="C539" s="17"/>
      <c r="D539" s="17"/>
      <c r="E539" s="17"/>
      <c r="F539" s="17"/>
      <c r="G539" s="152"/>
      <c r="H539" s="17"/>
    </row>
    <row r="540">
      <c r="B540" s="59"/>
      <c r="C540" s="17"/>
      <c r="D540" s="17"/>
      <c r="E540" s="17"/>
      <c r="F540" s="17"/>
      <c r="G540" s="152"/>
      <c r="H540" s="17"/>
    </row>
    <row r="541">
      <c r="B541" s="59"/>
      <c r="C541" s="17"/>
      <c r="D541" s="17"/>
      <c r="E541" s="17"/>
      <c r="F541" s="17"/>
      <c r="G541" s="152"/>
      <c r="H541" s="17"/>
    </row>
    <row r="542">
      <c r="B542" s="59"/>
      <c r="C542" s="17"/>
      <c r="D542" s="17"/>
      <c r="E542" s="17"/>
      <c r="F542" s="17"/>
      <c r="G542" s="152"/>
      <c r="H542" s="17"/>
    </row>
    <row r="543">
      <c r="B543" s="59"/>
      <c r="C543" s="17"/>
      <c r="D543" s="17"/>
      <c r="E543" s="17"/>
      <c r="F543" s="17"/>
      <c r="G543" s="152"/>
      <c r="H543" s="17"/>
    </row>
    <row r="544">
      <c r="B544" s="59"/>
      <c r="C544" s="17"/>
      <c r="D544" s="17"/>
      <c r="E544" s="17"/>
      <c r="F544" s="17"/>
      <c r="G544" s="152"/>
      <c r="H544" s="17"/>
    </row>
    <row r="545">
      <c r="B545" s="59"/>
      <c r="C545" s="17"/>
      <c r="D545" s="17"/>
      <c r="E545" s="17"/>
      <c r="F545" s="17"/>
      <c r="G545" s="152"/>
      <c r="H545" s="17"/>
    </row>
    <row r="546">
      <c r="B546" s="59"/>
      <c r="C546" s="17"/>
      <c r="D546" s="17"/>
      <c r="E546" s="17"/>
      <c r="F546" s="17"/>
      <c r="G546" s="152"/>
      <c r="H546" s="17"/>
    </row>
    <row r="547">
      <c r="B547" s="59"/>
      <c r="C547" s="17"/>
      <c r="D547" s="17"/>
      <c r="E547" s="17"/>
      <c r="F547" s="17"/>
      <c r="G547" s="152"/>
      <c r="H547" s="17"/>
    </row>
    <row r="548">
      <c r="B548" s="59"/>
      <c r="C548" s="17"/>
      <c r="D548" s="17"/>
      <c r="E548" s="17"/>
      <c r="F548" s="17"/>
      <c r="G548" s="152"/>
      <c r="H548" s="17"/>
    </row>
    <row r="549">
      <c r="B549" s="59"/>
      <c r="C549" s="17"/>
      <c r="D549" s="17"/>
      <c r="E549" s="17"/>
      <c r="F549" s="17"/>
      <c r="G549" s="152"/>
      <c r="H549" s="17"/>
    </row>
    <row r="550">
      <c r="B550" s="59"/>
      <c r="C550" s="17"/>
      <c r="D550" s="17"/>
      <c r="E550" s="17"/>
      <c r="F550" s="17"/>
      <c r="G550" s="152"/>
      <c r="H550" s="17"/>
    </row>
    <row r="551">
      <c r="B551" s="59"/>
      <c r="C551" s="17"/>
      <c r="D551" s="17"/>
      <c r="E551" s="17"/>
      <c r="F551" s="17"/>
      <c r="G551" s="152"/>
      <c r="H551" s="17"/>
    </row>
    <row r="552">
      <c r="B552" s="59"/>
      <c r="C552" s="17"/>
      <c r="D552" s="17"/>
      <c r="E552" s="17"/>
      <c r="F552" s="17"/>
      <c r="G552" s="152"/>
      <c r="H552" s="17"/>
    </row>
    <row r="553">
      <c r="B553" s="59"/>
      <c r="C553" s="17"/>
      <c r="D553" s="17"/>
      <c r="E553" s="17"/>
      <c r="F553" s="17"/>
      <c r="G553" s="152"/>
      <c r="H553" s="17"/>
    </row>
    <row r="554">
      <c r="B554" s="59"/>
      <c r="C554" s="17"/>
      <c r="D554" s="17"/>
      <c r="E554" s="17"/>
      <c r="F554" s="17"/>
      <c r="G554" s="152"/>
      <c r="H554" s="17"/>
    </row>
    <row r="555">
      <c r="B555" s="59"/>
      <c r="C555" s="17"/>
      <c r="D555" s="17"/>
      <c r="E555" s="17"/>
      <c r="F555" s="17"/>
      <c r="G555" s="152"/>
      <c r="H555" s="17"/>
    </row>
    <row r="556">
      <c r="B556" s="59"/>
      <c r="C556" s="17"/>
      <c r="D556" s="17"/>
      <c r="E556" s="17"/>
      <c r="F556" s="17"/>
      <c r="G556" s="152"/>
      <c r="H556" s="17"/>
    </row>
    <row r="557">
      <c r="B557" s="59"/>
      <c r="C557" s="17"/>
      <c r="D557" s="17"/>
      <c r="E557" s="17"/>
      <c r="F557" s="17"/>
      <c r="G557" s="152"/>
      <c r="H557" s="17"/>
    </row>
    <row r="558">
      <c r="B558" s="59"/>
      <c r="C558" s="17"/>
      <c r="D558" s="17"/>
      <c r="E558" s="17"/>
      <c r="F558" s="17"/>
      <c r="G558" s="152"/>
      <c r="H558" s="17"/>
    </row>
    <row r="559">
      <c r="B559" s="59"/>
      <c r="C559" s="17"/>
      <c r="D559" s="17"/>
      <c r="E559" s="17"/>
      <c r="F559" s="17"/>
      <c r="G559" s="152"/>
      <c r="H559" s="17"/>
    </row>
    <row r="560">
      <c r="B560" s="59"/>
      <c r="C560" s="17"/>
      <c r="D560" s="17"/>
      <c r="E560" s="17"/>
      <c r="F560" s="17"/>
      <c r="G560" s="152"/>
      <c r="H560" s="17"/>
    </row>
    <row r="561">
      <c r="B561" s="59"/>
      <c r="C561" s="17"/>
      <c r="D561" s="17"/>
      <c r="E561" s="17"/>
      <c r="F561" s="17"/>
      <c r="G561" s="152"/>
      <c r="H561" s="17"/>
    </row>
    <row r="562">
      <c r="B562" s="59"/>
      <c r="C562" s="17"/>
      <c r="D562" s="17"/>
      <c r="E562" s="17"/>
      <c r="F562" s="17"/>
      <c r="G562" s="152"/>
      <c r="H562" s="17"/>
    </row>
    <row r="563">
      <c r="B563" s="59"/>
      <c r="C563" s="17"/>
      <c r="D563" s="17"/>
      <c r="E563" s="17"/>
      <c r="F563" s="17"/>
      <c r="G563" s="152"/>
      <c r="H563" s="17"/>
    </row>
    <row r="564">
      <c r="B564" s="59"/>
      <c r="C564" s="17"/>
      <c r="D564" s="17"/>
      <c r="E564" s="17"/>
      <c r="F564" s="17"/>
      <c r="G564" s="152"/>
      <c r="H564" s="17"/>
    </row>
    <row r="565">
      <c r="B565" s="59"/>
      <c r="C565" s="17"/>
      <c r="D565" s="17"/>
      <c r="E565" s="17"/>
      <c r="F565" s="17"/>
      <c r="G565" s="152"/>
      <c r="H565" s="17"/>
    </row>
    <row r="566">
      <c r="B566" s="59"/>
      <c r="C566" s="17"/>
      <c r="D566" s="17"/>
      <c r="E566" s="17"/>
      <c r="F566" s="17"/>
      <c r="G566" s="152"/>
      <c r="H566" s="17"/>
    </row>
    <row r="567">
      <c r="B567" s="59"/>
      <c r="C567" s="17"/>
      <c r="D567" s="17"/>
      <c r="E567" s="17"/>
      <c r="F567" s="17"/>
      <c r="G567" s="152"/>
      <c r="H567" s="17"/>
    </row>
    <row r="568">
      <c r="B568" s="59"/>
      <c r="C568" s="17"/>
      <c r="D568" s="17"/>
      <c r="E568" s="17"/>
      <c r="F568" s="17"/>
      <c r="G568" s="152"/>
      <c r="H568" s="17"/>
    </row>
    <row r="569">
      <c r="B569" s="59"/>
      <c r="C569" s="17"/>
      <c r="D569" s="17"/>
      <c r="E569" s="17"/>
      <c r="F569" s="17"/>
      <c r="G569" s="152"/>
      <c r="H569" s="17"/>
    </row>
    <row r="570">
      <c r="B570" s="59"/>
      <c r="C570" s="17"/>
      <c r="D570" s="17"/>
      <c r="E570" s="17"/>
      <c r="F570" s="17"/>
      <c r="G570" s="152"/>
      <c r="H570" s="17"/>
    </row>
    <row r="571">
      <c r="B571" s="59"/>
      <c r="C571" s="17"/>
      <c r="D571" s="17"/>
      <c r="E571" s="17"/>
      <c r="F571" s="17"/>
      <c r="G571" s="152"/>
      <c r="H571" s="17"/>
    </row>
    <row r="572">
      <c r="B572" s="59"/>
      <c r="C572" s="17"/>
      <c r="D572" s="17"/>
      <c r="E572" s="17"/>
      <c r="F572" s="17"/>
      <c r="G572" s="152"/>
      <c r="H572" s="17"/>
    </row>
    <row r="573">
      <c r="B573" s="59"/>
      <c r="C573" s="17"/>
      <c r="D573" s="17"/>
      <c r="E573" s="17"/>
      <c r="F573" s="17"/>
      <c r="G573" s="152"/>
      <c r="H573" s="17"/>
    </row>
    <row r="574">
      <c r="B574" s="59"/>
      <c r="C574" s="17"/>
      <c r="D574" s="17"/>
      <c r="E574" s="17"/>
      <c r="F574" s="17"/>
      <c r="G574" s="152"/>
      <c r="H574" s="17"/>
    </row>
    <row r="575">
      <c r="B575" s="59"/>
      <c r="C575" s="17"/>
      <c r="D575" s="17"/>
      <c r="E575" s="17"/>
      <c r="F575" s="17"/>
      <c r="G575" s="152"/>
      <c r="H575" s="17"/>
    </row>
    <row r="576">
      <c r="B576" s="59"/>
      <c r="C576" s="17"/>
      <c r="D576" s="17"/>
      <c r="E576" s="17"/>
      <c r="F576" s="17"/>
      <c r="G576" s="152"/>
      <c r="H576" s="17"/>
    </row>
    <row r="577">
      <c r="B577" s="59"/>
      <c r="C577" s="17"/>
      <c r="D577" s="17"/>
      <c r="E577" s="17"/>
      <c r="F577" s="17"/>
      <c r="G577" s="152"/>
      <c r="H577" s="17"/>
    </row>
    <row r="578">
      <c r="B578" s="59"/>
      <c r="C578" s="17"/>
      <c r="D578" s="17"/>
      <c r="E578" s="17"/>
      <c r="F578" s="17"/>
      <c r="G578" s="152"/>
      <c r="H578" s="17"/>
    </row>
    <row r="579">
      <c r="B579" s="59"/>
      <c r="C579" s="17"/>
      <c r="D579" s="17"/>
      <c r="E579" s="17"/>
      <c r="F579" s="17"/>
      <c r="G579" s="152"/>
      <c r="H579" s="17"/>
    </row>
    <row r="580">
      <c r="B580" s="59"/>
      <c r="C580" s="17"/>
      <c r="D580" s="17"/>
      <c r="E580" s="17"/>
      <c r="F580" s="17"/>
      <c r="G580" s="152"/>
      <c r="H580" s="17"/>
    </row>
    <row r="581">
      <c r="B581" s="59"/>
      <c r="C581" s="17"/>
      <c r="D581" s="17"/>
      <c r="E581" s="17"/>
      <c r="F581" s="17"/>
      <c r="G581" s="152"/>
      <c r="H581" s="17"/>
    </row>
    <row r="582">
      <c r="B582" s="59"/>
      <c r="C582" s="17"/>
      <c r="D582" s="17"/>
      <c r="E582" s="17"/>
      <c r="F582" s="17"/>
      <c r="G582" s="152"/>
      <c r="H582" s="17"/>
    </row>
    <row r="583">
      <c r="B583" s="59"/>
      <c r="C583" s="17"/>
      <c r="D583" s="17"/>
      <c r="E583" s="17"/>
      <c r="F583" s="17"/>
      <c r="G583" s="152"/>
      <c r="H583" s="17"/>
    </row>
    <row r="584">
      <c r="B584" s="59"/>
      <c r="C584" s="17"/>
      <c r="D584" s="17"/>
      <c r="E584" s="17"/>
      <c r="F584" s="17"/>
      <c r="G584" s="152"/>
      <c r="H584" s="17"/>
    </row>
    <row r="585">
      <c r="B585" s="59"/>
      <c r="C585" s="17"/>
      <c r="D585" s="17"/>
      <c r="E585" s="17"/>
      <c r="F585" s="17"/>
      <c r="G585" s="152"/>
      <c r="H585" s="17"/>
    </row>
    <row r="586">
      <c r="B586" s="59"/>
      <c r="C586" s="17"/>
      <c r="D586" s="17"/>
      <c r="E586" s="17"/>
      <c r="F586" s="17"/>
      <c r="G586" s="152"/>
      <c r="H586" s="17"/>
    </row>
    <row r="587">
      <c r="B587" s="59"/>
      <c r="C587" s="17"/>
      <c r="D587" s="17"/>
      <c r="E587" s="17"/>
      <c r="F587" s="17"/>
      <c r="G587" s="152"/>
      <c r="H587" s="17"/>
    </row>
    <row r="588">
      <c r="B588" s="59"/>
      <c r="C588" s="17"/>
      <c r="D588" s="17"/>
      <c r="E588" s="17"/>
      <c r="F588" s="17"/>
      <c r="G588" s="152"/>
      <c r="H588" s="17"/>
    </row>
    <row r="589">
      <c r="B589" s="59"/>
      <c r="C589" s="17"/>
      <c r="D589" s="17"/>
      <c r="E589" s="17"/>
      <c r="F589" s="17"/>
      <c r="G589" s="152"/>
      <c r="H589" s="17"/>
    </row>
    <row r="590">
      <c r="B590" s="59"/>
      <c r="C590" s="17"/>
      <c r="D590" s="17"/>
      <c r="E590" s="17"/>
      <c r="F590" s="17"/>
      <c r="G590" s="152"/>
      <c r="H590" s="17"/>
    </row>
    <row r="591">
      <c r="B591" s="59"/>
      <c r="C591" s="17"/>
      <c r="D591" s="17"/>
      <c r="E591" s="17"/>
      <c r="F591" s="17"/>
      <c r="G591" s="152"/>
      <c r="H591" s="17"/>
    </row>
    <row r="592">
      <c r="B592" s="59"/>
      <c r="C592" s="17"/>
      <c r="D592" s="17"/>
      <c r="E592" s="17"/>
      <c r="F592" s="17"/>
      <c r="G592" s="152"/>
      <c r="H592" s="17"/>
    </row>
    <row r="593">
      <c r="B593" s="59"/>
      <c r="C593" s="17"/>
      <c r="D593" s="17"/>
      <c r="E593" s="17"/>
      <c r="F593" s="17"/>
      <c r="G593" s="152"/>
      <c r="H593" s="17"/>
    </row>
    <row r="594">
      <c r="B594" s="59"/>
      <c r="C594" s="17"/>
      <c r="D594" s="17"/>
      <c r="E594" s="17"/>
      <c r="F594" s="17"/>
      <c r="G594" s="152"/>
      <c r="H594" s="17"/>
    </row>
    <row r="595">
      <c r="B595" s="59"/>
      <c r="C595" s="17"/>
      <c r="D595" s="17"/>
      <c r="E595" s="17"/>
      <c r="F595" s="17"/>
      <c r="G595" s="152"/>
      <c r="H595" s="17"/>
    </row>
    <row r="596">
      <c r="B596" s="59"/>
      <c r="C596" s="17"/>
      <c r="D596" s="17"/>
      <c r="E596" s="17"/>
      <c r="F596" s="17"/>
      <c r="G596" s="152"/>
      <c r="H596" s="17"/>
    </row>
    <row r="597">
      <c r="B597" s="59"/>
      <c r="C597" s="17"/>
      <c r="D597" s="17"/>
      <c r="E597" s="17"/>
      <c r="F597" s="17"/>
      <c r="G597" s="152"/>
      <c r="H597" s="17"/>
    </row>
    <row r="598">
      <c r="B598" s="59"/>
      <c r="C598" s="17"/>
      <c r="D598" s="17"/>
      <c r="E598" s="17"/>
      <c r="F598" s="17"/>
      <c r="G598" s="152"/>
      <c r="H598" s="17"/>
    </row>
    <row r="599">
      <c r="B599" s="59"/>
      <c r="C599" s="17"/>
      <c r="D599" s="17"/>
      <c r="E599" s="17"/>
      <c r="F599" s="17"/>
      <c r="G599" s="152"/>
      <c r="H599" s="17"/>
    </row>
    <row r="600">
      <c r="B600" s="59"/>
      <c r="C600" s="17"/>
      <c r="D600" s="17"/>
      <c r="E600" s="17"/>
      <c r="F600" s="17"/>
      <c r="G600" s="152"/>
      <c r="H600" s="17"/>
    </row>
    <row r="601">
      <c r="B601" s="59"/>
      <c r="C601" s="17"/>
      <c r="D601" s="17"/>
      <c r="E601" s="17"/>
      <c r="F601" s="17"/>
      <c r="G601" s="152"/>
      <c r="H601" s="17"/>
    </row>
    <row r="602">
      <c r="B602" s="59"/>
      <c r="C602" s="17"/>
      <c r="D602" s="17"/>
      <c r="E602" s="17"/>
      <c r="F602" s="17"/>
      <c r="G602" s="152"/>
      <c r="H602" s="17"/>
    </row>
    <row r="603">
      <c r="B603" s="59"/>
      <c r="C603" s="17"/>
      <c r="D603" s="17"/>
      <c r="E603" s="17"/>
      <c r="F603" s="17"/>
      <c r="G603" s="152"/>
      <c r="H603" s="17"/>
    </row>
    <row r="604">
      <c r="B604" s="59"/>
      <c r="C604" s="17"/>
      <c r="D604" s="17"/>
      <c r="E604" s="17"/>
      <c r="F604" s="17"/>
      <c r="G604" s="152"/>
      <c r="H604" s="17"/>
    </row>
    <row r="605">
      <c r="B605" s="59"/>
      <c r="C605" s="17"/>
      <c r="D605" s="17"/>
      <c r="E605" s="17"/>
      <c r="F605" s="17"/>
      <c r="G605" s="152"/>
      <c r="H605" s="17"/>
    </row>
    <row r="606">
      <c r="B606" s="59"/>
      <c r="C606" s="17"/>
      <c r="D606" s="17"/>
      <c r="E606" s="17"/>
      <c r="F606" s="17"/>
      <c r="G606" s="152"/>
      <c r="H606" s="17"/>
    </row>
    <row r="607">
      <c r="B607" s="59"/>
      <c r="C607" s="17"/>
      <c r="D607" s="17"/>
      <c r="E607" s="17"/>
      <c r="F607" s="17"/>
      <c r="G607" s="152"/>
      <c r="H607" s="17"/>
    </row>
    <row r="608">
      <c r="B608" s="59"/>
      <c r="C608" s="17"/>
      <c r="D608" s="17"/>
      <c r="E608" s="17"/>
      <c r="F608" s="17"/>
      <c r="G608" s="152"/>
      <c r="H608" s="17"/>
    </row>
    <row r="609">
      <c r="B609" s="59"/>
      <c r="C609" s="17"/>
      <c r="D609" s="17"/>
      <c r="E609" s="17"/>
      <c r="F609" s="17"/>
      <c r="G609" s="152"/>
      <c r="H609" s="17"/>
    </row>
    <row r="610">
      <c r="B610" s="59"/>
      <c r="C610" s="17"/>
      <c r="D610" s="17"/>
      <c r="E610" s="17"/>
      <c r="F610" s="17"/>
      <c r="G610" s="152"/>
      <c r="H610" s="17"/>
    </row>
    <row r="611">
      <c r="B611" s="59"/>
      <c r="C611" s="17"/>
      <c r="D611" s="17"/>
      <c r="E611" s="17"/>
      <c r="F611" s="17"/>
      <c r="G611" s="152"/>
      <c r="H611" s="17"/>
    </row>
    <row r="612">
      <c r="B612" s="59"/>
      <c r="C612" s="17"/>
      <c r="D612" s="17"/>
      <c r="E612" s="17"/>
      <c r="F612" s="17"/>
      <c r="G612" s="152"/>
      <c r="H612" s="17"/>
    </row>
    <row r="613">
      <c r="B613" s="59"/>
      <c r="C613" s="17"/>
      <c r="D613" s="17"/>
      <c r="E613" s="17"/>
      <c r="F613" s="17"/>
      <c r="G613" s="152"/>
      <c r="H613" s="17"/>
    </row>
    <row r="614">
      <c r="B614" s="59"/>
      <c r="C614" s="17"/>
      <c r="D614" s="17"/>
      <c r="E614" s="17"/>
      <c r="F614" s="17"/>
      <c r="G614" s="152"/>
      <c r="H614" s="17"/>
    </row>
    <row r="615">
      <c r="B615" s="59"/>
      <c r="C615" s="17"/>
      <c r="D615" s="17"/>
      <c r="E615" s="17"/>
      <c r="F615" s="17"/>
      <c r="G615" s="152"/>
      <c r="H615" s="17"/>
    </row>
    <row r="616">
      <c r="B616" s="59"/>
      <c r="C616" s="17"/>
      <c r="D616" s="17"/>
      <c r="E616" s="17"/>
      <c r="F616" s="17"/>
      <c r="G616" s="152"/>
      <c r="H616" s="17"/>
    </row>
    <row r="617">
      <c r="B617" s="59"/>
      <c r="C617" s="17"/>
      <c r="D617" s="17"/>
      <c r="E617" s="17"/>
      <c r="F617" s="17"/>
      <c r="G617" s="152"/>
      <c r="H617" s="17"/>
    </row>
    <row r="618">
      <c r="B618" s="59"/>
      <c r="C618" s="17"/>
      <c r="D618" s="17"/>
      <c r="E618" s="17"/>
      <c r="F618" s="17"/>
      <c r="G618" s="152"/>
      <c r="H618" s="17"/>
    </row>
    <row r="619">
      <c r="B619" s="59"/>
      <c r="C619" s="17"/>
      <c r="D619" s="17"/>
      <c r="E619" s="17"/>
      <c r="F619" s="17"/>
      <c r="G619" s="152"/>
      <c r="H619" s="17"/>
    </row>
    <row r="620">
      <c r="B620" s="59"/>
      <c r="C620" s="17"/>
      <c r="D620" s="17"/>
      <c r="E620" s="17"/>
      <c r="F620" s="17"/>
      <c r="G620" s="152"/>
      <c r="H620" s="17"/>
    </row>
    <row r="621">
      <c r="B621" s="59"/>
      <c r="C621" s="17"/>
      <c r="D621" s="17"/>
      <c r="E621" s="17"/>
      <c r="F621" s="17"/>
      <c r="G621" s="152"/>
      <c r="H621" s="17"/>
    </row>
    <row r="622">
      <c r="B622" s="59"/>
      <c r="C622" s="17"/>
      <c r="D622" s="17"/>
      <c r="E622" s="17"/>
      <c r="F622" s="17"/>
      <c r="G622" s="152"/>
      <c r="H622" s="17"/>
    </row>
    <row r="623">
      <c r="B623" s="59"/>
      <c r="C623" s="17"/>
      <c r="D623" s="17"/>
      <c r="E623" s="17"/>
      <c r="F623" s="17"/>
      <c r="G623" s="152"/>
      <c r="H623" s="17"/>
    </row>
    <row r="624">
      <c r="B624" s="59"/>
      <c r="C624" s="17"/>
      <c r="D624" s="17"/>
      <c r="E624" s="17"/>
      <c r="F624" s="17"/>
      <c r="G624" s="152"/>
      <c r="H624" s="17"/>
    </row>
    <row r="625">
      <c r="B625" s="59"/>
      <c r="C625" s="17"/>
      <c r="D625" s="17"/>
      <c r="E625" s="17"/>
      <c r="F625" s="17"/>
      <c r="G625" s="152"/>
      <c r="H625" s="17"/>
    </row>
    <row r="626">
      <c r="B626" s="59"/>
      <c r="C626" s="17"/>
      <c r="D626" s="17"/>
      <c r="E626" s="17"/>
      <c r="F626" s="17"/>
      <c r="G626" s="152"/>
      <c r="H626" s="17"/>
    </row>
    <row r="627">
      <c r="B627" s="59"/>
      <c r="C627" s="17"/>
      <c r="D627" s="17"/>
      <c r="E627" s="17"/>
      <c r="F627" s="17"/>
      <c r="G627" s="152"/>
      <c r="H627" s="17"/>
    </row>
    <row r="628">
      <c r="B628" s="59"/>
      <c r="C628" s="17"/>
      <c r="D628" s="17"/>
      <c r="E628" s="17"/>
      <c r="F628" s="17"/>
      <c r="G628" s="152"/>
      <c r="H628" s="17"/>
    </row>
    <row r="629">
      <c r="B629" s="59"/>
      <c r="C629" s="17"/>
      <c r="D629" s="17"/>
      <c r="E629" s="17"/>
      <c r="F629" s="17"/>
      <c r="G629" s="152"/>
      <c r="H629" s="17"/>
    </row>
    <row r="630">
      <c r="B630" s="59"/>
      <c r="C630" s="17"/>
      <c r="D630" s="17"/>
      <c r="E630" s="17"/>
      <c r="F630" s="17"/>
      <c r="G630" s="152"/>
      <c r="H630" s="17"/>
    </row>
    <row r="631">
      <c r="B631" s="59"/>
      <c r="C631" s="17"/>
      <c r="D631" s="17"/>
      <c r="E631" s="17"/>
      <c r="F631" s="17"/>
      <c r="G631" s="152"/>
      <c r="H631" s="17"/>
    </row>
    <row r="632">
      <c r="B632" s="59"/>
      <c r="C632" s="17"/>
      <c r="D632" s="17"/>
      <c r="E632" s="17"/>
      <c r="F632" s="17"/>
      <c r="G632" s="152"/>
      <c r="H632" s="17"/>
    </row>
    <row r="633">
      <c r="B633" s="59"/>
      <c r="C633" s="17"/>
      <c r="D633" s="17"/>
      <c r="E633" s="17"/>
      <c r="F633" s="17"/>
      <c r="G633" s="152"/>
      <c r="H633" s="17"/>
    </row>
    <row r="634">
      <c r="B634" s="59"/>
      <c r="C634" s="17"/>
      <c r="D634" s="17"/>
      <c r="E634" s="17"/>
      <c r="F634" s="17"/>
      <c r="G634" s="152"/>
      <c r="H634" s="17"/>
    </row>
    <row r="635">
      <c r="B635" s="59"/>
      <c r="C635" s="17"/>
      <c r="D635" s="17"/>
      <c r="E635" s="17"/>
      <c r="F635" s="17"/>
      <c r="G635" s="152"/>
      <c r="H635" s="17"/>
    </row>
    <row r="636">
      <c r="B636" s="59"/>
      <c r="C636" s="17"/>
      <c r="D636" s="17"/>
      <c r="E636" s="17"/>
      <c r="F636" s="17"/>
      <c r="G636" s="152"/>
      <c r="H636" s="17"/>
    </row>
    <row r="637">
      <c r="B637" s="59"/>
      <c r="C637" s="17"/>
      <c r="D637" s="17"/>
      <c r="E637" s="17"/>
      <c r="F637" s="17"/>
      <c r="G637" s="152"/>
      <c r="H637" s="17"/>
    </row>
    <row r="638">
      <c r="B638" s="59"/>
      <c r="C638" s="17"/>
      <c r="D638" s="17"/>
      <c r="E638" s="17"/>
      <c r="F638" s="17"/>
      <c r="G638" s="152"/>
      <c r="H638" s="17"/>
    </row>
    <row r="639">
      <c r="B639" s="59"/>
      <c r="C639" s="17"/>
      <c r="D639" s="17"/>
      <c r="E639" s="17"/>
      <c r="F639" s="17"/>
      <c r="G639" s="152"/>
      <c r="H639" s="17"/>
    </row>
    <row r="640">
      <c r="B640" s="59"/>
      <c r="C640" s="17"/>
      <c r="D640" s="17"/>
      <c r="E640" s="17"/>
      <c r="F640" s="17"/>
      <c r="G640" s="152"/>
      <c r="H640" s="17"/>
    </row>
    <row r="641">
      <c r="B641" s="59"/>
      <c r="C641" s="17"/>
      <c r="D641" s="17"/>
      <c r="E641" s="17"/>
      <c r="F641" s="17"/>
      <c r="G641" s="152"/>
      <c r="H641" s="17"/>
    </row>
    <row r="642">
      <c r="B642" s="59"/>
      <c r="C642" s="17"/>
      <c r="D642" s="17"/>
      <c r="E642" s="17"/>
      <c r="F642" s="17"/>
      <c r="G642" s="152"/>
      <c r="H642" s="17"/>
    </row>
    <row r="643">
      <c r="B643" s="59"/>
      <c r="C643" s="17"/>
      <c r="D643" s="17"/>
      <c r="E643" s="17"/>
      <c r="F643" s="17"/>
      <c r="G643" s="152"/>
      <c r="H643" s="17"/>
    </row>
    <row r="644">
      <c r="B644" s="59"/>
      <c r="C644" s="17"/>
      <c r="D644" s="17"/>
      <c r="E644" s="17"/>
      <c r="F644" s="17"/>
      <c r="G644" s="152"/>
      <c r="H644" s="17"/>
    </row>
    <row r="645">
      <c r="B645" s="59"/>
      <c r="C645" s="17"/>
      <c r="D645" s="17"/>
      <c r="E645" s="17"/>
      <c r="F645" s="17"/>
      <c r="G645" s="152"/>
      <c r="H645" s="17"/>
    </row>
    <row r="646">
      <c r="B646" s="59"/>
      <c r="C646" s="17"/>
      <c r="D646" s="17"/>
      <c r="E646" s="17"/>
      <c r="F646" s="17"/>
      <c r="G646" s="152"/>
      <c r="H646" s="17"/>
    </row>
    <row r="647">
      <c r="B647" s="59"/>
      <c r="C647" s="17"/>
      <c r="D647" s="17"/>
      <c r="E647" s="17"/>
      <c r="F647" s="17"/>
      <c r="G647" s="152"/>
      <c r="H647" s="17"/>
    </row>
    <row r="648">
      <c r="B648" s="59"/>
      <c r="C648" s="17"/>
      <c r="D648" s="17"/>
      <c r="E648" s="17"/>
      <c r="F648" s="17"/>
      <c r="G648" s="152"/>
      <c r="H648" s="17"/>
    </row>
    <row r="649">
      <c r="B649" s="59"/>
      <c r="C649" s="17"/>
      <c r="D649" s="17"/>
      <c r="E649" s="17"/>
      <c r="F649" s="17"/>
      <c r="G649" s="152"/>
      <c r="H649" s="17"/>
    </row>
    <row r="650">
      <c r="B650" s="59"/>
      <c r="C650" s="17"/>
      <c r="D650" s="17"/>
      <c r="E650" s="17"/>
      <c r="F650" s="17"/>
      <c r="G650" s="152"/>
      <c r="H650" s="17"/>
    </row>
    <row r="651">
      <c r="B651" s="59"/>
      <c r="C651" s="17"/>
      <c r="D651" s="17"/>
      <c r="E651" s="17"/>
      <c r="F651" s="17"/>
      <c r="G651" s="152"/>
      <c r="H651" s="17"/>
    </row>
    <row r="652">
      <c r="B652" s="59"/>
      <c r="C652" s="17"/>
      <c r="D652" s="17"/>
      <c r="E652" s="17"/>
      <c r="F652" s="17"/>
      <c r="G652" s="152"/>
      <c r="H652" s="17"/>
    </row>
    <row r="653">
      <c r="B653" s="59"/>
      <c r="C653" s="17"/>
      <c r="D653" s="17"/>
      <c r="E653" s="17"/>
      <c r="F653" s="17"/>
      <c r="G653" s="152"/>
      <c r="H653" s="17"/>
    </row>
    <row r="654">
      <c r="B654" s="59"/>
      <c r="C654" s="17"/>
      <c r="D654" s="17"/>
      <c r="E654" s="17"/>
      <c r="F654" s="17"/>
      <c r="G654" s="152"/>
      <c r="H654" s="17"/>
    </row>
    <row r="655">
      <c r="B655" s="59"/>
      <c r="C655" s="17"/>
      <c r="D655" s="17"/>
      <c r="E655" s="17"/>
      <c r="F655" s="17"/>
      <c r="G655" s="152"/>
      <c r="H655" s="17"/>
    </row>
    <row r="656">
      <c r="B656" s="59"/>
      <c r="C656" s="17"/>
      <c r="D656" s="17"/>
      <c r="E656" s="17"/>
      <c r="F656" s="17"/>
      <c r="G656" s="152"/>
      <c r="H656" s="17"/>
    </row>
    <row r="657">
      <c r="B657" s="59"/>
      <c r="C657" s="17"/>
      <c r="D657" s="17"/>
      <c r="E657" s="17"/>
      <c r="F657" s="17"/>
      <c r="G657" s="152"/>
      <c r="H657" s="17"/>
    </row>
    <row r="658">
      <c r="B658" s="59"/>
      <c r="C658" s="17"/>
      <c r="D658" s="17"/>
      <c r="E658" s="17"/>
      <c r="F658" s="17"/>
      <c r="G658" s="152"/>
      <c r="H658" s="17"/>
    </row>
    <row r="659">
      <c r="B659" s="59"/>
      <c r="C659" s="17"/>
      <c r="D659" s="17"/>
      <c r="E659" s="17"/>
      <c r="F659" s="17"/>
      <c r="G659" s="152"/>
      <c r="H659" s="17"/>
    </row>
    <row r="660">
      <c r="B660" s="59"/>
      <c r="C660" s="17"/>
      <c r="D660" s="17"/>
      <c r="E660" s="17"/>
      <c r="F660" s="17"/>
      <c r="G660" s="152"/>
      <c r="H660" s="17"/>
    </row>
    <row r="661">
      <c r="B661" s="59"/>
      <c r="C661" s="17"/>
      <c r="D661" s="17"/>
      <c r="E661" s="17"/>
      <c r="F661" s="17"/>
      <c r="G661" s="152"/>
      <c r="H661" s="17"/>
    </row>
    <row r="662">
      <c r="B662" s="59"/>
      <c r="C662" s="17"/>
      <c r="D662" s="17"/>
      <c r="E662" s="17"/>
      <c r="F662" s="17"/>
      <c r="G662" s="152"/>
      <c r="H662" s="17"/>
    </row>
    <row r="663">
      <c r="B663" s="59"/>
      <c r="C663" s="17"/>
      <c r="D663" s="17"/>
      <c r="E663" s="17"/>
      <c r="F663" s="17"/>
      <c r="G663" s="152"/>
      <c r="H663" s="17"/>
    </row>
    <row r="664">
      <c r="B664" s="59"/>
      <c r="C664" s="17"/>
      <c r="D664" s="17"/>
      <c r="E664" s="17"/>
      <c r="F664" s="17"/>
      <c r="G664" s="152"/>
      <c r="H664" s="17"/>
    </row>
    <row r="665">
      <c r="B665" s="59"/>
      <c r="C665" s="17"/>
      <c r="D665" s="17"/>
      <c r="E665" s="17"/>
      <c r="F665" s="17"/>
      <c r="G665" s="152"/>
      <c r="H665" s="17"/>
    </row>
    <row r="666">
      <c r="B666" s="59"/>
      <c r="C666" s="17"/>
      <c r="D666" s="17"/>
      <c r="E666" s="17"/>
      <c r="F666" s="17"/>
      <c r="G666" s="152"/>
      <c r="H666" s="17"/>
    </row>
    <row r="667">
      <c r="B667" s="59"/>
      <c r="C667" s="17"/>
      <c r="D667" s="17"/>
      <c r="E667" s="17"/>
      <c r="F667" s="17"/>
      <c r="G667" s="152"/>
      <c r="H667" s="17"/>
    </row>
    <row r="668">
      <c r="B668" s="59"/>
      <c r="C668" s="17"/>
      <c r="D668" s="17"/>
      <c r="E668" s="17"/>
      <c r="F668" s="17"/>
      <c r="G668" s="152"/>
      <c r="H668" s="17"/>
    </row>
    <row r="669">
      <c r="B669" s="59"/>
      <c r="C669" s="17"/>
      <c r="D669" s="17"/>
      <c r="E669" s="17"/>
      <c r="F669" s="17"/>
      <c r="G669" s="152"/>
      <c r="H669" s="17"/>
    </row>
    <row r="670">
      <c r="B670" s="59"/>
      <c r="C670" s="17"/>
      <c r="D670" s="17"/>
      <c r="E670" s="17"/>
      <c r="F670" s="17"/>
      <c r="G670" s="152"/>
      <c r="H670" s="17"/>
    </row>
    <row r="671">
      <c r="B671" s="59"/>
      <c r="C671" s="17"/>
      <c r="D671" s="17"/>
      <c r="E671" s="17"/>
      <c r="F671" s="17"/>
      <c r="G671" s="152"/>
      <c r="H671" s="17"/>
    </row>
    <row r="672">
      <c r="B672" s="59"/>
      <c r="C672" s="17"/>
      <c r="D672" s="17"/>
      <c r="E672" s="17"/>
      <c r="F672" s="17"/>
      <c r="G672" s="152"/>
      <c r="H672" s="17"/>
    </row>
    <row r="673">
      <c r="B673" s="59"/>
      <c r="C673" s="17"/>
      <c r="D673" s="17"/>
      <c r="E673" s="17"/>
      <c r="F673" s="17"/>
      <c r="G673" s="152"/>
      <c r="H673" s="17"/>
    </row>
    <row r="674">
      <c r="B674" s="59"/>
      <c r="C674" s="17"/>
      <c r="D674" s="17"/>
      <c r="E674" s="17"/>
      <c r="F674" s="17"/>
      <c r="G674" s="152"/>
      <c r="H674" s="17"/>
    </row>
    <row r="675">
      <c r="B675" s="59"/>
      <c r="C675" s="17"/>
      <c r="D675" s="17"/>
      <c r="E675" s="17"/>
      <c r="F675" s="17"/>
      <c r="G675" s="152"/>
      <c r="H675" s="17"/>
    </row>
    <row r="676">
      <c r="B676" s="59"/>
      <c r="C676" s="17"/>
      <c r="D676" s="17"/>
      <c r="E676" s="17"/>
      <c r="F676" s="17"/>
      <c r="G676" s="152"/>
      <c r="H676" s="17"/>
    </row>
    <row r="677">
      <c r="B677" s="59"/>
      <c r="C677" s="17"/>
      <c r="D677" s="17"/>
      <c r="E677" s="17"/>
      <c r="F677" s="17"/>
      <c r="G677" s="152"/>
      <c r="H677" s="17"/>
    </row>
    <row r="678">
      <c r="B678" s="59"/>
      <c r="C678" s="17"/>
      <c r="D678" s="17"/>
      <c r="E678" s="17"/>
      <c r="F678" s="17"/>
      <c r="G678" s="152"/>
      <c r="H678" s="17"/>
    </row>
    <row r="679">
      <c r="B679" s="59"/>
      <c r="C679" s="17"/>
      <c r="D679" s="17"/>
      <c r="E679" s="17"/>
      <c r="F679" s="17"/>
      <c r="G679" s="152"/>
      <c r="H679" s="17"/>
    </row>
    <row r="680">
      <c r="B680" s="59"/>
      <c r="C680" s="17"/>
      <c r="D680" s="17"/>
      <c r="E680" s="17"/>
      <c r="F680" s="17"/>
      <c r="G680" s="152"/>
      <c r="H680" s="17"/>
    </row>
    <row r="681">
      <c r="B681" s="59"/>
      <c r="C681" s="17"/>
      <c r="D681" s="17"/>
      <c r="E681" s="17"/>
      <c r="F681" s="17"/>
      <c r="G681" s="152"/>
      <c r="H681" s="17"/>
    </row>
    <row r="682">
      <c r="B682" s="59"/>
      <c r="C682" s="17"/>
      <c r="D682" s="17"/>
      <c r="E682" s="17"/>
      <c r="F682" s="17"/>
      <c r="G682" s="152"/>
      <c r="H682" s="17"/>
    </row>
    <row r="683">
      <c r="B683" s="59"/>
      <c r="C683" s="17"/>
      <c r="D683" s="17"/>
      <c r="E683" s="17"/>
      <c r="F683" s="17"/>
      <c r="G683" s="152"/>
      <c r="H683" s="17"/>
    </row>
    <row r="684">
      <c r="B684" s="59"/>
      <c r="C684" s="17"/>
      <c r="D684" s="17"/>
      <c r="E684" s="17"/>
      <c r="F684" s="17"/>
      <c r="G684" s="152"/>
      <c r="H684" s="17"/>
    </row>
    <row r="685">
      <c r="B685" s="59"/>
      <c r="C685" s="17"/>
      <c r="D685" s="17"/>
      <c r="E685" s="17"/>
      <c r="F685" s="17"/>
      <c r="G685" s="152"/>
      <c r="H685" s="17"/>
    </row>
    <row r="686">
      <c r="B686" s="59"/>
      <c r="C686" s="17"/>
      <c r="D686" s="17"/>
      <c r="E686" s="17"/>
      <c r="F686" s="17"/>
      <c r="G686" s="152"/>
      <c r="H686" s="17"/>
    </row>
    <row r="687">
      <c r="B687" s="59"/>
      <c r="C687" s="17"/>
      <c r="D687" s="17"/>
      <c r="E687" s="17"/>
      <c r="F687" s="17"/>
      <c r="G687" s="152"/>
      <c r="H687" s="17"/>
    </row>
    <row r="688">
      <c r="B688" s="59"/>
      <c r="C688" s="17"/>
      <c r="D688" s="17"/>
      <c r="E688" s="17"/>
      <c r="F688" s="17"/>
      <c r="G688" s="152"/>
      <c r="H688" s="17"/>
    </row>
    <row r="689">
      <c r="B689" s="59"/>
      <c r="C689" s="17"/>
      <c r="D689" s="17"/>
      <c r="E689" s="17"/>
      <c r="F689" s="17"/>
      <c r="G689" s="152"/>
      <c r="H689" s="17"/>
    </row>
    <row r="690">
      <c r="B690" s="59"/>
      <c r="C690" s="17"/>
      <c r="D690" s="17"/>
      <c r="E690" s="17"/>
      <c r="F690" s="17"/>
      <c r="G690" s="152"/>
      <c r="H690" s="17"/>
    </row>
    <row r="691">
      <c r="B691" s="59"/>
      <c r="C691" s="17"/>
      <c r="D691" s="17"/>
      <c r="E691" s="17"/>
      <c r="F691" s="17"/>
      <c r="G691" s="152"/>
      <c r="H691" s="17"/>
    </row>
    <row r="692">
      <c r="B692" s="59"/>
      <c r="C692" s="17"/>
      <c r="D692" s="17"/>
      <c r="E692" s="17"/>
      <c r="F692" s="17"/>
      <c r="G692" s="152"/>
      <c r="H692" s="17"/>
    </row>
    <row r="693">
      <c r="B693" s="59"/>
      <c r="C693" s="17"/>
      <c r="D693" s="17"/>
      <c r="E693" s="17"/>
      <c r="F693" s="17"/>
      <c r="G693" s="152"/>
      <c r="H693" s="17"/>
    </row>
    <row r="694">
      <c r="B694" s="59"/>
      <c r="C694" s="17"/>
      <c r="D694" s="17"/>
      <c r="E694" s="17"/>
      <c r="F694" s="17"/>
      <c r="G694" s="152"/>
      <c r="H694" s="17"/>
    </row>
    <row r="695">
      <c r="B695" s="59"/>
      <c r="C695" s="17"/>
      <c r="D695" s="17"/>
      <c r="E695" s="17"/>
      <c r="F695" s="17"/>
      <c r="G695" s="152"/>
      <c r="H695" s="17"/>
    </row>
    <row r="696">
      <c r="B696" s="59"/>
      <c r="C696" s="17"/>
      <c r="D696" s="17"/>
      <c r="E696" s="17"/>
      <c r="F696" s="17"/>
      <c r="G696" s="152"/>
      <c r="H696" s="17"/>
    </row>
    <row r="697">
      <c r="B697" s="59"/>
      <c r="C697" s="17"/>
      <c r="D697" s="17"/>
      <c r="E697" s="17"/>
      <c r="F697" s="17"/>
      <c r="G697" s="152"/>
      <c r="H697" s="17"/>
    </row>
    <row r="698">
      <c r="B698" s="59"/>
      <c r="C698" s="17"/>
      <c r="D698" s="17"/>
      <c r="E698" s="17"/>
      <c r="F698" s="17"/>
      <c r="G698" s="152"/>
      <c r="H698" s="17"/>
    </row>
    <row r="699">
      <c r="B699" s="59"/>
      <c r="C699" s="17"/>
      <c r="D699" s="17"/>
      <c r="E699" s="17"/>
      <c r="F699" s="17"/>
      <c r="G699" s="152"/>
      <c r="H699" s="17"/>
    </row>
    <row r="700">
      <c r="B700" s="59"/>
      <c r="C700" s="17"/>
      <c r="D700" s="17"/>
      <c r="E700" s="17"/>
      <c r="F700" s="17"/>
      <c r="G700" s="152"/>
      <c r="H700" s="17"/>
    </row>
    <row r="701">
      <c r="B701" s="59"/>
      <c r="C701" s="17"/>
      <c r="D701" s="17"/>
      <c r="E701" s="17"/>
      <c r="F701" s="17"/>
      <c r="G701" s="152"/>
      <c r="H701" s="17"/>
    </row>
    <row r="702">
      <c r="B702" s="59"/>
      <c r="C702" s="17"/>
      <c r="D702" s="17"/>
      <c r="E702" s="17"/>
      <c r="F702" s="17"/>
      <c r="G702" s="152"/>
      <c r="H702" s="17"/>
    </row>
    <row r="703">
      <c r="B703" s="59"/>
      <c r="C703" s="17"/>
      <c r="D703" s="17"/>
      <c r="E703" s="17"/>
      <c r="F703" s="17"/>
      <c r="G703" s="152"/>
      <c r="H703" s="17"/>
    </row>
    <row r="704">
      <c r="B704" s="59"/>
      <c r="C704" s="17"/>
      <c r="D704" s="17"/>
      <c r="E704" s="17"/>
      <c r="F704" s="17"/>
      <c r="G704" s="152"/>
      <c r="H704" s="17"/>
    </row>
    <row r="705">
      <c r="B705" s="59"/>
      <c r="C705" s="17"/>
      <c r="D705" s="17"/>
      <c r="E705" s="17"/>
      <c r="F705" s="17"/>
      <c r="G705" s="152"/>
      <c r="H705" s="17"/>
    </row>
    <row r="706">
      <c r="B706" s="59"/>
      <c r="C706" s="17"/>
      <c r="D706" s="17"/>
      <c r="E706" s="17"/>
      <c r="F706" s="17"/>
      <c r="G706" s="152"/>
      <c r="H706" s="17"/>
    </row>
    <row r="707">
      <c r="B707" s="59"/>
      <c r="C707" s="17"/>
      <c r="D707" s="17"/>
      <c r="E707" s="17"/>
      <c r="F707" s="17"/>
      <c r="G707" s="152"/>
      <c r="H707" s="17"/>
    </row>
    <row r="708">
      <c r="B708" s="59"/>
      <c r="C708" s="17"/>
      <c r="D708" s="17"/>
      <c r="E708" s="17"/>
      <c r="F708" s="17"/>
      <c r="G708" s="152"/>
      <c r="H708" s="17"/>
    </row>
    <row r="709">
      <c r="B709" s="59"/>
      <c r="C709" s="17"/>
      <c r="D709" s="17"/>
      <c r="E709" s="17"/>
      <c r="F709" s="17"/>
      <c r="G709" s="152"/>
      <c r="H709" s="17"/>
    </row>
    <row r="710">
      <c r="B710" s="59"/>
      <c r="C710" s="17"/>
      <c r="D710" s="17"/>
      <c r="E710" s="17"/>
      <c r="F710" s="17"/>
      <c r="G710" s="152"/>
      <c r="H710" s="17"/>
    </row>
    <row r="711">
      <c r="B711" s="59"/>
      <c r="C711" s="17"/>
      <c r="D711" s="17"/>
      <c r="E711" s="17"/>
      <c r="F711" s="17"/>
      <c r="G711" s="152"/>
      <c r="H711" s="17"/>
    </row>
    <row r="712">
      <c r="B712" s="59"/>
      <c r="C712" s="17"/>
      <c r="D712" s="17"/>
      <c r="E712" s="17"/>
      <c r="F712" s="17"/>
      <c r="G712" s="152"/>
      <c r="H712" s="17"/>
    </row>
    <row r="713">
      <c r="B713" s="59"/>
      <c r="C713" s="17"/>
      <c r="D713" s="17"/>
      <c r="E713" s="17"/>
      <c r="F713" s="17"/>
      <c r="G713" s="152"/>
      <c r="H713" s="17"/>
    </row>
    <row r="714">
      <c r="B714" s="59"/>
      <c r="C714" s="17"/>
      <c r="D714" s="17"/>
      <c r="E714" s="17"/>
      <c r="F714" s="17"/>
      <c r="G714" s="152"/>
      <c r="H714" s="17"/>
    </row>
    <row r="715">
      <c r="B715" s="59"/>
      <c r="C715" s="17"/>
      <c r="D715" s="17"/>
      <c r="E715" s="17"/>
      <c r="F715" s="17"/>
      <c r="G715" s="152"/>
      <c r="H715" s="17"/>
    </row>
    <row r="716">
      <c r="B716" s="59"/>
      <c r="C716" s="17"/>
      <c r="D716" s="17"/>
      <c r="E716" s="17"/>
      <c r="F716" s="17"/>
      <c r="G716" s="152"/>
      <c r="H716" s="17"/>
    </row>
    <row r="717">
      <c r="B717" s="59"/>
      <c r="C717" s="17"/>
      <c r="D717" s="17"/>
      <c r="E717" s="17"/>
      <c r="F717" s="17"/>
      <c r="G717" s="152"/>
      <c r="H717" s="17"/>
    </row>
    <row r="718">
      <c r="B718" s="59"/>
      <c r="C718" s="17"/>
      <c r="D718" s="17"/>
      <c r="E718" s="17"/>
      <c r="F718" s="17"/>
      <c r="G718" s="152"/>
      <c r="H718" s="17"/>
    </row>
    <row r="719">
      <c r="B719" s="59"/>
      <c r="C719" s="17"/>
      <c r="D719" s="17"/>
      <c r="E719" s="17"/>
      <c r="F719" s="17"/>
      <c r="G719" s="152"/>
      <c r="H719" s="17"/>
    </row>
    <row r="720">
      <c r="B720" s="59"/>
      <c r="C720" s="17"/>
      <c r="D720" s="17"/>
      <c r="E720" s="17"/>
      <c r="F720" s="17"/>
      <c r="G720" s="152"/>
      <c r="H720" s="17"/>
    </row>
    <row r="721">
      <c r="B721" s="59"/>
      <c r="C721" s="17"/>
      <c r="D721" s="17"/>
      <c r="E721" s="17"/>
      <c r="F721" s="17"/>
      <c r="G721" s="152"/>
      <c r="H721" s="17"/>
    </row>
    <row r="722">
      <c r="B722" s="59"/>
      <c r="C722" s="17"/>
      <c r="D722" s="17"/>
      <c r="E722" s="17"/>
      <c r="F722" s="17"/>
      <c r="G722" s="152"/>
      <c r="H722" s="17"/>
    </row>
    <row r="723">
      <c r="B723" s="59"/>
      <c r="C723" s="17"/>
      <c r="D723" s="17"/>
      <c r="E723" s="17"/>
      <c r="F723" s="17"/>
      <c r="G723" s="152"/>
      <c r="H723" s="17"/>
    </row>
    <row r="724">
      <c r="B724" s="59"/>
      <c r="C724" s="17"/>
      <c r="D724" s="17"/>
      <c r="E724" s="17"/>
      <c r="F724" s="17"/>
      <c r="G724" s="152"/>
      <c r="H724" s="17"/>
    </row>
    <row r="725">
      <c r="B725" s="59"/>
      <c r="C725" s="17"/>
      <c r="D725" s="17"/>
      <c r="E725" s="17"/>
      <c r="F725" s="17"/>
      <c r="G725" s="152"/>
      <c r="H725" s="17"/>
    </row>
    <row r="726">
      <c r="B726" s="59"/>
      <c r="C726" s="17"/>
      <c r="D726" s="17"/>
      <c r="E726" s="17"/>
      <c r="F726" s="17"/>
      <c r="G726" s="152"/>
      <c r="H726" s="17"/>
    </row>
    <row r="727">
      <c r="B727" s="59"/>
      <c r="C727" s="17"/>
      <c r="D727" s="17"/>
      <c r="E727" s="17"/>
      <c r="F727" s="17"/>
      <c r="G727" s="152"/>
      <c r="H727" s="17"/>
    </row>
    <row r="728">
      <c r="B728" s="59"/>
      <c r="C728" s="17"/>
      <c r="D728" s="17"/>
      <c r="E728" s="17"/>
      <c r="F728" s="17"/>
      <c r="G728" s="152"/>
      <c r="H728" s="17"/>
    </row>
    <row r="729">
      <c r="B729" s="59"/>
      <c r="C729" s="17"/>
      <c r="D729" s="17"/>
      <c r="E729" s="17"/>
      <c r="F729" s="17"/>
      <c r="G729" s="152"/>
      <c r="H729" s="17"/>
    </row>
    <row r="730">
      <c r="B730" s="59"/>
      <c r="C730" s="17"/>
      <c r="D730" s="17"/>
      <c r="E730" s="17"/>
      <c r="F730" s="17"/>
      <c r="G730" s="152"/>
      <c r="H730" s="17"/>
    </row>
    <row r="731">
      <c r="B731" s="59"/>
      <c r="C731" s="17"/>
      <c r="D731" s="17"/>
      <c r="E731" s="17"/>
      <c r="F731" s="17"/>
      <c r="G731" s="152"/>
      <c r="H731" s="17"/>
    </row>
    <row r="732">
      <c r="B732" s="59"/>
      <c r="C732" s="17"/>
      <c r="D732" s="17"/>
      <c r="E732" s="17"/>
      <c r="F732" s="17"/>
      <c r="G732" s="152"/>
      <c r="H732" s="17"/>
    </row>
    <row r="733">
      <c r="B733" s="59"/>
      <c r="C733" s="17"/>
      <c r="D733" s="17"/>
      <c r="E733" s="17"/>
      <c r="F733" s="17"/>
      <c r="G733" s="152"/>
      <c r="H733" s="17"/>
    </row>
    <row r="734">
      <c r="B734" s="59"/>
      <c r="C734" s="17"/>
      <c r="D734" s="17"/>
      <c r="E734" s="17"/>
      <c r="F734" s="17"/>
      <c r="G734" s="152"/>
      <c r="H734" s="17"/>
    </row>
    <row r="735">
      <c r="B735" s="59"/>
      <c r="C735" s="17"/>
      <c r="D735" s="17"/>
      <c r="E735" s="17"/>
      <c r="F735" s="17"/>
      <c r="G735" s="152"/>
      <c r="H735" s="17"/>
    </row>
    <row r="736">
      <c r="B736" s="59"/>
      <c r="C736" s="17"/>
      <c r="D736" s="17"/>
      <c r="E736" s="17"/>
      <c r="F736" s="17"/>
      <c r="G736" s="152"/>
      <c r="H736" s="17"/>
    </row>
    <row r="737">
      <c r="B737" s="59"/>
      <c r="C737" s="17"/>
      <c r="D737" s="17"/>
      <c r="E737" s="17"/>
      <c r="F737" s="17"/>
      <c r="G737" s="152"/>
      <c r="H737" s="17"/>
    </row>
    <row r="738">
      <c r="B738" s="59"/>
      <c r="C738" s="17"/>
      <c r="D738" s="17"/>
      <c r="E738" s="17"/>
      <c r="F738" s="17"/>
      <c r="G738" s="152"/>
      <c r="H738" s="17"/>
    </row>
    <row r="739">
      <c r="B739" s="59"/>
      <c r="C739" s="17"/>
      <c r="D739" s="17"/>
      <c r="E739" s="17"/>
      <c r="F739" s="17"/>
      <c r="G739" s="152"/>
      <c r="H739" s="17"/>
    </row>
    <row r="740">
      <c r="B740" s="59"/>
      <c r="C740" s="17"/>
      <c r="D740" s="17"/>
      <c r="E740" s="17"/>
      <c r="F740" s="17"/>
      <c r="G740" s="152"/>
      <c r="H740" s="17"/>
    </row>
    <row r="741">
      <c r="B741" s="59"/>
      <c r="C741" s="17"/>
      <c r="D741" s="17"/>
      <c r="E741" s="17"/>
      <c r="F741" s="17"/>
      <c r="G741" s="152"/>
      <c r="H741" s="17"/>
    </row>
    <row r="742">
      <c r="B742" s="59"/>
      <c r="C742" s="17"/>
      <c r="D742" s="17"/>
      <c r="E742" s="17"/>
      <c r="F742" s="17"/>
      <c r="G742" s="152"/>
      <c r="H742" s="17"/>
    </row>
    <row r="743">
      <c r="B743" s="59"/>
      <c r="C743" s="17"/>
      <c r="D743" s="17"/>
      <c r="E743" s="17"/>
      <c r="F743" s="17"/>
      <c r="G743" s="152"/>
      <c r="H743" s="17"/>
    </row>
    <row r="744">
      <c r="B744" s="59"/>
      <c r="C744" s="17"/>
      <c r="D744" s="17"/>
      <c r="E744" s="17"/>
      <c r="F744" s="17"/>
      <c r="G744" s="152"/>
      <c r="H744" s="17"/>
    </row>
    <row r="745">
      <c r="B745" s="59"/>
      <c r="C745" s="17"/>
      <c r="D745" s="17"/>
      <c r="E745" s="17"/>
      <c r="F745" s="17"/>
      <c r="G745" s="152"/>
      <c r="H745" s="17"/>
    </row>
    <row r="746">
      <c r="B746" s="59"/>
      <c r="C746" s="17"/>
      <c r="D746" s="17"/>
      <c r="E746" s="17"/>
      <c r="F746" s="17"/>
      <c r="G746" s="152"/>
      <c r="H746" s="17"/>
    </row>
    <row r="747">
      <c r="B747" s="59"/>
      <c r="C747" s="17"/>
      <c r="D747" s="17"/>
      <c r="E747" s="17"/>
      <c r="F747" s="17"/>
      <c r="G747" s="152"/>
      <c r="H747" s="17"/>
    </row>
    <row r="748">
      <c r="B748" s="59"/>
      <c r="C748" s="17"/>
      <c r="D748" s="17"/>
      <c r="E748" s="17"/>
      <c r="F748" s="17"/>
      <c r="G748" s="152"/>
      <c r="H748" s="17"/>
    </row>
    <row r="749">
      <c r="B749" s="59"/>
      <c r="C749" s="17"/>
      <c r="D749" s="17"/>
      <c r="E749" s="17"/>
      <c r="F749" s="17"/>
      <c r="G749" s="152"/>
      <c r="H749" s="17"/>
    </row>
    <row r="750">
      <c r="B750" s="59"/>
      <c r="C750" s="17"/>
      <c r="D750" s="17"/>
      <c r="E750" s="17"/>
      <c r="F750" s="17"/>
      <c r="G750" s="152"/>
      <c r="H750" s="17"/>
    </row>
    <row r="751">
      <c r="B751" s="59"/>
      <c r="C751" s="17"/>
      <c r="D751" s="17"/>
      <c r="E751" s="17"/>
      <c r="F751" s="17"/>
      <c r="G751" s="152"/>
      <c r="H751" s="17"/>
    </row>
    <row r="752">
      <c r="B752" s="59"/>
      <c r="C752" s="17"/>
      <c r="D752" s="17"/>
      <c r="E752" s="17"/>
      <c r="F752" s="17"/>
      <c r="G752" s="152"/>
      <c r="H752" s="17"/>
    </row>
    <row r="753">
      <c r="B753" s="59"/>
      <c r="C753" s="17"/>
      <c r="D753" s="17"/>
      <c r="E753" s="17"/>
      <c r="F753" s="17"/>
      <c r="G753" s="152"/>
      <c r="H753" s="17"/>
    </row>
    <row r="754">
      <c r="B754" s="59"/>
      <c r="C754" s="17"/>
      <c r="D754" s="17"/>
      <c r="E754" s="17"/>
      <c r="F754" s="17"/>
      <c r="G754" s="152"/>
      <c r="H754" s="17"/>
    </row>
    <row r="755">
      <c r="B755" s="59"/>
      <c r="C755" s="17"/>
      <c r="D755" s="17"/>
      <c r="E755" s="17"/>
      <c r="F755" s="17"/>
      <c r="G755" s="152"/>
      <c r="H755" s="17"/>
    </row>
    <row r="756">
      <c r="B756" s="59"/>
      <c r="C756" s="17"/>
      <c r="D756" s="17"/>
      <c r="E756" s="17"/>
      <c r="F756" s="17"/>
      <c r="G756" s="152"/>
      <c r="H756" s="17"/>
    </row>
    <row r="757">
      <c r="B757" s="59"/>
      <c r="C757" s="17"/>
      <c r="D757" s="17"/>
      <c r="E757" s="17"/>
      <c r="F757" s="17"/>
      <c r="G757" s="152"/>
      <c r="H757" s="17"/>
    </row>
    <row r="758">
      <c r="B758" s="59"/>
      <c r="C758" s="17"/>
      <c r="D758" s="17"/>
      <c r="E758" s="17"/>
      <c r="F758" s="17"/>
      <c r="G758" s="152"/>
      <c r="H758" s="17"/>
    </row>
    <row r="759">
      <c r="B759" s="59"/>
      <c r="C759" s="17"/>
      <c r="D759" s="17"/>
      <c r="E759" s="17"/>
      <c r="F759" s="17"/>
      <c r="G759" s="152"/>
      <c r="H759" s="17"/>
    </row>
    <row r="760">
      <c r="B760" s="59"/>
      <c r="C760" s="17"/>
      <c r="D760" s="17"/>
      <c r="E760" s="17"/>
      <c r="F760" s="17"/>
      <c r="G760" s="152"/>
      <c r="H760" s="17"/>
    </row>
    <row r="761">
      <c r="B761" s="59"/>
      <c r="C761" s="17"/>
      <c r="D761" s="17"/>
      <c r="E761" s="17"/>
      <c r="F761" s="17"/>
      <c r="G761" s="152"/>
      <c r="H761" s="17"/>
    </row>
    <row r="762">
      <c r="B762" s="59"/>
      <c r="C762" s="17"/>
      <c r="D762" s="17"/>
      <c r="E762" s="17"/>
      <c r="F762" s="17"/>
      <c r="G762" s="152"/>
      <c r="H762" s="17"/>
    </row>
    <row r="763">
      <c r="B763" s="59"/>
      <c r="C763" s="17"/>
      <c r="D763" s="17"/>
      <c r="E763" s="17"/>
      <c r="F763" s="17"/>
      <c r="G763" s="152"/>
      <c r="H763" s="17"/>
    </row>
    <row r="764">
      <c r="B764" s="59"/>
      <c r="C764" s="17"/>
      <c r="D764" s="17"/>
      <c r="E764" s="17"/>
      <c r="F764" s="17"/>
      <c r="G764" s="152"/>
      <c r="H764" s="17"/>
    </row>
    <row r="765">
      <c r="B765" s="59"/>
      <c r="C765" s="17"/>
      <c r="D765" s="17"/>
      <c r="E765" s="17"/>
      <c r="F765" s="17"/>
      <c r="G765" s="152"/>
      <c r="H765" s="17"/>
    </row>
    <row r="766">
      <c r="B766" s="59"/>
      <c r="C766" s="17"/>
      <c r="D766" s="17"/>
      <c r="E766" s="17"/>
      <c r="F766" s="17"/>
      <c r="G766" s="152"/>
      <c r="H766" s="17"/>
    </row>
    <row r="767">
      <c r="B767" s="59"/>
      <c r="C767" s="17"/>
      <c r="D767" s="17"/>
      <c r="E767" s="17"/>
      <c r="F767" s="17"/>
      <c r="G767" s="152"/>
      <c r="H767" s="17"/>
    </row>
    <row r="768">
      <c r="B768" s="59"/>
      <c r="C768" s="17"/>
      <c r="D768" s="17"/>
      <c r="E768" s="17"/>
      <c r="F768" s="17"/>
      <c r="G768" s="152"/>
      <c r="H768" s="17"/>
    </row>
    <row r="769">
      <c r="B769" s="59"/>
      <c r="C769" s="17"/>
      <c r="D769" s="17"/>
      <c r="E769" s="17"/>
      <c r="F769" s="17"/>
      <c r="G769" s="152"/>
      <c r="H769" s="17"/>
    </row>
    <row r="770">
      <c r="B770" s="59"/>
      <c r="C770" s="17"/>
      <c r="D770" s="17"/>
      <c r="E770" s="17"/>
      <c r="F770" s="17"/>
      <c r="G770" s="152"/>
      <c r="H770" s="17"/>
    </row>
    <row r="771">
      <c r="B771" s="59"/>
      <c r="C771" s="17"/>
      <c r="D771" s="17"/>
      <c r="E771" s="17"/>
      <c r="F771" s="17"/>
      <c r="G771" s="152"/>
      <c r="H771" s="17"/>
    </row>
    <row r="772">
      <c r="B772" s="59"/>
      <c r="C772" s="17"/>
      <c r="D772" s="17"/>
      <c r="E772" s="17"/>
      <c r="F772" s="17"/>
      <c r="G772" s="152"/>
      <c r="H772" s="17"/>
    </row>
    <row r="773">
      <c r="B773" s="59"/>
      <c r="C773" s="17"/>
      <c r="D773" s="17"/>
      <c r="E773" s="17"/>
      <c r="F773" s="17"/>
      <c r="G773" s="152"/>
      <c r="H773" s="17"/>
    </row>
    <row r="774">
      <c r="B774" s="59"/>
      <c r="C774" s="17"/>
      <c r="D774" s="17"/>
      <c r="E774" s="17"/>
      <c r="F774" s="17"/>
      <c r="G774" s="152"/>
      <c r="H774" s="17"/>
    </row>
    <row r="775">
      <c r="B775" s="59"/>
      <c r="C775" s="17"/>
      <c r="D775" s="17"/>
      <c r="E775" s="17"/>
      <c r="F775" s="17"/>
      <c r="G775" s="152"/>
      <c r="H775" s="17"/>
    </row>
    <row r="776">
      <c r="B776" s="59"/>
      <c r="C776" s="17"/>
      <c r="D776" s="17"/>
      <c r="E776" s="17"/>
      <c r="F776" s="17"/>
      <c r="G776" s="152"/>
      <c r="H776" s="17"/>
    </row>
    <row r="777">
      <c r="B777" s="59"/>
      <c r="C777" s="17"/>
      <c r="D777" s="17"/>
      <c r="E777" s="17"/>
      <c r="F777" s="17"/>
      <c r="G777" s="152"/>
      <c r="H777" s="17"/>
    </row>
    <row r="778">
      <c r="B778" s="59"/>
      <c r="C778" s="17"/>
      <c r="D778" s="17"/>
      <c r="E778" s="17"/>
      <c r="F778" s="17"/>
      <c r="G778" s="152"/>
      <c r="H778" s="17"/>
    </row>
    <row r="779">
      <c r="B779" s="59"/>
      <c r="C779" s="17"/>
      <c r="D779" s="17"/>
      <c r="E779" s="17"/>
      <c r="F779" s="17"/>
      <c r="G779" s="152"/>
      <c r="H779" s="17"/>
    </row>
    <row r="780">
      <c r="B780" s="59"/>
      <c r="C780" s="17"/>
      <c r="D780" s="17"/>
      <c r="E780" s="17"/>
      <c r="F780" s="17"/>
      <c r="G780" s="152"/>
      <c r="H780" s="17"/>
    </row>
    <row r="781">
      <c r="B781" s="59"/>
      <c r="C781" s="17"/>
      <c r="D781" s="17"/>
      <c r="E781" s="17"/>
      <c r="F781" s="17"/>
      <c r="G781" s="152"/>
      <c r="H781" s="17"/>
    </row>
    <row r="782">
      <c r="B782" s="59"/>
      <c r="C782" s="17"/>
      <c r="D782" s="17"/>
      <c r="E782" s="17"/>
      <c r="F782" s="17"/>
      <c r="G782" s="152"/>
      <c r="H782" s="17"/>
    </row>
    <row r="783">
      <c r="B783" s="59"/>
      <c r="C783" s="17"/>
      <c r="D783" s="17"/>
      <c r="E783" s="17"/>
      <c r="F783" s="17"/>
      <c r="G783" s="152"/>
      <c r="H783" s="17"/>
    </row>
    <row r="784">
      <c r="B784" s="59"/>
      <c r="C784" s="17"/>
      <c r="D784" s="17"/>
      <c r="E784" s="17"/>
      <c r="F784" s="17"/>
      <c r="G784" s="152"/>
      <c r="H784" s="17"/>
    </row>
    <row r="785">
      <c r="B785" s="59"/>
      <c r="C785" s="17"/>
      <c r="D785" s="17"/>
      <c r="E785" s="17"/>
      <c r="F785" s="17"/>
      <c r="G785" s="152"/>
      <c r="H785" s="17"/>
    </row>
    <row r="786">
      <c r="B786" s="59"/>
      <c r="C786" s="17"/>
      <c r="D786" s="17"/>
      <c r="E786" s="17"/>
      <c r="F786" s="17"/>
      <c r="G786" s="152"/>
      <c r="H786" s="17"/>
    </row>
    <row r="787">
      <c r="B787" s="59"/>
      <c r="C787" s="17"/>
      <c r="D787" s="17"/>
      <c r="E787" s="17"/>
      <c r="F787" s="17"/>
      <c r="G787" s="152"/>
      <c r="H787" s="17"/>
    </row>
    <row r="788">
      <c r="B788" s="59"/>
      <c r="C788" s="17"/>
      <c r="D788" s="17"/>
      <c r="E788" s="17"/>
      <c r="F788" s="17"/>
      <c r="G788" s="152"/>
      <c r="H788" s="17"/>
    </row>
    <row r="789">
      <c r="B789" s="59"/>
      <c r="C789" s="17"/>
      <c r="D789" s="17"/>
      <c r="E789" s="17"/>
      <c r="F789" s="17"/>
      <c r="G789" s="152"/>
      <c r="H789" s="17"/>
    </row>
    <row r="790">
      <c r="B790" s="59"/>
      <c r="C790" s="17"/>
      <c r="D790" s="17"/>
      <c r="E790" s="17"/>
      <c r="F790" s="17"/>
      <c r="G790" s="152"/>
      <c r="H790" s="17"/>
    </row>
    <row r="791">
      <c r="B791" s="59"/>
      <c r="C791" s="17"/>
      <c r="D791" s="17"/>
      <c r="E791" s="17"/>
      <c r="F791" s="17"/>
      <c r="G791" s="152"/>
      <c r="H791" s="17"/>
    </row>
    <row r="792">
      <c r="B792" s="59"/>
      <c r="C792" s="17"/>
      <c r="D792" s="17"/>
      <c r="E792" s="17"/>
      <c r="F792" s="17"/>
      <c r="G792" s="152"/>
      <c r="H792" s="17"/>
    </row>
    <row r="793">
      <c r="B793" s="59"/>
      <c r="C793" s="17"/>
      <c r="D793" s="17"/>
      <c r="E793" s="17"/>
      <c r="F793" s="17"/>
      <c r="G793" s="152"/>
      <c r="H793" s="17"/>
    </row>
    <row r="794">
      <c r="B794" s="59"/>
      <c r="C794" s="17"/>
      <c r="D794" s="17"/>
      <c r="E794" s="17"/>
      <c r="F794" s="17"/>
      <c r="G794" s="152"/>
      <c r="H794" s="17"/>
    </row>
    <row r="795">
      <c r="B795" s="59"/>
      <c r="C795" s="17"/>
      <c r="D795" s="17"/>
      <c r="E795" s="17"/>
      <c r="F795" s="17"/>
      <c r="G795" s="152"/>
      <c r="H795" s="17"/>
    </row>
    <row r="796">
      <c r="B796" s="59"/>
      <c r="C796" s="17"/>
      <c r="D796" s="17"/>
      <c r="E796" s="17"/>
      <c r="F796" s="17"/>
      <c r="G796" s="152"/>
      <c r="H796" s="17"/>
    </row>
    <row r="797">
      <c r="B797" s="59"/>
      <c r="C797" s="17"/>
      <c r="D797" s="17"/>
      <c r="E797" s="17"/>
      <c r="F797" s="17"/>
      <c r="G797" s="152"/>
      <c r="H797" s="17"/>
    </row>
    <row r="798">
      <c r="B798" s="59"/>
      <c r="C798" s="17"/>
      <c r="D798" s="17"/>
      <c r="E798" s="17"/>
      <c r="F798" s="17"/>
      <c r="G798" s="152"/>
      <c r="H798" s="17"/>
    </row>
    <row r="799">
      <c r="B799" s="59"/>
      <c r="C799" s="17"/>
      <c r="D799" s="17"/>
      <c r="E799" s="17"/>
      <c r="F799" s="17"/>
      <c r="G799" s="152"/>
      <c r="H799" s="17"/>
    </row>
    <row r="800">
      <c r="B800" s="59"/>
      <c r="C800" s="17"/>
      <c r="D800" s="17"/>
      <c r="E800" s="17"/>
      <c r="F800" s="17"/>
      <c r="G800" s="152"/>
      <c r="H800" s="17"/>
    </row>
    <row r="801">
      <c r="B801" s="59"/>
      <c r="C801" s="17"/>
      <c r="D801" s="17"/>
      <c r="E801" s="17"/>
      <c r="F801" s="17"/>
      <c r="G801" s="152"/>
      <c r="H801" s="17"/>
    </row>
    <row r="802">
      <c r="B802" s="59"/>
      <c r="C802" s="17"/>
      <c r="D802" s="17"/>
      <c r="E802" s="17"/>
      <c r="F802" s="17"/>
      <c r="G802" s="152"/>
      <c r="H802" s="17"/>
    </row>
    <row r="803">
      <c r="B803" s="59"/>
      <c r="C803" s="17"/>
      <c r="D803" s="17"/>
      <c r="E803" s="17"/>
      <c r="F803" s="17"/>
      <c r="G803" s="152"/>
      <c r="H803" s="17"/>
    </row>
    <row r="804">
      <c r="B804" s="59"/>
      <c r="C804" s="17"/>
      <c r="D804" s="17"/>
      <c r="E804" s="17"/>
      <c r="F804" s="17"/>
      <c r="G804" s="152"/>
      <c r="H804" s="17"/>
    </row>
    <row r="805">
      <c r="B805" s="59"/>
      <c r="C805" s="17"/>
      <c r="D805" s="17"/>
      <c r="E805" s="17"/>
      <c r="F805" s="17"/>
      <c r="G805" s="152"/>
      <c r="H805" s="17"/>
    </row>
    <row r="806">
      <c r="B806" s="59"/>
      <c r="C806" s="17"/>
      <c r="D806" s="17"/>
      <c r="E806" s="17"/>
      <c r="F806" s="17"/>
      <c r="G806" s="152"/>
      <c r="H806" s="17"/>
    </row>
    <row r="807">
      <c r="B807" s="59"/>
      <c r="C807" s="17"/>
      <c r="D807" s="17"/>
      <c r="E807" s="17"/>
      <c r="F807" s="17"/>
      <c r="G807" s="152"/>
      <c r="H807" s="17"/>
    </row>
    <row r="808">
      <c r="B808" s="59"/>
      <c r="C808" s="17"/>
      <c r="D808" s="17"/>
      <c r="E808" s="17"/>
      <c r="F808" s="17"/>
      <c r="G808" s="152"/>
      <c r="H808" s="17"/>
    </row>
    <row r="809">
      <c r="B809" s="59"/>
      <c r="C809" s="17"/>
      <c r="D809" s="17"/>
      <c r="E809" s="17"/>
      <c r="F809" s="17"/>
      <c r="G809" s="152"/>
      <c r="H809" s="17"/>
    </row>
    <row r="810">
      <c r="B810" s="59"/>
      <c r="C810" s="17"/>
      <c r="D810" s="17"/>
      <c r="E810" s="17"/>
      <c r="F810" s="17"/>
      <c r="G810" s="152"/>
      <c r="H810" s="17"/>
    </row>
    <row r="811">
      <c r="B811" s="59"/>
      <c r="C811" s="17"/>
      <c r="D811" s="17"/>
      <c r="E811" s="17"/>
      <c r="F811" s="17"/>
      <c r="G811" s="152"/>
      <c r="H811" s="17"/>
    </row>
    <row r="812">
      <c r="B812" s="59"/>
      <c r="C812" s="17"/>
      <c r="D812" s="17"/>
      <c r="E812" s="17"/>
      <c r="F812" s="17"/>
      <c r="G812" s="152"/>
      <c r="H812" s="17"/>
    </row>
    <row r="813">
      <c r="B813" s="59"/>
      <c r="C813" s="17"/>
      <c r="D813" s="17"/>
      <c r="E813" s="17"/>
      <c r="F813" s="17"/>
      <c r="G813" s="152"/>
      <c r="H813" s="17"/>
    </row>
    <row r="814">
      <c r="B814" s="59"/>
      <c r="C814" s="17"/>
      <c r="D814" s="17"/>
      <c r="E814" s="17"/>
      <c r="F814" s="17"/>
      <c r="G814" s="152"/>
      <c r="H814" s="17"/>
    </row>
    <row r="815">
      <c r="B815" s="59"/>
      <c r="C815" s="17"/>
      <c r="D815" s="17"/>
      <c r="E815" s="17"/>
      <c r="F815" s="17"/>
      <c r="G815" s="152"/>
      <c r="H815" s="17"/>
    </row>
    <row r="816">
      <c r="B816" s="59"/>
      <c r="C816" s="17"/>
      <c r="D816" s="17"/>
      <c r="E816" s="17"/>
      <c r="F816" s="17"/>
      <c r="G816" s="152"/>
      <c r="H816" s="17"/>
    </row>
    <row r="817">
      <c r="B817" s="59"/>
      <c r="C817" s="17"/>
      <c r="D817" s="17"/>
      <c r="E817" s="17"/>
      <c r="F817" s="17"/>
      <c r="G817" s="152"/>
      <c r="H817" s="17"/>
    </row>
    <row r="818">
      <c r="B818" s="59"/>
      <c r="C818" s="17"/>
      <c r="D818" s="17"/>
      <c r="E818" s="17"/>
      <c r="F818" s="17"/>
      <c r="G818" s="152"/>
      <c r="H818" s="17"/>
    </row>
    <row r="819">
      <c r="B819" s="59"/>
      <c r="C819" s="17"/>
      <c r="D819" s="17"/>
      <c r="E819" s="17"/>
      <c r="F819" s="17"/>
      <c r="G819" s="152"/>
      <c r="H819" s="17"/>
    </row>
    <row r="820">
      <c r="B820" s="59"/>
      <c r="C820" s="17"/>
      <c r="D820" s="17"/>
      <c r="E820" s="17"/>
      <c r="F820" s="17"/>
      <c r="G820" s="152"/>
      <c r="H820" s="17"/>
    </row>
    <row r="821">
      <c r="B821" s="59"/>
      <c r="C821" s="17"/>
      <c r="D821" s="17"/>
      <c r="E821" s="17"/>
      <c r="F821" s="17"/>
      <c r="G821" s="152"/>
      <c r="H821" s="17"/>
    </row>
    <row r="822">
      <c r="B822" s="59"/>
      <c r="C822" s="17"/>
      <c r="D822" s="17"/>
      <c r="E822" s="17"/>
      <c r="F822" s="17"/>
      <c r="G822" s="152"/>
      <c r="H822" s="17"/>
    </row>
    <row r="823">
      <c r="B823" s="59"/>
      <c r="C823" s="17"/>
      <c r="D823" s="17"/>
      <c r="E823" s="17"/>
      <c r="F823" s="17"/>
      <c r="G823" s="152"/>
      <c r="H823" s="17"/>
    </row>
    <row r="824">
      <c r="B824" s="59"/>
      <c r="C824" s="17"/>
      <c r="D824" s="17"/>
      <c r="E824" s="17"/>
      <c r="F824" s="17"/>
      <c r="G824" s="152"/>
      <c r="H824" s="17"/>
    </row>
    <row r="825">
      <c r="B825" s="59"/>
      <c r="C825" s="17"/>
      <c r="D825" s="17"/>
      <c r="E825" s="17"/>
      <c r="F825" s="17"/>
      <c r="G825" s="152"/>
      <c r="H825" s="17"/>
    </row>
    <row r="826">
      <c r="B826" s="59"/>
      <c r="C826" s="17"/>
      <c r="D826" s="17"/>
      <c r="E826" s="17"/>
      <c r="F826" s="17"/>
      <c r="G826" s="152"/>
      <c r="H826" s="17"/>
    </row>
    <row r="827">
      <c r="B827" s="59"/>
      <c r="C827" s="17"/>
      <c r="D827" s="17"/>
      <c r="E827" s="17"/>
      <c r="F827" s="17"/>
      <c r="G827" s="152"/>
      <c r="H827" s="17"/>
    </row>
    <row r="828">
      <c r="B828" s="59"/>
      <c r="C828" s="17"/>
      <c r="D828" s="17"/>
      <c r="E828" s="17"/>
      <c r="F828" s="17"/>
      <c r="G828" s="152"/>
      <c r="H828" s="17"/>
    </row>
    <row r="829">
      <c r="B829" s="59"/>
      <c r="C829" s="17"/>
      <c r="D829" s="17"/>
      <c r="E829" s="17"/>
      <c r="F829" s="17"/>
      <c r="G829" s="152"/>
      <c r="H829" s="17"/>
    </row>
    <row r="830">
      <c r="B830" s="59"/>
      <c r="C830" s="17"/>
      <c r="D830" s="17"/>
      <c r="E830" s="17"/>
      <c r="F830" s="17"/>
      <c r="G830" s="152"/>
      <c r="H830" s="17"/>
    </row>
    <row r="831">
      <c r="B831" s="59"/>
      <c r="C831" s="17"/>
      <c r="D831" s="17"/>
      <c r="E831" s="17"/>
      <c r="F831" s="17"/>
      <c r="G831" s="152"/>
      <c r="H831" s="17"/>
    </row>
    <row r="832">
      <c r="B832" s="59"/>
      <c r="C832" s="17"/>
      <c r="D832" s="17"/>
      <c r="E832" s="17"/>
      <c r="F832" s="17"/>
      <c r="G832" s="152"/>
      <c r="H832" s="17"/>
    </row>
    <row r="833">
      <c r="B833" s="59"/>
      <c r="C833" s="17"/>
      <c r="D833" s="17"/>
      <c r="E833" s="17"/>
      <c r="F833" s="17"/>
      <c r="G833" s="152"/>
      <c r="H833" s="17"/>
    </row>
    <row r="834">
      <c r="B834" s="59"/>
      <c r="C834" s="17"/>
      <c r="D834" s="17"/>
      <c r="E834" s="17"/>
      <c r="F834" s="17"/>
      <c r="G834" s="152"/>
      <c r="H834" s="17"/>
    </row>
    <row r="835">
      <c r="B835" s="59"/>
      <c r="C835" s="17"/>
      <c r="D835" s="17"/>
      <c r="E835" s="17"/>
      <c r="F835" s="17"/>
      <c r="G835" s="152"/>
      <c r="H835" s="17"/>
    </row>
    <row r="836">
      <c r="B836" s="59"/>
      <c r="C836" s="17"/>
      <c r="D836" s="17"/>
      <c r="E836" s="17"/>
      <c r="F836" s="17"/>
      <c r="G836" s="152"/>
      <c r="H836" s="17"/>
    </row>
    <row r="837">
      <c r="B837" s="59"/>
      <c r="C837" s="17"/>
      <c r="D837" s="17"/>
      <c r="E837" s="17"/>
      <c r="F837" s="17"/>
      <c r="G837" s="152"/>
      <c r="H837" s="17"/>
    </row>
    <row r="838">
      <c r="B838" s="59"/>
      <c r="C838" s="17"/>
      <c r="D838" s="17"/>
      <c r="E838" s="17"/>
      <c r="F838" s="17"/>
      <c r="G838" s="152"/>
      <c r="H838" s="17"/>
    </row>
    <row r="839">
      <c r="B839" s="59"/>
      <c r="C839" s="17"/>
      <c r="D839" s="17"/>
      <c r="E839" s="17"/>
      <c r="F839" s="17"/>
      <c r="G839" s="152"/>
      <c r="H839" s="17"/>
    </row>
    <row r="840">
      <c r="B840" s="59"/>
      <c r="C840" s="17"/>
      <c r="D840" s="17"/>
      <c r="E840" s="17"/>
      <c r="F840" s="17"/>
      <c r="G840" s="152"/>
      <c r="H840" s="17"/>
    </row>
    <row r="841">
      <c r="B841" s="59"/>
      <c r="C841" s="17"/>
      <c r="D841" s="17"/>
      <c r="E841" s="17"/>
      <c r="F841" s="17"/>
      <c r="G841" s="152"/>
      <c r="H841" s="17"/>
    </row>
    <row r="842">
      <c r="B842" s="59"/>
      <c r="C842" s="17"/>
      <c r="D842" s="17"/>
      <c r="E842" s="17"/>
      <c r="F842" s="17"/>
      <c r="G842" s="152"/>
      <c r="H842" s="17"/>
    </row>
    <row r="843">
      <c r="B843" s="59"/>
      <c r="C843" s="17"/>
      <c r="D843" s="17"/>
      <c r="E843" s="17"/>
      <c r="F843" s="17"/>
      <c r="G843" s="152"/>
      <c r="H843" s="17"/>
    </row>
    <row r="844">
      <c r="B844" s="59"/>
      <c r="C844" s="17"/>
      <c r="D844" s="17"/>
      <c r="E844" s="17"/>
      <c r="F844" s="17"/>
      <c r="G844" s="152"/>
      <c r="H844" s="17"/>
    </row>
    <row r="845">
      <c r="B845" s="59"/>
      <c r="C845" s="17"/>
      <c r="D845" s="17"/>
      <c r="E845" s="17"/>
      <c r="F845" s="17"/>
      <c r="G845" s="152"/>
      <c r="H845" s="17"/>
    </row>
    <row r="846">
      <c r="B846" s="59"/>
      <c r="C846" s="17"/>
      <c r="D846" s="17"/>
      <c r="E846" s="17"/>
      <c r="F846" s="17"/>
      <c r="G846" s="152"/>
      <c r="H846" s="17"/>
    </row>
    <row r="847">
      <c r="B847" s="59"/>
      <c r="C847" s="17"/>
      <c r="D847" s="17"/>
      <c r="E847" s="17"/>
      <c r="F847" s="17"/>
      <c r="G847" s="152"/>
      <c r="H847" s="17"/>
    </row>
    <row r="848">
      <c r="B848" s="59"/>
      <c r="C848" s="17"/>
      <c r="D848" s="17"/>
      <c r="E848" s="17"/>
      <c r="F848" s="17"/>
      <c r="G848" s="152"/>
      <c r="H848" s="17"/>
    </row>
    <row r="849">
      <c r="B849" s="59"/>
      <c r="C849" s="17"/>
      <c r="D849" s="17"/>
      <c r="E849" s="17"/>
      <c r="F849" s="17"/>
      <c r="G849" s="152"/>
      <c r="H849" s="17"/>
    </row>
    <row r="850">
      <c r="B850" s="59"/>
      <c r="C850" s="17"/>
      <c r="D850" s="17"/>
      <c r="E850" s="17"/>
      <c r="F850" s="17"/>
      <c r="G850" s="152"/>
      <c r="H850" s="17"/>
    </row>
    <row r="851">
      <c r="B851" s="59"/>
      <c r="C851" s="17"/>
      <c r="D851" s="17"/>
      <c r="E851" s="17"/>
      <c r="F851" s="17"/>
      <c r="G851" s="152"/>
      <c r="H851" s="17"/>
    </row>
    <row r="852">
      <c r="B852" s="59"/>
      <c r="C852" s="17"/>
      <c r="D852" s="17"/>
      <c r="E852" s="17"/>
      <c r="F852" s="17"/>
      <c r="G852" s="152"/>
      <c r="H852" s="17"/>
    </row>
    <row r="853">
      <c r="B853" s="59"/>
      <c r="C853" s="17"/>
      <c r="D853" s="17"/>
      <c r="E853" s="17"/>
      <c r="F853" s="17"/>
      <c r="G853" s="152"/>
      <c r="H853" s="17"/>
    </row>
    <row r="854">
      <c r="B854" s="59"/>
      <c r="C854" s="17"/>
      <c r="D854" s="17"/>
      <c r="E854" s="17"/>
      <c r="F854" s="17"/>
      <c r="G854" s="152"/>
      <c r="H854" s="17"/>
    </row>
    <row r="855">
      <c r="B855" s="59"/>
      <c r="C855" s="17"/>
      <c r="D855" s="17"/>
      <c r="E855" s="17"/>
      <c r="F855" s="17"/>
      <c r="G855" s="152"/>
      <c r="H855" s="17"/>
    </row>
    <row r="856">
      <c r="B856" s="59"/>
      <c r="C856" s="17"/>
      <c r="D856" s="17"/>
      <c r="E856" s="17"/>
      <c r="F856" s="17"/>
      <c r="G856" s="152"/>
      <c r="H856" s="17"/>
    </row>
    <row r="857">
      <c r="B857" s="59"/>
      <c r="C857" s="17"/>
      <c r="D857" s="17"/>
      <c r="E857" s="17"/>
      <c r="F857" s="17"/>
      <c r="G857" s="152"/>
      <c r="H857" s="17"/>
    </row>
    <row r="858">
      <c r="B858" s="59"/>
      <c r="C858" s="17"/>
      <c r="D858" s="17"/>
      <c r="E858" s="17"/>
      <c r="F858" s="17"/>
      <c r="G858" s="152"/>
      <c r="H858" s="17"/>
    </row>
    <row r="859">
      <c r="B859" s="59"/>
      <c r="C859" s="17"/>
      <c r="D859" s="17"/>
      <c r="E859" s="17"/>
      <c r="F859" s="17"/>
      <c r="G859" s="152"/>
      <c r="H859" s="17"/>
    </row>
    <row r="860">
      <c r="B860" s="59"/>
      <c r="C860" s="17"/>
      <c r="D860" s="17"/>
      <c r="E860" s="17"/>
      <c r="F860" s="17"/>
      <c r="G860" s="152"/>
      <c r="H860" s="17"/>
    </row>
    <row r="861">
      <c r="B861" s="59"/>
      <c r="C861" s="17"/>
      <c r="D861" s="17"/>
      <c r="E861" s="17"/>
      <c r="F861" s="17"/>
      <c r="G861" s="152"/>
      <c r="H861" s="17"/>
    </row>
    <row r="862">
      <c r="B862" s="59"/>
      <c r="C862" s="17"/>
      <c r="D862" s="17"/>
      <c r="E862" s="17"/>
      <c r="F862" s="17"/>
      <c r="G862" s="152"/>
      <c r="H862" s="17"/>
    </row>
    <row r="863">
      <c r="B863" s="59"/>
      <c r="C863" s="17"/>
      <c r="D863" s="17"/>
      <c r="E863" s="17"/>
      <c r="F863" s="17"/>
      <c r="G863" s="152"/>
      <c r="H863" s="17"/>
    </row>
    <row r="864">
      <c r="B864" s="59"/>
      <c r="C864" s="17"/>
      <c r="D864" s="17"/>
      <c r="E864" s="17"/>
      <c r="F864" s="17"/>
      <c r="G864" s="152"/>
      <c r="H864" s="17"/>
    </row>
    <row r="865">
      <c r="B865" s="59"/>
      <c r="C865" s="17"/>
      <c r="D865" s="17"/>
      <c r="E865" s="17"/>
      <c r="F865" s="17"/>
      <c r="G865" s="152"/>
      <c r="H865" s="17"/>
    </row>
    <row r="866">
      <c r="B866" s="59"/>
      <c r="C866" s="17"/>
      <c r="D866" s="17"/>
      <c r="E866" s="17"/>
      <c r="F866" s="17"/>
      <c r="G866" s="152"/>
      <c r="H866" s="17"/>
    </row>
    <row r="867">
      <c r="B867" s="59"/>
      <c r="C867" s="17"/>
      <c r="D867" s="17"/>
      <c r="E867" s="17"/>
      <c r="F867" s="17"/>
      <c r="G867" s="152"/>
      <c r="H867" s="17"/>
    </row>
    <row r="868">
      <c r="B868" s="59"/>
      <c r="C868" s="17"/>
      <c r="D868" s="17"/>
      <c r="E868" s="17"/>
      <c r="F868" s="17"/>
      <c r="G868" s="152"/>
      <c r="H868" s="17"/>
    </row>
    <row r="869">
      <c r="B869" s="59"/>
      <c r="C869" s="17"/>
      <c r="D869" s="17"/>
      <c r="E869" s="17"/>
      <c r="F869" s="17"/>
      <c r="G869" s="152"/>
      <c r="H869" s="17"/>
    </row>
    <row r="870">
      <c r="B870" s="59"/>
      <c r="C870" s="17"/>
      <c r="D870" s="17"/>
      <c r="E870" s="17"/>
      <c r="F870" s="17"/>
      <c r="G870" s="152"/>
      <c r="H870" s="17"/>
    </row>
    <row r="871">
      <c r="B871" s="59"/>
      <c r="C871" s="17"/>
      <c r="D871" s="17"/>
      <c r="E871" s="17"/>
      <c r="F871" s="17"/>
      <c r="G871" s="152"/>
      <c r="H871" s="17"/>
    </row>
    <row r="872">
      <c r="B872" s="59"/>
      <c r="C872" s="17"/>
      <c r="D872" s="17"/>
      <c r="E872" s="17"/>
      <c r="F872" s="17"/>
      <c r="G872" s="152"/>
      <c r="H872" s="17"/>
    </row>
    <row r="873">
      <c r="B873" s="59"/>
      <c r="C873" s="17"/>
      <c r="D873" s="17"/>
      <c r="E873" s="17"/>
      <c r="F873" s="17"/>
      <c r="G873" s="152"/>
      <c r="H873" s="17"/>
    </row>
    <row r="874">
      <c r="B874" s="59"/>
      <c r="C874" s="17"/>
      <c r="D874" s="17"/>
      <c r="E874" s="17"/>
      <c r="F874" s="17"/>
      <c r="G874" s="152"/>
      <c r="H874" s="17"/>
    </row>
    <row r="875">
      <c r="B875" s="59"/>
      <c r="C875" s="17"/>
      <c r="D875" s="17"/>
      <c r="E875" s="17"/>
      <c r="F875" s="17"/>
      <c r="G875" s="152"/>
      <c r="H875" s="17"/>
    </row>
    <row r="876">
      <c r="B876" s="59"/>
      <c r="C876" s="17"/>
      <c r="D876" s="17"/>
      <c r="E876" s="17"/>
      <c r="F876" s="17"/>
      <c r="G876" s="152"/>
      <c r="H876" s="17"/>
    </row>
    <row r="877">
      <c r="B877" s="59"/>
      <c r="C877" s="17"/>
      <c r="D877" s="17"/>
      <c r="E877" s="17"/>
      <c r="F877" s="17"/>
      <c r="G877" s="152"/>
      <c r="H877" s="17"/>
    </row>
    <row r="878">
      <c r="B878" s="59"/>
      <c r="C878" s="17"/>
      <c r="D878" s="17"/>
      <c r="E878" s="17"/>
      <c r="F878" s="17"/>
      <c r="G878" s="152"/>
      <c r="H878" s="17"/>
    </row>
    <row r="879">
      <c r="B879" s="59"/>
      <c r="C879" s="17"/>
      <c r="D879" s="17"/>
      <c r="E879" s="17"/>
      <c r="F879" s="17"/>
      <c r="G879" s="152"/>
      <c r="H879" s="17"/>
    </row>
    <row r="880">
      <c r="B880" s="59"/>
      <c r="C880" s="17"/>
      <c r="D880" s="17"/>
      <c r="E880" s="17"/>
      <c r="F880" s="17"/>
      <c r="G880" s="152"/>
      <c r="H880" s="17"/>
    </row>
    <row r="881">
      <c r="B881" s="59"/>
      <c r="C881" s="17"/>
      <c r="D881" s="17"/>
      <c r="E881" s="17"/>
      <c r="F881" s="17"/>
      <c r="G881" s="152"/>
      <c r="H881" s="17"/>
    </row>
    <row r="882">
      <c r="B882" s="59"/>
      <c r="C882" s="17"/>
      <c r="D882" s="17"/>
      <c r="E882" s="17"/>
      <c r="F882" s="17"/>
      <c r="G882" s="152"/>
      <c r="H882" s="17"/>
    </row>
    <row r="883">
      <c r="B883" s="59"/>
      <c r="C883" s="17"/>
      <c r="D883" s="17"/>
      <c r="E883" s="17"/>
      <c r="F883" s="17"/>
      <c r="G883" s="152"/>
      <c r="H883" s="17"/>
    </row>
    <row r="884">
      <c r="B884" s="59"/>
      <c r="C884" s="17"/>
      <c r="D884" s="17"/>
      <c r="E884" s="17"/>
      <c r="F884" s="17"/>
      <c r="G884" s="152"/>
      <c r="H884" s="17"/>
    </row>
    <row r="885">
      <c r="B885" s="59"/>
      <c r="C885" s="17"/>
      <c r="D885" s="17"/>
      <c r="E885" s="17"/>
      <c r="F885" s="17"/>
      <c r="G885" s="152"/>
      <c r="H885" s="17"/>
    </row>
    <row r="886">
      <c r="B886" s="59"/>
      <c r="C886" s="17"/>
      <c r="D886" s="17"/>
      <c r="E886" s="17"/>
      <c r="F886" s="17"/>
      <c r="G886" s="152"/>
      <c r="H886" s="17"/>
    </row>
    <row r="887">
      <c r="B887" s="59"/>
      <c r="C887" s="17"/>
      <c r="D887" s="17"/>
      <c r="E887" s="17"/>
      <c r="F887" s="17"/>
      <c r="G887" s="152"/>
      <c r="H887" s="17"/>
    </row>
    <row r="888">
      <c r="B888" s="59"/>
      <c r="C888" s="17"/>
      <c r="D888" s="17"/>
      <c r="E888" s="17"/>
      <c r="F888" s="17"/>
      <c r="G888" s="152"/>
      <c r="H888" s="17"/>
    </row>
    <row r="889">
      <c r="B889" s="59"/>
      <c r="C889" s="17"/>
      <c r="D889" s="17"/>
      <c r="E889" s="17"/>
      <c r="F889" s="17"/>
      <c r="G889" s="152"/>
      <c r="H889" s="17"/>
    </row>
    <row r="890">
      <c r="B890" s="59"/>
      <c r="C890" s="17"/>
      <c r="D890" s="17"/>
      <c r="E890" s="17"/>
      <c r="F890" s="17"/>
      <c r="G890" s="152"/>
      <c r="H890" s="17"/>
    </row>
    <row r="891">
      <c r="B891" s="59"/>
      <c r="C891" s="17"/>
      <c r="D891" s="17"/>
      <c r="E891" s="17"/>
      <c r="F891" s="17"/>
      <c r="G891" s="152"/>
      <c r="H891" s="17"/>
    </row>
    <row r="892">
      <c r="B892" s="59"/>
      <c r="C892" s="17"/>
      <c r="D892" s="17"/>
      <c r="E892" s="17"/>
      <c r="F892" s="17"/>
      <c r="G892" s="152"/>
      <c r="H892" s="17"/>
    </row>
    <row r="893">
      <c r="B893" s="59"/>
      <c r="C893" s="17"/>
      <c r="D893" s="17"/>
      <c r="E893" s="17"/>
      <c r="F893" s="17"/>
      <c r="G893" s="152"/>
      <c r="H893" s="17"/>
    </row>
    <row r="894">
      <c r="B894" s="59"/>
      <c r="C894" s="17"/>
      <c r="D894" s="17"/>
      <c r="E894" s="17"/>
      <c r="F894" s="17"/>
      <c r="G894" s="152"/>
      <c r="H894" s="17"/>
    </row>
    <row r="895">
      <c r="B895" s="59"/>
      <c r="C895" s="17"/>
      <c r="D895" s="17"/>
      <c r="E895" s="17"/>
      <c r="F895" s="17"/>
      <c r="G895" s="152"/>
      <c r="H895" s="17"/>
    </row>
    <row r="896">
      <c r="B896" s="59"/>
      <c r="C896" s="17"/>
      <c r="D896" s="17"/>
      <c r="E896" s="17"/>
      <c r="F896" s="17"/>
      <c r="G896" s="152"/>
      <c r="H896" s="17"/>
    </row>
    <row r="897">
      <c r="B897" s="59"/>
      <c r="C897" s="17"/>
      <c r="D897" s="17"/>
      <c r="E897" s="17"/>
      <c r="F897" s="17"/>
      <c r="G897" s="152"/>
      <c r="H897" s="17"/>
    </row>
    <row r="898">
      <c r="B898" s="59"/>
      <c r="C898" s="17"/>
      <c r="D898" s="17"/>
      <c r="E898" s="17"/>
      <c r="F898" s="17"/>
      <c r="G898" s="152"/>
      <c r="H898" s="17"/>
    </row>
    <row r="899">
      <c r="B899" s="59"/>
      <c r="C899" s="17"/>
      <c r="D899" s="17"/>
      <c r="E899" s="17"/>
      <c r="F899" s="17"/>
      <c r="G899" s="152"/>
      <c r="H899" s="17"/>
    </row>
    <row r="900">
      <c r="B900" s="59"/>
      <c r="C900" s="17"/>
      <c r="D900" s="17"/>
      <c r="E900" s="17"/>
      <c r="F900" s="17"/>
      <c r="G900" s="152"/>
      <c r="H900" s="17"/>
    </row>
    <row r="901">
      <c r="B901" s="59"/>
      <c r="C901" s="17"/>
      <c r="D901" s="17"/>
      <c r="E901" s="17"/>
      <c r="F901" s="17"/>
      <c r="G901" s="152"/>
      <c r="H901" s="17"/>
    </row>
    <row r="902">
      <c r="B902" s="59"/>
      <c r="C902" s="17"/>
      <c r="D902" s="17"/>
      <c r="E902" s="17"/>
      <c r="F902" s="17"/>
      <c r="G902" s="152"/>
      <c r="H902" s="17"/>
    </row>
    <row r="903">
      <c r="B903" s="59"/>
      <c r="C903" s="17"/>
      <c r="D903" s="17"/>
      <c r="E903" s="17"/>
      <c r="F903" s="17"/>
      <c r="G903" s="152"/>
      <c r="H903" s="17"/>
    </row>
    <row r="904">
      <c r="B904" s="59"/>
      <c r="C904" s="17"/>
      <c r="D904" s="17"/>
      <c r="E904" s="17"/>
      <c r="F904" s="17"/>
      <c r="G904" s="152"/>
      <c r="H904" s="17"/>
    </row>
    <row r="905">
      <c r="B905" s="59"/>
      <c r="C905" s="17"/>
      <c r="D905" s="17"/>
      <c r="E905" s="17"/>
      <c r="F905" s="17"/>
      <c r="G905" s="152"/>
      <c r="H905" s="17"/>
    </row>
    <row r="906">
      <c r="B906" s="59"/>
      <c r="C906" s="17"/>
      <c r="D906" s="17"/>
      <c r="E906" s="17"/>
      <c r="F906" s="17"/>
      <c r="G906" s="152"/>
      <c r="H906" s="17"/>
    </row>
    <row r="907">
      <c r="B907" s="59"/>
      <c r="C907" s="17"/>
      <c r="D907" s="17"/>
      <c r="E907" s="17"/>
      <c r="F907" s="17"/>
      <c r="G907" s="152"/>
      <c r="H907" s="17"/>
    </row>
    <row r="908">
      <c r="B908" s="59"/>
      <c r="C908" s="17"/>
      <c r="D908" s="17"/>
      <c r="E908" s="17"/>
      <c r="F908" s="17"/>
      <c r="G908" s="152"/>
      <c r="H908" s="17"/>
    </row>
    <row r="909">
      <c r="B909" s="59"/>
      <c r="C909" s="17"/>
      <c r="D909" s="17"/>
      <c r="E909" s="17"/>
      <c r="F909" s="17"/>
      <c r="G909" s="152"/>
      <c r="H909" s="17"/>
    </row>
    <row r="910">
      <c r="B910" s="59"/>
      <c r="C910" s="17"/>
      <c r="D910" s="17"/>
      <c r="E910" s="17"/>
      <c r="F910" s="17"/>
      <c r="G910" s="152"/>
      <c r="H910" s="17"/>
    </row>
    <row r="911">
      <c r="B911" s="59"/>
      <c r="C911" s="17"/>
      <c r="D911" s="17"/>
      <c r="E911" s="17"/>
      <c r="F911" s="17"/>
      <c r="G911" s="152"/>
      <c r="H911" s="17"/>
    </row>
    <row r="912">
      <c r="B912" s="59"/>
      <c r="C912" s="17"/>
      <c r="D912" s="17"/>
      <c r="E912" s="17"/>
      <c r="F912" s="17"/>
      <c r="G912" s="152"/>
      <c r="H912" s="17"/>
    </row>
    <row r="913">
      <c r="B913" s="59"/>
      <c r="C913" s="17"/>
      <c r="D913" s="17"/>
      <c r="E913" s="17"/>
      <c r="F913" s="17"/>
      <c r="G913" s="152"/>
      <c r="H913" s="17"/>
    </row>
    <row r="914">
      <c r="B914" s="59"/>
      <c r="C914" s="17"/>
      <c r="D914" s="17"/>
      <c r="E914" s="17"/>
      <c r="F914" s="17"/>
      <c r="G914" s="152"/>
      <c r="H914" s="17"/>
    </row>
    <row r="915">
      <c r="B915" s="59"/>
      <c r="C915" s="17"/>
      <c r="D915" s="17"/>
      <c r="E915" s="17"/>
      <c r="F915" s="17"/>
      <c r="G915" s="152"/>
      <c r="H915" s="17"/>
    </row>
    <row r="916">
      <c r="B916" s="59"/>
      <c r="C916" s="17"/>
      <c r="D916" s="17"/>
      <c r="E916" s="17"/>
      <c r="F916" s="17"/>
      <c r="G916" s="152"/>
      <c r="H916" s="17"/>
    </row>
    <row r="917">
      <c r="B917" s="59"/>
      <c r="C917" s="17"/>
      <c r="D917" s="17"/>
      <c r="E917" s="17"/>
      <c r="F917" s="17"/>
      <c r="G917" s="152"/>
      <c r="H917" s="17"/>
    </row>
    <row r="918">
      <c r="B918" s="59"/>
      <c r="C918" s="17"/>
      <c r="D918" s="17"/>
      <c r="E918" s="17"/>
      <c r="F918" s="17"/>
      <c r="G918" s="152"/>
      <c r="H918" s="17"/>
    </row>
    <row r="919">
      <c r="B919" s="59"/>
      <c r="C919" s="17"/>
      <c r="D919" s="17"/>
      <c r="E919" s="17"/>
      <c r="F919" s="17"/>
      <c r="G919" s="152"/>
      <c r="H919" s="17"/>
    </row>
    <row r="920">
      <c r="B920" s="59"/>
      <c r="C920" s="17"/>
      <c r="D920" s="17"/>
      <c r="E920" s="17"/>
      <c r="F920" s="17"/>
      <c r="G920" s="152"/>
      <c r="H920" s="17"/>
    </row>
    <row r="921">
      <c r="B921" s="59"/>
      <c r="C921" s="17"/>
      <c r="D921" s="17"/>
      <c r="E921" s="17"/>
      <c r="F921" s="17"/>
      <c r="G921" s="152"/>
      <c r="H921" s="17"/>
    </row>
    <row r="922">
      <c r="B922" s="59"/>
      <c r="C922" s="17"/>
      <c r="D922" s="17"/>
      <c r="E922" s="17"/>
      <c r="F922" s="17"/>
      <c r="G922" s="152"/>
      <c r="H922" s="17"/>
    </row>
    <row r="923">
      <c r="B923" s="59"/>
      <c r="C923" s="17"/>
      <c r="D923" s="17"/>
      <c r="E923" s="17"/>
      <c r="F923" s="17"/>
      <c r="G923" s="152"/>
      <c r="H923" s="17"/>
    </row>
    <row r="924">
      <c r="B924" s="59"/>
      <c r="C924" s="17"/>
      <c r="D924" s="17"/>
      <c r="E924" s="17"/>
      <c r="F924" s="17"/>
      <c r="G924" s="152"/>
      <c r="H924" s="17"/>
    </row>
    <row r="925">
      <c r="B925" s="59"/>
      <c r="C925" s="17"/>
      <c r="D925" s="17"/>
      <c r="E925" s="17"/>
      <c r="F925" s="17"/>
      <c r="G925" s="152"/>
      <c r="H925" s="17"/>
    </row>
    <row r="926">
      <c r="B926" s="59"/>
      <c r="C926" s="17"/>
      <c r="D926" s="17"/>
      <c r="E926" s="17"/>
      <c r="F926" s="17"/>
      <c r="G926" s="152"/>
      <c r="H926" s="17"/>
    </row>
    <row r="927">
      <c r="B927" s="59"/>
      <c r="C927" s="17"/>
      <c r="D927" s="17"/>
      <c r="E927" s="17"/>
      <c r="F927" s="17"/>
      <c r="G927" s="152"/>
      <c r="H927" s="17"/>
    </row>
    <row r="928">
      <c r="B928" s="59"/>
      <c r="C928" s="17"/>
      <c r="D928" s="17"/>
      <c r="E928" s="17"/>
      <c r="F928" s="17"/>
      <c r="G928" s="152"/>
      <c r="H928" s="17"/>
    </row>
    <row r="929">
      <c r="B929" s="59"/>
      <c r="C929" s="17"/>
      <c r="D929" s="17"/>
      <c r="E929" s="17"/>
      <c r="F929" s="17"/>
      <c r="G929" s="152"/>
      <c r="H929" s="17"/>
    </row>
    <row r="930">
      <c r="B930" s="59"/>
      <c r="C930" s="17"/>
      <c r="D930" s="17"/>
      <c r="E930" s="17"/>
      <c r="F930" s="17"/>
      <c r="G930" s="152"/>
      <c r="H930" s="17"/>
    </row>
    <row r="931">
      <c r="B931" s="59"/>
      <c r="C931" s="17"/>
      <c r="D931" s="17"/>
      <c r="E931" s="17"/>
      <c r="F931" s="17"/>
      <c r="G931" s="152"/>
      <c r="H931" s="17"/>
    </row>
    <row r="932">
      <c r="B932" s="59"/>
      <c r="C932" s="17"/>
      <c r="D932" s="17"/>
      <c r="E932" s="17"/>
      <c r="F932" s="17"/>
      <c r="G932" s="152"/>
      <c r="H932" s="17"/>
    </row>
    <row r="933">
      <c r="B933" s="59"/>
      <c r="C933" s="17"/>
      <c r="D933" s="17"/>
      <c r="E933" s="17"/>
      <c r="F933" s="17"/>
      <c r="G933" s="152"/>
      <c r="H933" s="17"/>
    </row>
    <row r="934">
      <c r="B934" s="59"/>
      <c r="C934" s="17"/>
      <c r="D934" s="17"/>
      <c r="E934" s="17"/>
      <c r="F934" s="17"/>
      <c r="G934" s="152"/>
      <c r="H934" s="17"/>
    </row>
    <row r="935">
      <c r="B935" s="59"/>
      <c r="C935" s="17"/>
      <c r="D935" s="17"/>
      <c r="E935" s="17"/>
      <c r="F935" s="17"/>
      <c r="G935" s="152"/>
      <c r="H935" s="17"/>
    </row>
    <row r="936">
      <c r="B936" s="59"/>
      <c r="C936" s="17"/>
      <c r="D936" s="17"/>
      <c r="E936" s="17"/>
      <c r="F936" s="17"/>
      <c r="G936" s="152"/>
      <c r="H936" s="17"/>
    </row>
    <row r="937">
      <c r="B937" s="59"/>
      <c r="C937" s="17"/>
      <c r="D937" s="17"/>
      <c r="E937" s="17"/>
      <c r="F937" s="17"/>
      <c r="G937" s="152"/>
      <c r="H937" s="17"/>
    </row>
    <row r="938">
      <c r="B938" s="59"/>
      <c r="C938" s="17"/>
      <c r="D938" s="17"/>
      <c r="E938" s="17"/>
      <c r="F938" s="17"/>
      <c r="G938" s="152"/>
      <c r="H938" s="17"/>
    </row>
    <row r="939">
      <c r="B939" s="59"/>
      <c r="C939" s="17"/>
      <c r="D939" s="17"/>
      <c r="E939" s="17"/>
      <c r="F939" s="17"/>
      <c r="G939" s="152"/>
      <c r="H939" s="17"/>
    </row>
    <row r="940">
      <c r="B940" s="59"/>
      <c r="C940" s="17"/>
      <c r="D940" s="17"/>
      <c r="E940" s="17"/>
      <c r="F940" s="17"/>
      <c r="G940" s="152"/>
      <c r="H940" s="17"/>
    </row>
    <row r="941">
      <c r="B941" s="59"/>
      <c r="C941" s="17"/>
      <c r="D941" s="17"/>
      <c r="E941" s="17"/>
      <c r="F941" s="17"/>
      <c r="G941" s="152"/>
      <c r="H941" s="17"/>
    </row>
    <row r="942">
      <c r="B942" s="59"/>
      <c r="C942" s="17"/>
      <c r="D942" s="17"/>
      <c r="E942" s="17"/>
      <c r="F942" s="17"/>
      <c r="G942" s="152"/>
      <c r="H942" s="17"/>
    </row>
    <row r="943">
      <c r="B943" s="59"/>
      <c r="C943" s="17"/>
      <c r="D943" s="17"/>
      <c r="E943" s="17"/>
      <c r="F943" s="17"/>
      <c r="G943" s="152"/>
      <c r="H943" s="17"/>
    </row>
    <row r="944">
      <c r="B944" s="59"/>
      <c r="C944" s="17"/>
      <c r="D944" s="17"/>
      <c r="E944" s="17"/>
      <c r="F944" s="17"/>
      <c r="G944" s="152"/>
      <c r="H944" s="17"/>
    </row>
    <row r="945">
      <c r="B945" s="59"/>
      <c r="C945" s="17"/>
      <c r="D945" s="17"/>
      <c r="E945" s="17"/>
      <c r="F945" s="17"/>
      <c r="G945" s="152"/>
      <c r="H945" s="17"/>
    </row>
    <row r="946">
      <c r="B946" s="59"/>
      <c r="C946" s="17"/>
      <c r="D946" s="17"/>
      <c r="E946" s="17"/>
      <c r="F946" s="17"/>
      <c r="G946" s="152"/>
      <c r="H946" s="17"/>
    </row>
    <row r="947">
      <c r="B947" s="59"/>
      <c r="C947" s="17"/>
      <c r="D947" s="17"/>
      <c r="E947" s="17"/>
      <c r="F947" s="17"/>
      <c r="G947" s="152"/>
      <c r="H947" s="17"/>
    </row>
    <row r="948">
      <c r="B948" s="59"/>
      <c r="C948" s="17"/>
      <c r="D948" s="17"/>
      <c r="E948" s="17"/>
      <c r="F948" s="17"/>
      <c r="G948" s="152"/>
      <c r="H948" s="17"/>
    </row>
    <row r="949">
      <c r="B949" s="59"/>
      <c r="C949" s="17"/>
      <c r="D949" s="17"/>
      <c r="E949" s="17"/>
      <c r="F949" s="17"/>
      <c r="G949" s="152"/>
      <c r="H949" s="17"/>
    </row>
    <row r="950">
      <c r="B950" s="59"/>
      <c r="C950" s="17"/>
      <c r="D950" s="17"/>
      <c r="E950" s="17"/>
      <c r="F950" s="17"/>
      <c r="G950" s="152"/>
      <c r="H950" s="17"/>
    </row>
    <row r="951">
      <c r="B951" s="59"/>
      <c r="C951" s="17"/>
      <c r="D951" s="17"/>
      <c r="E951" s="17"/>
      <c r="F951" s="17"/>
      <c r="G951" s="152"/>
      <c r="H951" s="17"/>
    </row>
    <row r="952">
      <c r="B952" s="59"/>
      <c r="C952" s="17"/>
      <c r="D952" s="17"/>
      <c r="E952" s="17"/>
      <c r="F952" s="17"/>
      <c r="G952" s="152"/>
      <c r="H952" s="17"/>
    </row>
    <row r="953">
      <c r="B953" s="59"/>
      <c r="C953" s="17"/>
      <c r="D953" s="17"/>
      <c r="E953" s="17"/>
      <c r="F953" s="17"/>
      <c r="G953" s="152"/>
      <c r="H953" s="17"/>
    </row>
    <row r="954">
      <c r="B954" s="59"/>
      <c r="C954" s="17"/>
      <c r="D954" s="17"/>
      <c r="E954" s="17"/>
      <c r="F954" s="17"/>
      <c r="G954" s="152"/>
      <c r="H954" s="17"/>
    </row>
    <row r="955">
      <c r="B955" s="59"/>
      <c r="C955" s="17"/>
      <c r="D955" s="17"/>
      <c r="E955" s="17"/>
      <c r="F955" s="17"/>
      <c r="G955" s="152"/>
      <c r="H955" s="17"/>
    </row>
    <row r="956">
      <c r="B956" s="59"/>
      <c r="C956" s="17"/>
      <c r="D956" s="17"/>
      <c r="E956" s="17"/>
      <c r="F956" s="17"/>
      <c r="G956" s="152"/>
      <c r="H956" s="17"/>
    </row>
    <row r="957">
      <c r="B957" s="59"/>
      <c r="C957" s="17"/>
      <c r="D957" s="17"/>
      <c r="E957" s="17"/>
      <c r="F957" s="17"/>
      <c r="G957" s="152"/>
      <c r="H957" s="17"/>
    </row>
    <row r="958">
      <c r="B958" s="59"/>
      <c r="C958" s="17"/>
      <c r="D958" s="17"/>
      <c r="E958" s="17"/>
      <c r="F958" s="17"/>
      <c r="G958" s="152"/>
      <c r="H958" s="17"/>
    </row>
    <row r="959">
      <c r="B959" s="59"/>
      <c r="C959" s="17"/>
      <c r="D959" s="17"/>
      <c r="E959" s="17"/>
      <c r="F959" s="17"/>
      <c r="G959" s="152"/>
      <c r="H959" s="17"/>
    </row>
    <row r="960">
      <c r="B960" s="59"/>
      <c r="C960" s="17"/>
      <c r="D960" s="17"/>
      <c r="E960" s="17"/>
      <c r="F960" s="17"/>
      <c r="G960" s="152"/>
      <c r="H960" s="17"/>
    </row>
    <row r="961">
      <c r="B961" s="59"/>
      <c r="C961" s="17"/>
      <c r="D961" s="17"/>
      <c r="E961" s="17"/>
      <c r="F961" s="17"/>
      <c r="G961" s="152"/>
      <c r="H961" s="17"/>
    </row>
    <row r="962">
      <c r="B962" s="59"/>
      <c r="C962" s="17"/>
      <c r="D962" s="17"/>
      <c r="E962" s="17"/>
      <c r="F962" s="17"/>
      <c r="G962" s="152"/>
      <c r="H962" s="17"/>
    </row>
    <row r="963">
      <c r="B963" s="59"/>
      <c r="C963" s="17"/>
      <c r="D963" s="17"/>
      <c r="E963" s="17"/>
      <c r="F963" s="17"/>
      <c r="G963" s="152"/>
      <c r="H963" s="17"/>
    </row>
    <row r="964">
      <c r="B964" s="59"/>
      <c r="C964" s="17"/>
      <c r="D964" s="17"/>
      <c r="E964" s="17"/>
      <c r="F964" s="17"/>
      <c r="G964" s="152"/>
      <c r="H964" s="17"/>
    </row>
    <row r="965">
      <c r="B965" s="59"/>
      <c r="C965" s="17"/>
      <c r="D965" s="17"/>
      <c r="E965" s="17"/>
      <c r="F965" s="17"/>
      <c r="G965" s="152"/>
      <c r="H965" s="17"/>
    </row>
    <row r="966">
      <c r="B966" s="59"/>
      <c r="C966" s="17"/>
      <c r="D966" s="17"/>
      <c r="E966" s="17"/>
      <c r="F966" s="17"/>
      <c r="G966" s="152"/>
      <c r="H966" s="17"/>
    </row>
    <row r="967">
      <c r="B967" s="59"/>
      <c r="C967" s="17"/>
      <c r="D967" s="17"/>
      <c r="E967" s="17"/>
      <c r="F967" s="17"/>
      <c r="G967" s="152"/>
      <c r="H967" s="17"/>
    </row>
    <row r="968">
      <c r="B968" s="59"/>
      <c r="C968" s="17"/>
      <c r="D968" s="17"/>
      <c r="E968" s="17"/>
      <c r="F968" s="17"/>
      <c r="G968" s="152"/>
      <c r="H968" s="17"/>
    </row>
    <row r="969">
      <c r="B969" s="59"/>
      <c r="C969" s="17"/>
      <c r="D969" s="17"/>
      <c r="E969" s="17"/>
      <c r="F969" s="17"/>
      <c r="G969" s="152"/>
      <c r="H969" s="17"/>
    </row>
    <row r="970">
      <c r="B970" s="59"/>
      <c r="C970" s="17"/>
      <c r="D970" s="17"/>
      <c r="E970" s="17"/>
      <c r="F970" s="17"/>
      <c r="G970" s="152"/>
      <c r="H970" s="17"/>
    </row>
    <row r="971">
      <c r="B971" s="59"/>
      <c r="C971" s="17"/>
      <c r="D971" s="17"/>
      <c r="E971" s="17"/>
      <c r="F971" s="17"/>
      <c r="G971" s="152"/>
      <c r="H971" s="17"/>
    </row>
    <row r="972">
      <c r="B972" s="59"/>
      <c r="C972" s="17"/>
      <c r="D972" s="17"/>
      <c r="E972" s="17"/>
      <c r="F972" s="17"/>
      <c r="G972" s="152"/>
      <c r="H972" s="17"/>
    </row>
    <row r="973">
      <c r="B973" s="59"/>
      <c r="C973" s="17"/>
      <c r="D973" s="17"/>
      <c r="E973" s="17"/>
      <c r="F973" s="17"/>
      <c r="G973" s="152"/>
      <c r="H973" s="17"/>
    </row>
    <row r="974">
      <c r="B974" s="59"/>
      <c r="C974" s="17"/>
      <c r="D974" s="17"/>
      <c r="E974" s="17"/>
      <c r="F974" s="17"/>
      <c r="G974" s="152"/>
      <c r="H974" s="17"/>
    </row>
    <row r="975">
      <c r="B975" s="59"/>
      <c r="C975" s="17"/>
      <c r="D975" s="17"/>
      <c r="E975" s="17"/>
      <c r="F975" s="17"/>
      <c r="G975" s="152"/>
      <c r="H975" s="17"/>
    </row>
    <row r="976">
      <c r="B976" s="59"/>
      <c r="C976" s="17"/>
      <c r="D976" s="17"/>
      <c r="E976" s="17"/>
      <c r="F976" s="17"/>
      <c r="G976" s="152"/>
      <c r="H976" s="17"/>
    </row>
    <row r="977">
      <c r="B977" s="59"/>
      <c r="C977" s="17"/>
      <c r="D977" s="17"/>
      <c r="E977" s="17"/>
      <c r="F977" s="17"/>
      <c r="G977" s="152"/>
      <c r="H977" s="17"/>
    </row>
    <row r="978">
      <c r="B978" s="59"/>
      <c r="C978" s="17"/>
      <c r="D978" s="17"/>
      <c r="E978" s="17"/>
      <c r="F978" s="17"/>
      <c r="G978" s="152"/>
      <c r="H978" s="17"/>
    </row>
    <row r="979">
      <c r="B979" s="59"/>
      <c r="C979" s="17"/>
      <c r="D979" s="17"/>
      <c r="E979" s="17"/>
      <c r="F979" s="17"/>
      <c r="G979" s="152"/>
      <c r="H979" s="17"/>
    </row>
    <row r="980">
      <c r="B980" s="59"/>
      <c r="C980" s="17"/>
      <c r="D980" s="17"/>
      <c r="E980" s="17"/>
      <c r="F980" s="17"/>
      <c r="G980" s="152"/>
      <c r="H980" s="17"/>
    </row>
    <row r="981">
      <c r="B981" s="59"/>
      <c r="C981" s="17"/>
      <c r="D981" s="17"/>
      <c r="E981" s="17"/>
      <c r="F981" s="17"/>
      <c r="G981" s="152"/>
      <c r="H981" s="17"/>
    </row>
    <row r="982">
      <c r="B982" s="59"/>
      <c r="C982" s="17"/>
      <c r="D982" s="17"/>
      <c r="E982" s="17"/>
      <c r="F982" s="17"/>
      <c r="G982" s="152"/>
      <c r="H982" s="17"/>
    </row>
    <row r="983">
      <c r="B983" s="59"/>
      <c r="C983" s="17"/>
      <c r="D983" s="17"/>
      <c r="E983" s="17"/>
      <c r="F983" s="17"/>
      <c r="G983" s="152"/>
      <c r="H983" s="17"/>
    </row>
    <row r="984">
      <c r="B984" s="59"/>
      <c r="C984" s="17"/>
      <c r="D984" s="17"/>
      <c r="E984" s="17"/>
      <c r="F984" s="17"/>
      <c r="G984" s="152"/>
      <c r="H984" s="17"/>
    </row>
    <row r="985">
      <c r="B985" s="59"/>
      <c r="C985" s="17"/>
      <c r="D985" s="17"/>
      <c r="E985" s="17"/>
      <c r="F985" s="17"/>
      <c r="G985" s="152"/>
      <c r="H985" s="17"/>
    </row>
    <row r="986">
      <c r="B986" s="59"/>
      <c r="C986" s="17"/>
      <c r="D986" s="17"/>
      <c r="E986" s="17"/>
      <c r="F986" s="17"/>
      <c r="G986" s="152"/>
      <c r="H986" s="17"/>
    </row>
    <row r="987">
      <c r="B987" s="59"/>
      <c r="C987" s="17"/>
      <c r="D987" s="17"/>
      <c r="E987" s="17"/>
      <c r="F987" s="17"/>
      <c r="G987" s="152"/>
      <c r="H987" s="17"/>
    </row>
    <row r="988">
      <c r="B988" s="59"/>
      <c r="C988" s="17"/>
      <c r="D988" s="17"/>
      <c r="E988" s="17"/>
      <c r="F988" s="17"/>
      <c r="G988" s="152"/>
      <c r="H988" s="17"/>
    </row>
    <row r="989">
      <c r="B989" s="59"/>
      <c r="C989" s="17"/>
      <c r="D989" s="17"/>
      <c r="E989" s="17"/>
      <c r="F989" s="17"/>
      <c r="G989" s="152"/>
      <c r="H989" s="17"/>
    </row>
    <row r="990">
      <c r="B990" s="59"/>
      <c r="C990" s="17"/>
      <c r="D990" s="17"/>
      <c r="E990" s="17"/>
      <c r="F990" s="17"/>
      <c r="G990" s="152"/>
      <c r="H990" s="17"/>
    </row>
    <row r="991">
      <c r="B991" s="59"/>
      <c r="C991" s="17"/>
      <c r="D991" s="17"/>
      <c r="E991" s="17"/>
      <c r="F991" s="17"/>
      <c r="G991" s="152"/>
      <c r="H991" s="17"/>
    </row>
    <row r="992">
      <c r="B992" s="59"/>
      <c r="C992" s="17"/>
      <c r="D992" s="17"/>
      <c r="E992" s="17"/>
      <c r="F992" s="17"/>
      <c r="G992" s="152"/>
      <c r="H992" s="17"/>
    </row>
    <row r="993">
      <c r="B993" s="59"/>
      <c r="C993" s="17"/>
      <c r="D993" s="17"/>
      <c r="E993" s="17"/>
      <c r="F993" s="17"/>
      <c r="G993" s="152"/>
      <c r="H993" s="17"/>
    </row>
    <row r="994">
      <c r="B994" s="59"/>
      <c r="C994" s="17"/>
      <c r="D994" s="17"/>
      <c r="E994" s="17"/>
      <c r="F994" s="17"/>
      <c r="G994" s="152"/>
      <c r="H994" s="17"/>
    </row>
    <row r="995">
      <c r="B995" s="59"/>
      <c r="C995" s="17"/>
      <c r="D995" s="17"/>
      <c r="E995" s="17"/>
      <c r="F995" s="17"/>
      <c r="G995" s="152"/>
      <c r="H995" s="17"/>
    </row>
    <row r="996">
      <c r="B996" s="59"/>
      <c r="C996" s="17"/>
      <c r="D996" s="17"/>
      <c r="E996" s="17"/>
      <c r="F996" s="17"/>
      <c r="G996" s="152"/>
      <c r="H996" s="17"/>
    </row>
    <row r="997">
      <c r="B997" s="59"/>
      <c r="C997" s="17"/>
      <c r="D997" s="17"/>
      <c r="E997" s="17"/>
      <c r="F997" s="17"/>
      <c r="G997" s="152"/>
      <c r="H997" s="17"/>
    </row>
    <row r="998">
      <c r="B998" s="59"/>
      <c r="C998" s="17"/>
      <c r="D998" s="17"/>
      <c r="E998" s="17"/>
      <c r="F998" s="17"/>
      <c r="G998" s="152"/>
      <c r="H998" s="17"/>
    </row>
    <row r="999">
      <c r="B999" s="59"/>
      <c r="C999" s="17"/>
      <c r="D999" s="17"/>
      <c r="E999" s="17"/>
      <c r="F999" s="17"/>
      <c r="G999" s="152"/>
      <c r="H999" s="17"/>
    </row>
    <row r="1000">
      <c r="B1000" s="59"/>
      <c r="C1000" s="17"/>
      <c r="D1000" s="17"/>
      <c r="E1000" s="17"/>
      <c r="F1000" s="17"/>
      <c r="G1000" s="152"/>
      <c r="H1000" s="17"/>
    </row>
    <row r="1001">
      <c r="B1001" s="59"/>
      <c r="C1001" s="17"/>
      <c r="D1001" s="17"/>
      <c r="E1001" s="17"/>
      <c r="F1001" s="17"/>
      <c r="G1001" s="152"/>
      <c r="H1001" s="17"/>
    </row>
    <row r="1002">
      <c r="B1002" s="59"/>
      <c r="C1002" s="17"/>
      <c r="D1002" s="17"/>
      <c r="E1002" s="17"/>
      <c r="F1002" s="17"/>
      <c r="G1002" s="152"/>
      <c r="H1002" s="17"/>
    </row>
    <row r="1003">
      <c r="B1003" s="59"/>
      <c r="C1003" s="17"/>
      <c r="D1003" s="17"/>
      <c r="E1003" s="17"/>
      <c r="F1003" s="17"/>
      <c r="G1003" s="152"/>
      <c r="H1003" s="17"/>
    </row>
    <row r="1004">
      <c r="B1004" s="59"/>
      <c r="C1004" s="17"/>
      <c r="D1004" s="17"/>
      <c r="E1004" s="17"/>
      <c r="F1004" s="17"/>
      <c r="G1004" s="152"/>
      <c r="H1004" s="17"/>
    </row>
    <row r="1005">
      <c r="B1005" s="59"/>
      <c r="C1005" s="17"/>
      <c r="D1005" s="17"/>
      <c r="E1005" s="17"/>
      <c r="F1005" s="17"/>
      <c r="G1005" s="152"/>
      <c r="H1005" s="17"/>
    </row>
    <row r="1006">
      <c r="B1006" s="59"/>
      <c r="C1006" s="17"/>
      <c r="D1006" s="17"/>
      <c r="E1006" s="17"/>
      <c r="F1006" s="17"/>
      <c r="G1006" s="152"/>
      <c r="H1006" s="17"/>
    </row>
    <row r="1007">
      <c r="B1007" s="59"/>
      <c r="C1007" s="17"/>
      <c r="D1007" s="17"/>
      <c r="E1007" s="17"/>
      <c r="F1007" s="17"/>
      <c r="G1007" s="152"/>
      <c r="H1007" s="17"/>
    </row>
    <row r="1008">
      <c r="B1008" s="59"/>
      <c r="C1008" s="17"/>
      <c r="D1008" s="17"/>
      <c r="E1008" s="17"/>
      <c r="F1008" s="17"/>
      <c r="G1008" s="152"/>
      <c r="H1008" s="17"/>
    </row>
    <row r="1009">
      <c r="B1009" s="59"/>
      <c r="C1009" s="17"/>
      <c r="D1009" s="17"/>
      <c r="E1009" s="17"/>
      <c r="F1009" s="17"/>
      <c r="G1009" s="152"/>
      <c r="H1009" s="17"/>
    </row>
    <row r="1010">
      <c r="B1010" s="59"/>
      <c r="C1010" s="17"/>
      <c r="D1010" s="17"/>
      <c r="E1010" s="17"/>
      <c r="F1010" s="17"/>
      <c r="G1010" s="152"/>
      <c r="H1010" s="17"/>
    </row>
    <row r="1011">
      <c r="B1011" s="59"/>
      <c r="C1011" s="17"/>
      <c r="D1011" s="17"/>
      <c r="E1011" s="17"/>
      <c r="F1011" s="17"/>
      <c r="G1011" s="152"/>
      <c r="H1011" s="17"/>
    </row>
    <row r="1012">
      <c r="B1012" s="59"/>
      <c r="C1012" s="17"/>
      <c r="D1012" s="17"/>
      <c r="E1012" s="17"/>
      <c r="F1012" s="17"/>
      <c r="G1012" s="152"/>
      <c r="H1012" s="17"/>
    </row>
    <row r="1013">
      <c r="B1013" s="59"/>
      <c r="C1013" s="17"/>
      <c r="D1013" s="17"/>
      <c r="E1013" s="17"/>
      <c r="F1013" s="17"/>
      <c r="G1013" s="152"/>
      <c r="H1013" s="17"/>
    </row>
    <row r="1014">
      <c r="B1014" s="59"/>
      <c r="C1014" s="17"/>
      <c r="D1014" s="17"/>
      <c r="E1014" s="17"/>
      <c r="F1014" s="17"/>
      <c r="G1014" s="152"/>
      <c r="H1014" s="17"/>
    </row>
    <row r="1015">
      <c r="B1015" s="59"/>
      <c r="C1015" s="17"/>
      <c r="D1015" s="17"/>
      <c r="E1015" s="17"/>
      <c r="F1015" s="17"/>
      <c r="G1015" s="152"/>
      <c r="H1015" s="17"/>
    </row>
    <row r="1016">
      <c r="B1016" s="59"/>
      <c r="C1016" s="17"/>
      <c r="D1016" s="17"/>
      <c r="E1016" s="17"/>
      <c r="F1016" s="17"/>
      <c r="G1016" s="152"/>
      <c r="H1016" s="17"/>
    </row>
    <row r="1017">
      <c r="B1017" s="59"/>
      <c r="C1017" s="17"/>
      <c r="D1017" s="17"/>
      <c r="E1017" s="17"/>
      <c r="F1017" s="17"/>
      <c r="G1017" s="152"/>
      <c r="H1017" s="17"/>
    </row>
    <row r="1018">
      <c r="B1018" s="59"/>
      <c r="C1018" s="17"/>
      <c r="D1018" s="17"/>
      <c r="E1018" s="17"/>
      <c r="F1018" s="17"/>
      <c r="G1018" s="152"/>
      <c r="H1018" s="17"/>
    </row>
    <row r="1019">
      <c r="B1019" s="59"/>
      <c r="C1019" s="17"/>
      <c r="D1019" s="17"/>
      <c r="E1019" s="17"/>
      <c r="F1019" s="17"/>
      <c r="G1019" s="152"/>
      <c r="H1019" s="17"/>
    </row>
    <row r="1020">
      <c r="B1020" s="59"/>
      <c r="C1020" s="17"/>
      <c r="D1020" s="17"/>
      <c r="E1020" s="17"/>
      <c r="F1020" s="17"/>
      <c r="G1020" s="152"/>
      <c r="H1020" s="17"/>
    </row>
    <row r="1021">
      <c r="B1021" s="59"/>
      <c r="C1021" s="17"/>
      <c r="D1021" s="17"/>
      <c r="E1021" s="17"/>
      <c r="F1021" s="17"/>
      <c r="G1021" s="152"/>
      <c r="H1021" s="17"/>
    </row>
    <row r="1022">
      <c r="B1022" s="59"/>
      <c r="C1022" s="17"/>
      <c r="D1022" s="17"/>
      <c r="E1022" s="17"/>
      <c r="F1022" s="17"/>
      <c r="G1022" s="152"/>
      <c r="H1022" s="17"/>
    </row>
    <row r="1023">
      <c r="B1023" s="59"/>
      <c r="C1023" s="17"/>
      <c r="D1023" s="17"/>
      <c r="E1023" s="17"/>
      <c r="F1023" s="17"/>
      <c r="G1023" s="152"/>
      <c r="H1023" s="17"/>
    </row>
    <row r="1024">
      <c r="B1024" s="59"/>
      <c r="C1024" s="17"/>
      <c r="D1024" s="17"/>
      <c r="E1024" s="17"/>
      <c r="F1024" s="17"/>
      <c r="G1024" s="152"/>
      <c r="H1024" s="17"/>
    </row>
    <row r="1025">
      <c r="B1025" s="59"/>
      <c r="C1025" s="17"/>
      <c r="D1025" s="17"/>
      <c r="E1025" s="17"/>
      <c r="F1025" s="17"/>
      <c r="G1025" s="152"/>
      <c r="H1025" s="17"/>
    </row>
    <row r="1026">
      <c r="B1026" s="59"/>
      <c r="C1026" s="17"/>
      <c r="D1026" s="17"/>
      <c r="E1026" s="17"/>
      <c r="F1026" s="17"/>
      <c r="G1026" s="152"/>
      <c r="H1026" s="17"/>
    </row>
    <row r="1027">
      <c r="B1027" s="59"/>
      <c r="C1027" s="17"/>
      <c r="D1027" s="17"/>
      <c r="E1027" s="17"/>
      <c r="F1027" s="17"/>
      <c r="G1027" s="152"/>
      <c r="H1027" s="17"/>
    </row>
    <row r="1028">
      <c r="B1028" s="59"/>
      <c r="C1028" s="17"/>
      <c r="D1028" s="17"/>
      <c r="E1028" s="17"/>
      <c r="F1028" s="17"/>
      <c r="G1028" s="152"/>
      <c r="H1028" s="17"/>
    </row>
    <row r="1029">
      <c r="B1029" s="59"/>
      <c r="C1029" s="17"/>
      <c r="D1029" s="17"/>
      <c r="E1029" s="17"/>
      <c r="F1029" s="17"/>
      <c r="G1029" s="152"/>
      <c r="H1029" s="17"/>
    </row>
    <row r="1030">
      <c r="B1030" s="59"/>
      <c r="C1030" s="17"/>
      <c r="D1030" s="17"/>
      <c r="E1030" s="17"/>
      <c r="F1030" s="17"/>
      <c r="G1030" s="152"/>
      <c r="H1030" s="17"/>
    </row>
    <row r="1031">
      <c r="B1031" s="59"/>
      <c r="C1031" s="17"/>
      <c r="D1031" s="17"/>
      <c r="E1031" s="17"/>
      <c r="F1031" s="17"/>
      <c r="G1031" s="152"/>
      <c r="H1031" s="17"/>
    </row>
    <row r="1032">
      <c r="B1032" s="59"/>
      <c r="C1032" s="17"/>
      <c r="D1032" s="17"/>
      <c r="E1032" s="17"/>
      <c r="F1032" s="17"/>
      <c r="G1032" s="152"/>
      <c r="H1032" s="17"/>
    </row>
    <row r="1033">
      <c r="B1033" s="59"/>
      <c r="C1033" s="17"/>
      <c r="D1033" s="17"/>
      <c r="E1033" s="17"/>
      <c r="F1033" s="17"/>
      <c r="G1033" s="152"/>
      <c r="H1033" s="17"/>
    </row>
    <row r="1034">
      <c r="B1034" s="59"/>
      <c r="C1034" s="17"/>
      <c r="D1034" s="17"/>
      <c r="E1034" s="17"/>
      <c r="F1034" s="17"/>
      <c r="G1034" s="152"/>
      <c r="H1034" s="17"/>
    </row>
    <row r="1035">
      <c r="B1035" s="59"/>
      <c r="C1035" s="17"/>
      <c r="D1035" s="17"/>
      <c r="E1035" s="17"/>
      <c r="F1035" s="17"/>
      <c r="G1035" s="152"/>
      <c r="H1035" s="17"/>
    </row>
    <row r="1036">
      <c r="B1036" s="59"/>
      <c r="C1036" s="17"/>
      <c r="D1036" s="17"/>
      <c r="E1036" s="17"/>
      <c r="F1036" s="17"/>
      <c r="G1036" s="152"/>
      <c r="H1036" s="17"/>
    </row>
    <row r="1037">
      <c r="B1037" s="59"/>
      <c r="C1037" s="17"/>
      <c r="D1037" s="17"/>
      <c r="E1037" s="17"/>
      <c r="F1037" s="17"/>
      <c r="G1037" s="152"/>
      <c r="H1037" s="17"/>
    </row>
    <row r="1038">
      <c r="B1038" s="59"/>
      <c r="C1038" s="17"/>
      <c r="D1038" s="17"/>
      <c r="E1038" s="17"/>
      <c r="F1038" s="17"/>
      <c r="G1038" s="152"/>
      <c r="H1038" s="17"/>
    </row>
    <row r="1039">
      <c r="B1039" s="59"/>
      <c r="C1039" s="17"/>
      <c r="D1039" s="17"/>
      <c r="E1039" s="17"/>
      <c r="F1039" s="17"/>
      <c r="G1039" s="152"/>
      <c r="H1039" s="17"/>
    </row>
    <row r="1040">
      <c r="B1040" s="59"/>
      <c r="C1040" s="17"/>
      <c r="D1040" s="17"/>
      <c r="E1040" s="17"/>
      <c r="F1040" s="17"/>
      <c r="G1040" s="152"/>
      <c r="H1040" s="17"/>
    </row>
    <row r="1041">
      <c r="B1041" s="59"/>
      <c r="C1041" s="17"/>
      <c r="D1041" s="17"/>
      <c r="E1041" s="17"/>
      <c r="F1041" s="17"/>
      <c r="G1041" s="152"/>
      <c r="H1041" s="17"/>
    </row>
    <row r="1042">
      <c r="B1042" s="59"/>
      <c r="C1042" s="17"/>
      <c r="D1042" s="17"/>
      <c r="E1042" s="17"/>
      <c r="F1042" s="17"/>
      <c r="G1042" s="152"/>
      <c r="H1042" s="17"/>
    </row>
    <row r="1043">
      <c r="B1043" s="59"/>
      <c r="C1043" s="17"/>
      <c r="D1043" s="17"/>
      <c r="E1043" s="17"/>
      <c r="F1043" s="17"/>
      <c r="G1043" s="152"/>
      <c r="H1043" s="17"/>
    </row>
    <row r="1044">
      <c r="B1044" s="59"/>
      <c r="C1044" s="17"/>
      <c r="D1044" s="17"/>
      <c r="E1044" s="17"/>
      <c r="F1044" s="17"/>
      <c r="G1044" s="152"/>
      <c r="H1044" s="17"/>
    </row>
    <row r="1045">
      <c r="B1045" s="59"/>
      <c r="C1045" s="17"/>
      <c r="D1045" s="17"/>
      <c r="E1045" s="17"/>
      <c r="F1045" s="17"/>
      <c r="G1045" s="152"/>
      <c r="H1045" s="17"/>
    </row>
    <row r="1046">
      <c r="B1046" s="59"/>
      <c r="C1046" s="17"/>
      <c r="D1046" s="17"/>
      <c r="E1046" s="17"/>
      <c r="F1046" s="17"/>
      <c r="G1046" s="152"/>
      <c r="H1046" s="17"/>
    </row>
    <row r="1047">
      <c r="B1047" s="59"/>
      <c r="C1047" s="17"/>
      <c r="D1047" s="17"/>
      <c r="E1047" s="17"/>
      <c r="F1047" s="17"/>
      <c r="G1047" s="152"/>
      <c r="H1047" s="17"/>
    </row>
    <row r="1048">
      <c r="B1048" s="59"/>
      <c r="C1048" s="17"/>
      <c r="D1048" s="17"/>
      <c r="E1048" s="17"/>
      <c r="F1048" s="17"/>
      <c r="G1048" s="152"/>
      <c r="H1048" s="17"/>
    </row>
    <row r="1049">
      <c r="B1049" s="59"/>
      <c r="C1049" s="17"/>
      <c r="D1049" s="17"/>
      <c r="E1049" s="17"/>
      <c r="F1049" s="17"/>
      <c r="G1049" s="152"/>
      <c r="H1049" s="17"/>
    </row>
    <row r="1050">
      <c r="B1050" s="59"/>
      <c r="C1050" s="17"/>
      <c r="D1050" s="17"/>
      <c r="E1050" s="17"/>
      <c r="F1050" s="17"/>
      <c r="G1050" s="152"/>
      <c r="H1050" s="17"/>
    </row>
    <row r="1051">
      <c r="B1051" s="59"/>
      <c r="C1051" s="17"/>
      <c r="D1051" s="17"/>
      <c r="E1051" s="17"/>
      <c r="F1051" s="17"/>
      <c r="G1051" s="152"/>
      <c r="H1051" s="17"/>
    </row>
    <row r="1052">
      <c r="B1052" s="59"/>
      <c r="C1052" s="17"/>
      <c r="D1052" s="17"/>
      <c r="E1052" s="17"/>
      <c r="F1052" s="17"/>
      <c r="G1052" s="152"/>
      <c r="H1052" s="17"/>
    </row>
    <row r="1053">
      <c r="B1053" s="59"/>
      <c r="C1053" s="17"/>
      <c r="D1053" s="17"/>
      <c r="E1053" s="17"/>
      <c r="F1053" s="17"/>
      <c r="G1053" s="152"/>
      <c r="H1053" s="17"/>
    </row>
    <row r="1054">
      <c r="B1054" s="59"/>
      <c r="C1054" s="17"/>
      <c r="D1054" s="17"/>
      <c r="E1054" s="17"/>
      <c r="F1054" s="17"/>
      <c r="G1054" s="152"/>
      <c r="H1054" s="17"/>
    </row>
    <row r="1055">
      <c r="B1055" s="59"/>
      <c r="C1055" s="17"/>
      <c r="D1055" s="17"/>
      <c r="E1055" s="17"/>
      <c r="F1055" s="17"/>
      <c r="G1055" s="152"/>
      <c r="H1055" s="17"/>
    </row>
    <row r="1056">
      <c r="B1056" s="59"/>
      <c r="C1056" s="17"/>
      <c r="D1056" s="17"/>
      <c r="E1056" s="17"/>
      <c r="F1056" s="17"/>
      <c r="G1056" s="152"/>
      <c r="H1056" s="17"/>
    </row>
    <row r="1057">
      <c r="B1057" s="59"/>
      <c r="C1057" s="17"/>
      <c r="D1057" s="17"/>
      <c r="E1057" s="17"/>
      <c r="F1057" s="17"/>
      <c r="G1057" s="152"/>
      <c r="H1057" s="17"/>
    </row>
    <row r="1058">
      <c r="B1058" s="59"/>
      <c r="C1058" s="17"/>
      <c r="D1058" s="17"/>
      <c r="E1058" s="17"/>
      <c r="F1058" s="17"/>
      <c r="G1058" s="152"/>
      <c r="H1058" s="17"/>
    </row>
    <row r="1059">
      <c r="B1059" s="59"/>
      <c r="C1059" s="17"/>
      <c r="D1059" s="17"/>
      <c r="E1059" s="17"/>
      <c r="F1059" s="17"/>
      <c r="G1059" s="152"/>
      <c r="H1059" s="17"/>
    </row>
    <row r="1060">
      <c r="B1060" s="59"/>
      <c r="C1060" s="17"/>
      <c r="D1060" s="17"/>
      <c r="E1060" s="17"/>
      <c r="F1060" s="17"/>
      <c r="G1060" s="152"/>
      <c r="H1060" s="17"/>
    </row>
    <row r="1061">
      <c r="B1061" s="59"/>
      <c r="C1061" s="17"/>
      <c r="D1061" s="17"/>
      <c r="E1061" s="17"/>
      <c r="F1061" s="17"/>
      <c r="G1061" s="152"/>
      <c r="H1061" s="17"/>
    </row>
    <row r="1062">
      <c r="B1062" s="59"/>
      <c r="C1062" s="17"/>
      <c r="D1062" s="17"/>
      <c r="E1062" s="17"/>
      <c r="F1062" s="17"/>
      <c r="G1062" s="152"/>
      <c r="H1062" s="17"/>
    </row>
    <row r="1063">
      <c r="B1063" s="59"/>
      <c r="C1063" s="17"/>
      <c r="D1063" s="17"/>
      <c r="E1063" s="17"/>
      <c r="F1063" s="17"/>
      <c r="G1063" s="152"/>
      <c r="H1063" s="17"/>
    </row>
    <row r="1064">
      <c r="B1064" s="59"/>
      <c r="C1064" s="17"/>
      <c r="D1064" s="17"/>
      <c r="E1064" s="17"/>
      <c r="F1064" s="17"/>
      <c r="G1064" s="152"/>
      <c r="H1064" s="17"/>
    </row>
    <row r="1065">
      <c r="B1065" s="59"/>
      <c r="C1065" s="17"/>
      <c r="D1065" s="17"/>
      <c r="E1065" s="17"/>
      <c r="F1065" s="17"/>
      <c r="G1065" s="152"/>
      <c r="H1065" s="17"/>
    </row>
    <row r="1066">
      <c r="B1066" s="59"/>
      <c r="C1066" s="17"/>
      <c r="D1066" s="17"/>
      <c r="E1066" s="17"/>
      <c r="F1066" s="17"/>
      <c r="G1066" s="152"/>
      <c r="H1066" s="17"/>
    </row>
    <row r="1067">
      <c r="B1067" s="59"/>
      <c r="C1067" s="17"/>
      <c r="D1067" s="17"/>
      <c r="E1067" s="17"/>
      <c r="F1067" s="17"/>
      <c r="G1067" s="152"/>
      <c r="H1067" s="17"/>
    </row>
    <row r="1068">
      <c r="B1068" s="59"/>
      <c r="C1068" s="17"/>
      <c r="D1068" s="17"/>
      <c r="E1068" s="17"/>
      <c r="F1068" s="17"/>
      <c r="G1068" s="152"/>
      <c r="H1068" s="17"/>
    </row>
    <row r="1069">
      <c r="B1069" s="59"/>
      <c r="C1069" s="17"/>
      <c r="D1069" s="17"/>
      <c r="E1069" s="17"/>
      <c r="F1069" s="17"/>
      <c r="G1069" s="152"/>
      <c r="H1069" s="17"/>
    </row>
    <row r="1070">
      <c r="B1070" s="59"/>
      <c r="C1070" s="17"/>
      <c r="D1070" s="17"/>
      <c r="E1070" s="17"/>
      <c r="F1070" s="17"/>
      <c r="G1070" s="152"/>
      <c r="H1070" s="17"/>
    </row>
    <row r="1071">
      <c r="B1071" s="59"/>
      <c r="C1071" s="17"/>
      <c r="D1071" s="17"/>
      <c r="E1071" s="17"/>
      <c r="F1071" s="17"/>
      <c r="G1071" s="152"/>
      <c r="H1071" s="17"/>
    </row>
    <row r="1072">
      <c r="B1072" s="59"/>
      <c r="C1072" s="17"/>
      <c r="D1072" s="17"/>
      <c r="E1072" s="17"/>
      <c r="F1072" s="17"/>
      <c r="G1072" s="152"/>
      <c r="H1072" s="17"/>
    </row>
    <row r="1073">
      <c r="B1073" s="59"/>
      <c r="C1073" s="17"/>
      <c r="D1073" s="17"/>
      <c r="E1073" s="17"/>
      <c r="F1073" s="17"/>
      <c r="G1073" s="152"/>
      <c r="H1073" s="17"/>
    </row>
    <row r="1074">
      <c r="B1074" s="59"/>
      <c r="C1074" s="17"/>
      <c r="D1074" s="17"/>
      <c r="E1074" s="17"/>
      <c r="F1074" s="17"/>
      <c r="G1074" s="152"/>
      <c r="H1074" s="17"/>
    </row>
    <row r="1075">
      <c r="B1075" s="59"/>
      <c r="C1075" s="17"/>
      <c r="D1075" s="17"/>
      <c r="E1075" s="17"/>
      <c r="F1075" s="17"/>
      <c r="G1075" s="152"/>
      <c r="H1075" s="17"/>
    </row>
    <row r="1076">
      <c r="B1076" s="59"/>
      <c r="C1076" s="17"/>
      <c r="D1076" s="17"/>
      <c r="E1076" s="17"/>
      <c r="F1076" s="17"/>
      <c r="G1076" s="152"/>
      <c r="H1076" s="17"/>
    </row>
    <row r="1077">
      <c r="B1077" s="59"/>
      <c r="C1077" s="17"/>
      <c r="D1077" s="17"/>
      <c r="E1077" s="17"/>
      <c r="F1077" s="17"/>
      <c r="G1077" s="152"/>
      <c r="H1077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88"/>
    <col customWidth="1" min="3" max="3" width="9.25"/>
    <col customWidth="1" min="4" max="4" width="10.63"/>
    <col customWidth="1" min="5" max="5" width="11.75"/>
    <col customWidth="1" min="6" max="6" width="14.63"/>
    <col customWidth="1" min="7" max="7" width="4.63"/>
    <col customWidth="1" min="8" max="8" width="16.75"/>
    <col customWidth="1" min="9" max="9" width="9.25"/>
    <col customWidth="1" min="10" max="10" width="69.38"/>
    <col customWidth="1" min="11" max="26" width="49.88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9" t="s">
        <v>1176</v>
      </c>
      <c r="I1" s="61">
        <f>SUM(D2:D1007) - SUM(F2:F1007)</f>
        <v>10639.22132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21" t="str">
        <f>IFERROR(__xludf.DUMMYFUNCTION("QUERY(Pedidos!A2:E1007, ""SELECT A, D, (E/2) WHERE lower(B) CONTAINS 'tin uy'"",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7">IF(B2:B1007="", "", B2:B1007 - C2:C1007)</f>
        <v/>
      </c>
      <c r="E2" s="130">
        <v>46023.0</v>
      </c>
      <c r="F2" s="9">
        <v>0.0</v>
      </c>
      <c r="H2" s="17"/>
    </row>
    <row r="3">
      <c r="A3" s="135">
        <f>IFERROR(__xludf.DUMMYFUNCTION("""COMPUTED_VALUE"""),46065.56648637731)</f>
        <v>46065.56649</v>
      </c>
      <c r="B3" s="17">
        <f>IFERROR(__xludf.DUMMYFUNCTION("""COMPUTED_VALUE"""),5185.0)</f>
        <v>5185</v>
      </c>
      <c r="C3" s="131">
        <f>IFERROR(__xludf.DUMMYFUNCTION("""COMPUTED_VALUE"""),630.0029999999999)</f>
        <v>630.003</v>
      </c>
      <c r="D3" s="17">
        <v>4554.997</v>
      </c>
      <c r="E3" s="130">
        <v>46058.0</v>
      </c>
      <c r="F3" s="9">
        <v>400.0</v>
      </c>
      <c r="H3" s="9">
        <v>576000.0</v>
      </c>
      <c r="I3" s="136">
        <f t="shared" ref="I3:I15" si="1">H3/F3</f>
        <v>1440</v>
      </c>
    </row>
    <row r="4">
      <c r="A4" s="135">
        <f>IFERROR(__xludf.DUMMYFUNCTION("""COMPUTED_VALUE"""),46066.48805971065)</f>
        <v>46066.48806</v>
      </c>
      <c r="B4" s="17">
        <f>IFERROR(__xludf.DUMMYFUNCTION("""COMPUTED_VALUE"""),380.0)</f>
        <v>380</v>
      </c>
      <c r="C4" s="133">
        <f>IFERROR(__xludf.DUMMYFUNCTION("""COMPUTED_VALUE"""),50.720000000000006)</f>
        <v>50.72</v>
      </c>
      <c r="D4" s="17">
        <v>329.28</v>
      </c>
      <c r="E4" s="130">
        <v>46060.0</v>
      </c>
      <c r="F4" s="9">
        <v>104.0</v>
      </c>
      <c r="H4" s="9">
        <v>150000.0</v>
      </c>
      <c r="I4" s="136">
        <f t="shared" si="1"/>
        <v>1442.307692</v>
      </c>
    </row>
    <row r="5">
      <c r="A5" s="135">
        <f>IFERROR(__xludf.DUMMYFUNCTION("""COMPUTED_VALUE"""),46066.4891578125)</f>
        <v>46066.48916</v>
      </c>
      <c r="B5" s="17">
        <f>IFERROR(__xludf.DUMMYFUNCTION("""COMPUTED_VALUE"""),140.0)</f>
        <v>140</v>
      </c>
      <c r="C5" s="133">
        <f>IFERROR(__xludf.DUMMYFUNCTION("""COMPUTED_VALUE"""),20.82)</f>
        <v>20.82</v>
      </c>
      <c r="D5" s="17">
        <v>119.18</v>
      </c>
      <c r="E5" s="130">
        <v>46063.0</v>
      </c>
      <c r="F5" s="9">
        <v>6.0</v>
      </c>
      <c r="H5" s="9">
        <v>7300.0</v>
      </c>
      <c r="I5" s="136">
        <f t="shared" si="1"/>
        <v>1216.666667</v>
      </c>
      <c r="K5" s="140" t="s">
        <v>1197</v>
      </c>
    </row>
    <row r="6">
      <c r="A6" s="135">
        <f>IFERROR(__xludf.DUMMYFUNCTION("""COMPUTED_VALUE"""),46071.321232905095)</f>
        <v>46071.32123</v>
      </c>
      <c r="B6" s="17">
        <f>IFERROR(__xludf.DUMMYFUNCTION("""COMPUTED_VALUE"""),710.0)</f>
        <v>710</v>
      </c>
      <c r="C6" s="133">
        <f>IFERROR(__xludf.DUMMYFUNCTION("""COMPUTED_VALUE"""),85.07199999999999)</f>
        <v>85.072</v>
      </c>
      <c r="D6" s="17">
        <v>624.928</v>
      </c>
      <c r="E6" s="130">
        <v>46063.0</v>
      </c>
      <c r="F6" s="9">
        <v>160.0</v>
      </c>
      <c r="H6" s="9">
        <v>228000.0</v>
      </c>
      <c r="I6" s="136">
        <f t="shared" si="1"/>
        <v>1425</v>
      </c>
      <c r="K6" s="140" t="s">
        <v>1198</v>
      </c>
    </row>
    <row r="7">
      <c r="A7" s="135">
        <f>IFERROR(__xludf.DUMMYFUNCTION("""COMPUTED_VALUE"""),46071.32832734953)</f>
        <v>46071.32833</v>
      </c>
      <c r="B7" s="17">
        <f>IFERROR(__xludf.DUMMYFUNCTION("""COMPUTED_VALUE"""),110.0)</f>
        <v>110</v>
      </c>
      <c r="C7" s="133">
        <f>IFERROR(__xludf.DUMMYFUNCTION("""COMPUTED_VALUE"""),15.130000000000003)</f>
        <v>15.13</v>
      </c>
      <c r="D7" s="17">
        <v>94.87</v>
      </c>
      <c r="E7" s="130">
        <v>46065.0</v>
      </c>
      <c r="F7" s="9">
        <v>1306.0</v>
      </c>
      <c r="H7" s="9">
        <v>1875000.0</v>
      </c>
      <c r="I7" s="136">
        <f t="shared" si="1"/>
        <v>1435.68147</v>
      </c>
      <c r="K7" s="140" t="s">
        <v>1204</v>
      </c>
    </row>
    <row r="8">
      <c r="A8" s="135">
        <f>IFERROR(__xludf.DUMMYFUNCTION("""COMPUTED_VALUE"""),46071.362096689816)</f>
        <v>46071.3621</v>
      </c>
      <c r="B8" s="17">
        <f>IFERROR(__xludf.DUMMYFUNCTION("""COMPUTED_VALUE"""),110.0)</f>
        <v>110</v>
      </c>
      <c r="C8" s="133">
        <f>IFERROR(__xludf.DUMMYFUNCTION("""COMPUTED_VALUE"""),15.130000000000003)</f>
        <v>15.13</v>
      </c>
      <c r="D8" s="17">
        <v>94.87</v>
      </c>
      <c r="E8" s="130">
        <v>46065.0</v>
      </c>
      <c r="F8" s="9">
        <v>150.0</v>
      </c>
      <c r="H8" s="9">
        <v>215250.0</v>
      </c>
      <c r="I8" s="136">
        <f t="shared" si="1"/>
        <v>1435</v>
      </c>
    </row>
    <row r="9">
      <c r="A9" s="135">
        <f>IFERROR(__xludf.DUMMYFUNCTION("""COMPUTED_VALUE"""),46072.99220949074)</f>
        <v>46072.99221</v>
      </c>
      <c r="B9" s="17">
        <f>IFERROR(__xludf.DUMMYFUNCTION("""COMPUTED_VALUE"""),75.0)</f>
        <v>75</v>
      </c>
      <c r="C9" s="133">
        <f>IFERROR(__xludf.DUMMYFUNCTION("""COMPUTED_VALUE"""),8.527000000000001)</f>
        <v>8.527</v>
      </c>
      <c r="D9" s="17">
        <v>66.473</v>
      </c>
      <c r="E9" s="130">
        <v>46065.0</v>
      </c>
      <c r="F9" s="9">
        <v>160.0</v>
      </c>
      <c r="H9" s="9">
        <v>230000.0</v>
      </c>
      <c r="I9" s="136">
        <f t="shared" si="1"/>
        <v>1437.5</v>
      </c>
    </row>
    <row r="10">
      <c r="A10" s="135">
        <f>IFERROR(__xludf.DUMMYFUNCTION("""COMPUTED_VALUE"""),46073.0)</f>
        <v>46073</v>
      </c>
      <c r="B10" s="17">
        <f>IFERROR(__xludf.DUMMYFUNCTION("""COMPUTED_VALUE"""),154.0)</f>
        <v>154</v>
      </c>
      <c r="C10" s="133"/>
      <c r="D10" s="17">
        <v>154.0</v>
      </c>
      <c r="E10" s="130">
        <v>46066.0</v>
      </c>
      <c r="F10" s="9">
        <v>300.0</v>
      </c>
      <c r="H10" s="9">
        <v>430000.0</v>
      </c>
      <c r="I10" s="136">
        <f t="shared" si="1"/>
        <v>1433.333333</v>
      </c>
    </row>
    <row r="11">
      <c r="A11" s="135">
        <f>IFERROR(__xludf.DUMMYFUNCTION("""COMPUTED_VALUE"""),46076.36990046296)</f>
        <v>46076.3699</v>
      </c>
      <c r="B11" s="17">
        <f>IFERROR(__xludf.DUMMYFUNCTION("""COMPUTED_VALUE"""),680.0)</f>
        <v>680</v>
      </c>
      <c r="C11" s="133">
        <f>IFERROR(__xludf.DUMMYFUNCTION("""COMPUTED_VALUE"""),128.802)</f>
        <v>128.802</v>
      </c>
      <c r="D11" s="17">
        <v>551.198</v>
      </c>
      <c r="E11" s="130">
        <v>46066.0</v>
      </c>
      <c r="F11" s="9">
        <v>160.0</v>
      </c>
      <c r="H11" s="9">
        <v>230400.0</v>
      </c>
      <c r="I11" s="136">
        <f t="shared" si="1"/>
        <v>1440</v>
      </c>
    </row>
    <row r="12">
      <c r="A12" s="135">
        <f>IFERROR(__xludf.DUMMYFUNCTION("""COMPUTED_VALUE"""),46077.4104953125)</f>
        <v>46077.4105</v>
      </c>
      <c r="B12" s="17">
        <f>IFERROR(__xludf.DUMMYFUNCTION("""COMPUTED_VALUE"""),720.0)</f>
        <v>720</v>
      </c>
      <c r="C12" s="133">
        <f>IFERROR(__xludf.DUMMYFUNCTION("""COMPUTED_VALUE"""),92.51399999999998)</f>
        <v>92.514</v>
      </c>
      <c r="D12" s="17">
        <v>627.486</v>
      </c>
      <c r="E12" s="130">
        <v>46066.0</v>
      </c>
      <c r="F12" s="9">
        <v>200.0</v>
      </c>
      <c r="H12" s="9">
        <v>288000.0</v>
      </c>
      <c r="I12" s="136">
        <f t="shared" si="1"/>
        <v>1440</v>
      </c>
    </row>
    <row r="13">
      <c r="A13" s="135">
        <f>IFERROR(__xludf.DUMMYFUNCTION("""COMPUTED_VALUE"""),46086.478767754634)</f>
        <v>46086.47877</v>
      </c>
      <c r="B13" s="17">
        <f>IFERROR(__xludf.DUMMYFUNCTION("""COMPUTED_VALUE"""),944.0)</f>
        <v>944</v>
      </c>
      <c r="C13" s="133">
        <f>IFERROR(__xludf.DUMMYFUNCTION("""COMPUTED_VALUE"""),121.30000000000001)</f>
        <v>121.3</v>
      </c>
      <c r="D13" s="17">
        <v>822.7</v>
      </c>
      <c r="E13" s="130">
        <v>46071.0</v>
      </c>
      <c r="F13" s="9">
        <v>314.0</v>
      </c>
      <c r="H13" s="9">
        <v>452000.0</v>
      </c>
      <c r="I13" s="136">
        <f t="shared" si="1"/>
        <v>1439.490446</v>
      </c>
    </row>
    <row r="14">
      <c r="A14" s="135">
        <f>IFERROR(__xludf.DUMMYFUNCTION("""COMPUTED_VALUE"""),46086.501544467596)</f>
        <v>46086.50154</v>
      </c>
      <c r="B14" s="17">
        <f>IFERROR(__xludf.DUMMYFUNCTION("""COMPUTED_VALUE"""),12.0)</f>
        <v>12</v>
      </c>
      <c r="C14" s="133">
        <f>IFERROR(__xludf.DUMMYFUNCTION("""COMPUTED_VALUE"""),2.74)</f>
        <v>2.74</v>
      </c>
      <c r="D14" s="17">
        <v>9.26</v>
      </c>
      <c r="E14" s="130">
        <v>46072.0</v>
      </c>
      <c r="F14" s="9">
        <v>80.0</v>
      </c>
      <c r="H14" s="9">
        <v>115000.0</v>
      </c>
      <c r="I14" s="136">
        <f t="shared" si="1"/>
        <v>1437.5</v>
      </c>
    </row>
    <row r="15">
      <c r="A15" s="135">
        <f>IFERROR(__xludf.DUMMYFUNCTION("""COMPUTED_VALUE"""),46091.547995636574)</f>
        <v>46091.548</v>
      </c>
      <c r="B15" s="17">
        <f>IFERROR(__xludf.DUMMYFUNCTION("""COMPUTED_VALUE"""),5940.0)</f>
        <v>5940</v>
      </c>
      <c r="C15" s="133">
        <f>IFERROR(__xludf.DUMMYFUNCTION("""COMPUTED_VALUE"""),756.9116540649849)</f>
        <v>756.9116541</v>
      </c>
      <c r="D15" s="17">
        <v>5183.088345935015</v>
      </c>
      <c r="E15" s="130">
        <v>46072.0</v>
      </c>
      <c r="F15" s="9">
        <v>65.0</v>
      </c>
      <c r="H15" s="9">
        <v>94000.0</v>
      </c>
      <c r="I15" s="136">
        <f t="shared" si="1"/>
        <v>1446.153846</v>
      </c>
    </row>
    <row r="16">
      <c r="A16" s="135">
        <f>IFERROR(__xludf.DUMMYFUNCTION("""COMPUTED_VALUE"""),46091.55504461806)</f>
        <v>46091.55504</v>
      </c>
      <c r="B16" s="17">
        <f>IFERROR(__xludf.DUMMYFUNCTION("""COMPUTED_VALUE"""),70.0)</f>
        <v>70</v>
      </c>
      <c r="C16" s="133">
        <f>IFERROR(__xludf.DUMMYFUNCTION("""COMPUTED_VALUE"""),9.051123596524944)</f>
        <v>9.051123597</v>
      </c>
      <c r="D16" s="17">
        <v>60.948876403475055</v>
      </c>
      <c r="E16" s="151">
        <v>46076.0</v>
      </c>
      <c r="F16" s="9">
        <v>2000.0</v>
      </c>
      <c r="H16" s="17"/>
    </row>
    <row r="17">
      <c r="A17" s="135">
        <f>IFERROR(__xludf.DUMMYFUNCTION("""COMPUTED_VALUE"""),46094.90472501158)</f>
        <v>46094.90473</v>
      </c>
      <c r="B17" s="17">
        <f>IFERROR(__xludf.DUMMYFUNCTION("""COMPUTED_VALUE"""),73.0)</f>
        <v>73</v>
      </c>
      <c r="C17" s="133">
        <f>IFERROR(__xludf.DUMMYFUNCTION("""COMPUTED_VALUE"""),8.722999999999999)</f>
        <v>8.723</v>
      </c>
      <c r="D17" s="17">
        <v>64.277</v>
      </c>
      <c r="E17" s="151">
        <v>46077.0</v>
      </c>
      <c r="F17" s="9">
        <v>678.0</v>
      </c>
      <c r="H17" s="9">
        <v>969540.0</v>
      </c>
      <c r="I17" s="136">
        <f t="shared" ref="I17:I29" si="2">H17/F17</f>
        <v>1430</v>
      </c>
    </row>
    <row r="18">
      <c r="A18" s="135">
        <f>IFERROR(__xludf.DUMMYFUNCTION("""COMPUTED_VALUE"""),46100.40611190972)</f>
        <v>46100.40611</v>
      </c>
      <c r="B18" s="17">
        <f>IFERROR(__xludf.DUMMYFUNCTION("""COMPUTED_VALUE"""),2850.0)</f>
        <v>2850</v>
      </c>
      <c r="C18" s="133">
        <f>IFERROR(__xludf.DUMMYFUNCTION("""COMPUTED_VALUE"""),326.85029)</f>
        <v>326.85029</v>
      </c>
      <c r="D18" s="17">
        <v>2523.14971</v>
      </c>
      <c r="E18" s="130">
        <v>46078.0</v>
      </c>
      <c r="F18" s="9">
        <v>150.0</v>
      </c>
      <c r="H18" s="9">
        <v>215250.0</v>
      </c>
      <c r="I18" s="136">
        <f t="shared" si="2"/>
        <v>1435</v>
      </c>
    </row>
    <row r="19">
      <c r="A19" s="135">
        <f>IFERROR(__xludf.DUMMYFUNCTION("""COMPUTED_VALUE"""),46100.42895394676)</f>
        <v>46100.42895</v>
      </c>
      <c r="B19" s="17">
        <f>IFERROR(__xludf.DUMMYFUNCTION("""COMPUTED_VALUE"""),111.0)</f>
        <v>111</v>
      </c>
      <c r="C19" s="133">
        <f>IFERROR(__xludf.DUMMYFUNCTION("""COMPUTED_VALUE"""),13.518)</f>
        <v>13.518</v>
      </c>
      <c r="D19" s="17">
        <v>97.482</v>
      </c>
      <c r="E19" s="151">
        <v>46079.0</v>
      </c>
      <c r="F19" s="9">
        <v>500.0</v>
      </c>
      <c r="H19" s="9">
        <v>722500.0</v>
      </c>
      <c r="I19" s="136">
        <f t="shared" si="2"/>
        <v>1445</v>
      </c>
    </row>
    <row r="20">
      <c r="A20" s="135">
        <f>IFERROR(__xludf.DUMMYFUNCTION("""COMPUTED_VALUE"""),46105.50936083333)</f>
        <v>46105.50936</v>
      </c>
      <c r="B20" s="17">
        <f>IFERROR(__xludf.DUMMYFUNCTION("""COMPUTED_VALUE"""),2080.0)</f>
        <v>2080</v>
      </c>
      <c r="C20" s="133">
        <f>IFERROR(__xludf.DUMMYFUNCTION("""COMPUTED_VALUE"""),248.00477999999998)</f>
        <v>248.00478</v>
      </c>
      <c r="D20" s="17">
        <v>1831.99522</v>
      </c>
      <c r="E20" s="151">
        <v>46084.0</v>
      </c>
      <c r="F20" s="9">
        <v>75.0</v>
      </c>
      <c r="H20" s="9">
        <v>106500.0</v>
      </c>
      <c r="I20" s="136">
        <f t="shared" si="2"/>
        <v>1420</v>
      </c>
    </row>
    <row r="21">
      <c r="A21" s="135">
        <f>IFERROR(__xludf.DUMMYFUNCTION("""COMPUTED_VALUE"""),46107.65429967592)</f>
        <v>46107.6543</v>
      </c>
      <c r="B21" s="17">
        <f>IFERROR(__xludf.DUMMYFUNCTION("""COMPUTED_VALUE"""),380.0)</f>
        <v>380</v>
      </c>
      <c r="C21" s="133">
        <f>IFERROR(__xludf.DUMMYFUNCTION("""COMPUTED_VALUE"""),43.560779999999994)</f>
        <v>43.56078</v>
      </c>
      <c r="D21" s="17">
        <v>336.43922</v>
      </c>
      <c r="E21" s="151">
        <v>46087.0</v>
      </c>
      <c r="F21" s="9">
        <v>350.0</v>
      </c>
      <c r="H21" s="9">
        <v>490000.0</v>
      </c>
      <c r="I21" s="136">
        <f t="shared" si="2"/>
        <v>1400</v>
      </c>
    </row>
    <row r="22">
      <c r="A22" s="135">
        <f>IFERROR(__xludf.DUMMYFUNCTION("""COMPUTED_VALUE"""),46113.48244548611)</f>
        <v>46113.48245</v>
      </c>
      <c r="B22" s="17">
        <f>IFERROR(__xludf.DUMMYFUNCTION("""COMPUTED_VALUE"""),2114.0)</f>
        <v>2114</v>
      </c>
      <c r="C22" s="133">
        <f>IFERROR(__xludf.DUMMYFUNCTION("""COMPUTED_VALUE"""),286.81516000000005)</f>
        <v>286.81516</v>
      </c>
      <c r="D22" s="17">
        <v>1827.18484</v>
      </c>
      <c r="E22" s="151">
        <v>46092.0</v>
      </c>
      <c r="F22" s="9">
        <v>820.0</v>
      </c>
      <c r="H22" s="9">
        <v>1148000.0</v>
      </c>
      <c r="I22" s="136">
        <f t="shared" si="2"/>
        <v>1400</v>
      </c>
    </row>
    <row r="23">
      <c r="A23" s="135">
        <f>IFERROR(__xludf.DUMMYFUNCTION("""COMPUTED_VALUE"""),46115.50344347222)</f>
        <v>46115.50344</v>
      </c>
      <c r="B23" s="17">
        <f>IFERROR(__xludf.DUMMYFUNCTION("""COMPUTED_VALUE"""),43.0)</f>
        <v>43</v>
      </c>
      <c r="C23" s="133">
        <f>IFERROR(__xludf.DUMMYFUNCTION("""COMPUTED_VALUE"""),4.856999999999999)</f>
        <v>4.857</v>
      </c>
      <c r="D23" s="17">
        <v>38.143</v>
      </c>
      <c r="E23" s="130">
        <v>46092.0</v>
      </c>
      <c r="F23" s="9">
        <v>1000.0</v>
      </c>
      <c r="H23" s="17"/>
      <c r="I23" s="136">
        <f t="shared" si="2"/>
        <v>0</v>
      </c>
      <c r="J23" s="4" t="s">
        <v>1222</v>
      </c>
    </row>
    <row r="24">
      <c r="A24" s="135">
        <f>IFERROR(__xludf.DUMMYFUNCTION("""COMPUTED_VALUE"""),46122.48845561343)</f>
        <v>46122.48846</v>
      </c>
      <c r="B24" s="17">
        <f>IFERROR(__xludf.DUMMYFUNCTION("""COMPUTED_VALUE"""),1540.0)</f>
        <v>1540</v>
      </c>
      <c r="C24" s="133">
        <f>IFERROR(__xludf.DUMMYFUNCTION("""COMPUTED_VALUE"""),173.954)</f>
        <v>173.954</v>
      </c>
      <c r="D24" s="17">
        <v>1366.046</v>
      </c>
      <c r="E24" s="130">
        <v>46094.0</v>
      </c>
      <c r="F24" s="9">
        <v>73.0</v>
      </c>
      <c r="H24" s="9">
        <v>91650.0</v>
      </c>
      <c r="I24" s="136">
        <f t="shared" si="2"/>
        <v>1255.479452</v>
      </c>
    </row>
    <row r="25">
      <c r="A25" s="135">
        <f>IFERROR(__xludf.DUMMYFUNCTION("""COMPUTED_VALUE"""),46122.50316644676)</f>
        <v>46122.50317</v>
      </c>
      <c r="B25" s="17">
        <f>IFERROR(__xludf.DUMMYFUNCTION("""COMPUTED_VALUE"""),37.0)</f>
        <v>37</v>
      </c>
      <c r="C25" s="133">
        <f>IFERROR(__xludf.DUMMYFUNCTION("""COMPUTED_VALUE"""),4.506)</f>
        <v>4.506</v>
      </c>
      <c r="D25" s="17">
        <v>32.494</v>
      </c>
      <c r="E25" s="130">
        <v>46100.0</v>
      </c>
      <c r="F25" s="9">
        <v>300.0</v>
      </c>
      <c r="H25" s="9">
        <v>426000.0</v>
      </c>
      <c r="I25" s="136">
        <f t="shared" si="2"/>
        <v>1420</v>
      </c>
    </row>
    <row r="26">
      <c r="A26" s="135">
        <f>IFERROR(__xludf.DUMMYFUNCTION("""COMPUTED_VALUE"""),46125.548567962964)</f>
        <v>46125.54857</v>
      </c>
      <c r="B26" s="17">
        <f>IFERROR(__xludf.DUMMYFUNCTION("""COMPUTED_VALUE"""),827.0)</f>
        <v>827</v>
      </c>
      <c r="C26" s="133">
        <f>IFERROR(__xludf.DUMMYFUNCTION("""COMPUTED_VALUE"""),117.30700000000002)</f>
        <v>117.307</v>
      </c>
      <c r="D26" s="17">
        <v>709.693</v>
      </c>
      <c r="E26" s="130">
        <v>46100.0</v>
      </c>
      <c r="F26" s="9">
        <v>350.0</v>
      </c>
      <c r="H26" s="9">
        <v>500000.0</v>
      </c>
      <c r="I26" s="136">
        <f t="shared" si="2"/>
        <v>1428.571429</v>
      </c>
    </row>
    <row r="27">
      <c r="A27" s="135">
        <f>IFERROR(__xludf.DUMMYFUNCTION("""COMPUTED_VALUE"""),46128.612426458334)</f>
        <v>46128.61243</v>
      </c>
      <c r="B27" s="17">
        <f>IFERROR(__xludf.DUMMYFUNCTION("""COMPUTED_VALUE"""),556.0)</f>
        <v>556</v>
      </c>
      <c r="C27" s="133">
        <f>IFERROR(__xludf.DUMMYFUNCTION("""COMPUTED_VALUE"""),60.104)</f>
        <v>60.104</v>
      </c>
      <c r="D27" s="17">
        <v>495.896</v>
      </c>
      <c r="E27" s="130">
        <v>46102.0</v>
      </c>
      <c r="F27" s="9">
        <v>140.0</v>
      </c>
      <c r="H27" s="9">
        <v>200000.0</v>
      </c>
      <c r="I27" s="136">
        <f t="shared" si="2"/>
        <v>1428.571429</v>
      </c>
    </row>
    <row r="28">
      <c r="A28" s="135">
        <f>IFERROR(__xludf.DUMMYFUNCTION("""COMPUTED_VALUE"""),46129.60218375001)</f>
        <v>46129.60218</v>
      </c>
      <c r="B28" s="17">
        <f>IFERROR(__xludf.DUMMYFUNCTION("""COMPUTED_VALUE"""),1656.0)</f>
        <v>1656</v>
      </c>
      <c r="C28" s="133">
        <f>IFERROR(__xludf.DUMMYFUNCTION("""COMPUTED_VALUE"""),194.29837999999998)</f>
        <v>194.29838</v>
      </c>
      <c r="D28" s="17">
        <v>1461.70162</v>
      </c>
      <c r="E28" s="130">
        <v>46102.0</v>
      </c>
      <c r="F28" s="9">
        <v>200.0</v>
      </c>
      <c r="H28" s="9">
        <v>285000.0</v>
      </c>
      <c r="I28" s="136">
        <f t="shared" si="2"/>
        <v>1425</v>
      </c>
    </row>
    <row r="29">
      <c r="A29" s="135">
        <f>IFERROR(__xludf.DUMMYFUNCTION("""COMPUTED_VALUE"""),46134.53675914351)</f>
        <v>46134.53676</v>
      </c>
      <c r="B29" s="17">
        <f>IFERROR(__xludf.DUMMYFUNCTION("""COMPUTED_VALUE"""),1024.0)</f>
        <v>1024</v>
      </c>
      <c r="C29" s="133">
        <f>IFERROR(__xludf.DUMMYFUNCTION("""COMPUTED_VALUE"""),147.26108)</f>
        <v>147.26108</v>
      </c>
      <c r="D29" s="17">
        <v>876.73892</v>
      </c>
      <c r="E29" s="130">
        <v>46106.0</v>
      </c>
      <c r="F29" s="9">
        <v>120.0</v>
      </c>
      <c r="H29" s="9">
        <v>170000.0</v>
      </c>
      <c r="I29" s="136">
        <f t="shared" si="2"/>
        <v>1416.666667</v>
      </c>
    </row>
    <row r="30">
      <c r="A30" s="135">
        <f>IFERROR(__xludf.DUMMYFUNCTION("""COMPUTED_VALUE"""),46135.65397158565)</f>
        <v>46135.65397</v>
      </c>
      <c r="B30" s="17">
        <f>IFERROR(__xludf.DUMMYFUNCTION("""COMPUTED_VALUE"""),1200.0)</f>
        <v>1200</v>
      </c>
      <c r="C30" s="133">
        <f>IFERROR(__xludf.DUMMYFUNCTION("""COMPUTED_VALUE"""),147.64156)</f>
        <v>147.64156</v>
      </c>
      <c r="D30" s="17">
        <v>1052.35844</v>
      </c>
      <c r="E30" s="130">
        <v>46107.0</v>
      </c>
      <c r="F30" s="9">
        <v>2000.0</v>
      </c>
      <c r="H30" s="17"/>
      <c r="I30" s="136"/>
      <c r="J30" s="4" t="s">
        <v>1229</v>
      </c>
    </row>
    <row r="31">
      <c r="A31" s="135">
        <f>IFERROR(__xludf.DUMMYFUNCTION("""COMPUTED_VALUE"""),46136.51522201389)</f>
        <v>46136.51522</v>
      </c>
      <c r="B31" s="17">
        <f>IFERROR(__xludf.DUMMYFUNCTION("""COMPUTED_VALUE"""),2090.0)</f>
        <v>2090</v>
      </c>
      <c r="C31" s="133">
        <f>IFERROR(__xludf.DUMMYFUNCTION("""COMPUTED_VALUE"""),350.3999999999999)</f>
        <v>350.4</v>
      </c>
      <c r="D31" s="17">
        <v>1739.6000000000001</v>
      </c>
      <c r="E31" s="130">
        <v>46107.0</v>
      </c>
      <c r="F31" s="9">
        <v>190.0</v>
      </c>
      <c r="H31" s="9">
        <v>270000.0</v>
      </c>
      <c r="I31" s="136">
        <f t="shared" ref="I31:I66" si="3">H31/F31</f>
        <v>1421.052632</v>
      </c>
    </row>
    <row r="32">
      <c r="A32" s="135">
        <f>IFERROR(__xludf.DUMMYFUNCTION("""COMPUTED_VALUE"""),46136.52892653935)</f>
        <v>46136.52893</v>
      </c>
      <c r="B32" s="17">
        <f>IFERROR(__xludf.DUMMYFUNCTION("""COMPUTED_VALUE"""),170.0)</f>
        <v>170</v>
      </c>
      <c r="C32" s="133">
        <f>IFERROR(__xludf.DUMMYFUNCTION("""COMPUTED_VALUE"""),25.0)</f>
        <v>25</v>
      </c>
      <c r="D32" s="17">
        <v>145.0</v>
      </c>
      <c r="E32" s="130">
        <v>46108.0</v>
      </c>
      <c r="F32" s="9">
        <v>180.0</v>
      </c>
      <c r="H32" s="9">
        <v>255600.0</v>
      </c>
      <c r="I32" s="136">
        <f t="shared" si="3"/>
        <v>1420</v>
      </c>
    </row>
    <row r="33">
      <c r="A33" s="135">
        <f>IFERROR(__xludf.DUMMYFUNCTION("""COMPUTED_VALUE"""),46142.002299872685)</f>
        <v>46142.0023</v>
      </c>
      <c r="B33" s="17">
        <f>IFERROR(__xludf.DUMMYFUNCTION("""COMPUTED_VALUE"""),2770.0)</f>
        <v>2770</v>
      </c>
      <c r="C33" s="133">
        <f>IFERROR(__xludf.DUMMYFUNCTION("""COMPUTED_VALUE"""),858.495)</f>
        <v>858.495</v>
      </c>
      <c r="D33" s="17">
        <v>1911.505</v>
      </c>
      <c r="E33" s="130">
        <v>46109.0</v>
      </c>
      <c r="F33" s="9">
        <v>120.0</v>
      </c>
      <c r="H33" s="9">
        <v>170400.0</v>
      </c>
      <c r="I33" s="136">
        <f t="shared" si="3"/>
        <v>1420</v>
      </c>
    </row>
    <row r="34">
      <c r="A34" s="135">
        <f>IFERROR(__xludf.DUMMYFUNCTION("""COMPUTED_VALUE"""),46142.49808829861)</f>
        <v>46142.49809</v>
      </c>
      <c r="B34" s="17">
        <f>IFERROR(__xludf.DUMMYFUNCTION("""COMPUTED_VALUE"""),4670.0)</f>
        <v>4670</v>
      </c>
      <c r="C34" s="133">
        <f>IFERROR(__xludf.DUMMYFUNCTION("""COMPUTED_VALUE"""),1091.942)</f>
        <v>1091.942</v>
      </c>
      <c r="D34" s="17">
        <v>3578.058</v>
      </c>
      <c r="E34" s="130">
        <v>46111.0</v>
      </c>
      <c r="F34" s="9">
        <v>150.0</v>
      </c>
      <c r="H34" s="9">
        <v>212250.0</v>
      </c>
      <c r="I34" s="136">
        <f t="shared" si="3"/>
        <v>1415</v>
      </c>
    </row>
    <row r="35">
      <c r="A35" s="135">
        <f>IFERROR(__xludf.DUMMYFUNCTION("""COMPUTED_VALUE"""),46157.52252828704)</f>
        <v>46157.52253</v>
      </c>
      <c r="B35" s="17">
        <f>IFERROR(__xludf.DUMMYFUNCTION("""COMPUTED_VALUE"""),2554.0)</f>
        <v>2554</v>
      </c>
      <c r="C35" s="133">
        <f>IFERROR(__xludf.DUMMYFUNCTION("""COMPUTED_VALUE"""),342.2393748424694)</f>
        <v>342.2393748</v>
      </c>
      <c r="D35" s="17">
        <v>2211.7606251575307</v>
      </c>
      <c r="E35" s="130">
        <v>46114.0</v>
      </c>
      <c r="F35" s="9">
        <v>1840.0</v>
      </c>
      <c r="H35" s="17"/>
      <c r="I35" s="136">
        <f t="shared" si="3"/>
        <v>0</v>
      </c>
      <c r="J35" s="4" t="s">
        <v>1236</v>
      </c>
    </row>
    <row r="36">
      <c r="A36" s="135">
        <f>IFERROR(__xludf.DUMMYFUNCTION("""COMPUTED_VALUE"""),46157.52398521991)</f>
        <v>46157.52399</v>
      </c>
      <c r="B36" s="17">
        <f>IFERROR(__xludf.DUMMYFUNCTION("""COMPUTED_VALUE"""),950.0)</f>
        <v>950</v>
      </c>
      <c r="C36" s="133">
        <f>IFERROR(__xludf.DUMMYFUNCTION("""COMPUTED_VALUE"""),124.67799999999997)</f>
        <v>124.678</v>
      </c>
      <c r="D36" s="17">
        <v>825.322</v>
      </c>
      <c r="E36" s="130">
        <v>46115.0</v>
      </c>
      <c r="F36" s="9">
        <v>277.0</v>
      </c>
      <c r="H36" s="9">
        <v>389025.0</v>
      </c>
      <c r="I36" s="136">
        <f t="shared" si="3"/>
        <v>1404.422383</v>
      </c>
      <c r="J36" s="4" t="s">
        <v>1237</v>
      </c>
    </row>
    <row r="37">
      <c r="A37" s="135">
        <f>IFERROR(__xludf.DUMMYFUNCTION("""COMPUTED_VALUE"""),46160.66341793982)</f>
        <v>46160.66342</v>
      </c>
      <c r="B37" s="17">
        <f>IFERROR(__xludf.DUMMYFUNCTION("""COMPUTED_VALUE"""),750.0)</f>
        <v>750</v>
      </c>
      <c r="C37" s="133">
        <f>IFERROR(__xludf.DUMMYFUNCTION("""COMPUTED_VALUE"""),90.92723596524941)</f>
        <v>90.92723597</v>
      </c>
      <c r="D37" s="17">
        <v>659.0727640347505</v>
      </c>
      <c r="E37" s="130">
        <v>46117.0</v>
      </c>
      <c r="F37" s="9">
        <v>150.0</v>
      </c>
      <c r="H37" s="9">
        <v>214500.0</v>
      </c>
      <c r="I37" s="136">
        <f t="shared" si="3"/>
        <v>1430</v>
      </c>
    </row>
    <row r="38">
      <c r="A38" s="135">
        <f>IFERROR(__xludf.DUMMYFUNCTION("""COMPUTED_VALUE"""),46162.58799190972)</f>
        <v>46162.58799</v>
      </c>
      <c r="B38" s="17">
        <f>IFERROR(__xludf.DUMMYFUNCTION("""COMPUTED_VALUE"""),8428.0)</f>
        <v>8428</v>
      </c>
      <c r="C38" s="133">
        <f>IFERROR(__xludf.DUMMYFUNCTION("""COMPUTED_VALUE"""),1008.7526200000001)</f>
        <v>1008.75262</v>
      </c>
      <c r="D38" s="17">
        <v>7419.24738</v>
      </c>
      <c r="E38" s="130">
        <v>46121.0</v>
      </c>
      <c r="F38" s="9">
        <v>300.0</v>
      </c>
      <c r="H38" s="9">
        <v>420000.0</v>
      </c>
      <c r="I38" s="136">
        <f t="shared" si="3"/>
        <v>1400</v>
      </c>
    </row>
    <row r="39">
      <c r="A39" s="135">
        <f>IFERROR(__xludf.DUMMYFUNCTION("""COMPUTED_VALUE"""),46163.50381354166)</f>
        <v>46163.50381</v>
      </c>
      <c r="B39" s="17">
        <f>IFERROR(__xludf.DUMMYFUNCTION("""COMPUTED_VALUE"""),2034.0)</f>
        <v>2034</v>
      </c>
      <c r="C39" s="133">
        <f>IFERROR(__xludf.DUMMYFUNCTION("""COMPUTED_VALUE"""),285.312)</f>
        <v>285.312</v>
      </c>
      <c r="D39" s="17">
        <v>1748.688</v>
      </c>
      <c r="E39" s="130">
        <v>46122.0</v>
      </c>
      <c r="F39" s="9">
        <v>120.0</v>
      </c>
      <c r="H39" s="9">
        <v>165000.0</v>
      </c>
      <c r="I39" s="136">
        <f t="shared" si="3"/>
        <v>1375</v>
      </c>
    </row>
    <row r="40">
      <c r="A40" s="135">
        <f>IFERROR(__xludf.DUMMYFUNCTION("""COMPUTED_VALUE"""),46166.95721944445)</f>
        <v>46166.95722</v>
      </c>
      <c r="B40" s="17">
        <f>IFERROR(__xludf.DUMMYFUNCTION("""COMPUTED_VALUE"""),1400.0)</f>
        <v>1400</v>
      </c>
      <c r="C40" s="133">
        <f>IFERROR(__xludf.DUMMYFUNCTION("""COMPUTED_VALUE"""),386.984)</f>
        <v>386.984</v>
      </c>
      <c r="D40" s="17">
        <v>1013.0160000000001</v>
      </c>
      <c r="E40" s="130">
        <v>46122.0</v>
      </c>
      <c r="F40" s="9">
        <v>310.0</v>
      </c>
      <c r="H40" s="9">
        <v>430000.0</v>
      </c>
      <c r="I40" s="136">
        <f t="shared" si="3"/>
        <v>1387.096774</v>
      </c>
    </row>
    <row r="41">
      <c r="A41" s="135">
        <f>IFERROR(__xludf.DUMMYFUNCTION("""COMPUTED_VALUE"""),46183.55062210648)</f>
        <v>46183.55062</v>
      </c>
      <c r="B41" s="17">
        <f>IFERROR(__xludf.DUMMYFUNCTION("""COMPUTED_VALUE"""),3838.0)</f>
        <v>3838</v>
      </c>
      <c r="C41" s="133">
        <f>IFERROR(__xludf.DUMMYFUNCTION("""COMPUTED_VALUE"""),656.8530000000001)</f>
        <v>656.853</v>
      </c>
      <c r="D41" s="17">
        <v>3181.147</v>
      </c>
      <c r="E41" s="130">
        <v>46122.0</v>
      </c>
      <c r="F41" s="9">
        <v>40.0</v>
      </c>
      <c r="H41" s="9">
        <v>57000.0</v>
      </c>
      <c r="I41" s="136">
        <f t="shared" si="3"/>
        <v>1425</v>
      </c>
    </row>
    <row r="42">
      <c r="A42" s="135">
        <f>IFERROR(__xludf.DUMMYFUNCTION("""COMPUTED_VALUE"""),46191.66320418982)</f>
        <v>46191.6632</v>
      </c>
      <c r="B42" s="17">
        <f>IFERROR(__xludf.DUMMYFUNCTION("""COMPUTED_VALUE"""),1968.0)</f>
        <v>1968</v>
      </c>
      <c r="C42" s="133">
        <f>IFERROR(__xludf.DUMMYFUNCTION("""COMPUTED_VALUE"""),261.10100000000006)</f>
        <v>261.101</v>
      </c>
      <c r="D42" s="17">
        <v>1706.899</v>
      </c>
      <c r="E42" s="130">
        <v>46122.0</v>
      </c>
      <c r="F42" s="9">
        <v>95.0</v>
      </c>
      <c r="H42" s="9">
        <v>132050.0</v>
      </c>
      <c r="I42" s="136">
        <f t="shared" si="3"/>
        <v>1390</v>
      </c>
    </row>
    <row r="43">
      <c r="A43" s="135">
        <f>IFERROR(__xludf.DUMMYFUNCTION("""COMPUTED_VALUE"""),46191.66387959491)</f>
        <v>46191.66388</v>
      </c>
      <c r="B43" s="17">
        <f>IFERROR(__xludf.DUMMYFUNCTION("""COMPUTED_VALUE"""),200.0)</f>
        <v>200</v>
      </c>
      <c r="C43" s="133">
        <f>IFERROR(__xludf.DUMMYFUNCTION("""COMPUTED_VALUE"""),21.319999999999993)</f>
        <v>21.32</v>
      </c>
      <c r="D43" s="17">
        <v>178.68</v>
      </c>
      <c r="E43" s="130">
        <v>46123.0</v>
      </c>
      <c r="F43" s="9">
        <v>72.0</v>
      </c>
      <c r="H43" s="9">
        <v>100000.0</v>
      </c>
      <c r="I43" s="136">
        <f t="shared" si="3"/>
        <v>1388.888889</v>
      </c>
    </row>
    <row r="44">
      <c r="A44" s="135">
        <f>IFERROR(__xludf.DUMMYFUNCTION("""COMPUTED_VALUE"""),46203.506490659725)</f>
        <v>46203.50649</v>
      </c>
      <c r="B44" s="17">
        <f>IFERROR(__xludf.DUMMYFUNCTION("""COMPUTED_VALUE"""),10012.0)</f>
        <v>10012</v>
      </c>
      <c r="C44" s="133">
        <f>IFERROR(__xludf.DUMMYFUNCTION("""COMPUTED_VALUE"""),1116.2410000000002)</f>
        <v>1116.241</v>
      </c>
      <c r="D44" s="17">
        <v>8895.759</v>
      </c>
      <c r="E44" s="130">
        <v>46123.0</v>
      </c>
      <c r="F44" s="9">
        <v>92.0</v>
      </c>
      <c r="H44" s="9">
        <v>130000.0</v>
      </c>
      <c r="I44" s="136">
        <f t="shared" si="3"/>
        <v>1413.043478</v>
      </c>
    </row>
    <row r="45">
      <c r="A45" s="135">
        <f>IFERROR(__xludf.DUMMYFUNCTION("""COMPUTED_VALUE"""),46203.50971693287)</f>
        <v>46203.50972</v>
      </c>
      <c r="B45" s="17">
        <f>IFERROR(__xludf.DUMMYFUNCTION("""COMPUTED_VALUE"""),990.0)</f>
        <v>990</v>
      </c>
      <c r="C45" s="133">
        <f>IFERROR(__xludf.DUMMYFUNCTION("""COMPUTED_VALUE"""),150.29)</f>
        <v>150.29</v>
      </c>
      <c r="D45" s="17">
        <v>839.71</v>
      </c>
      <c r="E45" s="130">
        <v>46124.0</v>
      </c>
      <c r="F45" s="9">
        <v>60.0</v>
      </c>
      <c r="H45" s="9">
        <v>84000.0</v>
      </c>
      <c r="I45" s="136">
        <f t="shared" si="3"/>
        <v>1400</v>
      </c>
    </row>
    <row r="46">
      <c r="A46" s="135">
        <f>IFERROR(__xludf.DUMMYFUNCTION("""COMPUTED_VALUE"""),46210.64257081019)</f>
        <v>46210.64257</v>
      </c>
      <c r="B46" s="17">
        <f>IFERROR(__xludf.DUMMYFUNCTION("""COMPUTED_VALUE"""),2421.0)</f>
        <v>2421</v>
      </c>
      <c r="C46" s="133">
        <f>IFERROR(__xludf.DUMMYFUNCTION("""COMPUTED_VALUE"""),273.03508)</f>
        <v>273.03508</v>
      </c>
      <c r="D46" s="17">
        <v>2147.96492</v>
      </c>
      <c r="E46" s="130">
        <v>46125.0</v>
      </c>
      <c r="F46" s="9">
        <v>72.0</v>
      </c>
      <c r="H46" s="9">
        <v>100000.0</v>
      </c>
      <c r="I46" s="136">
        <f t="shared" si="3"/>
        <v>1388.888889</v>
      </c>
    </row>
    <row r="47">
      <c r="A47" s="135">
        <f>IFERROR(__xludf.DUMMYFUNCTION("""COMPUTED_VALUE"""),46210.66190644675)</f>
        <v>46210.66191</v>
      </c>
      <c r="B47" s="17">
        <f>IFERROR(__xludf.DUMMYFUNCTION("""COMPUTED_VALUE"""),8709.0)</f>
        <v>8709</v>
      </c>
      <c r="C47" s="133">
        <f>IFERROR(__xludf.DUMMYFUNCTION("""COMPUTED_VALUE"""),1196.361)</f>
        <v>1196.361</v>
      </c>
      <c r="D47" s="17">
        <v>7512.639</v>
      </c>
      <c r="E47" s="130">
        <v>46126.0</v>
      </c>
      <c r="F47" s="9">
        <v>108.0</v>
      </c>
      <c r="H47" s="9">
        <v>150000.0</v>
      </c>
      <c r="I47" s="136">
        <f t="shared" si="3"/>
        <v>1388.888889</v>
      </c>
    </row>
    <row r="48">
      <c r="A48" s="135">
        <f>IFERROR(__xludf.DUMMYFUNCTION("""COMPUTED_VALUE"""),46224.51148100694)</f>
        <v>46224.51148</v>
      </c>
      <c r="B48" s="17">
        <f>IFERROR(__xludf.DUMMYFUNCTION("""COMPUTED_VALUE"""),7585.0)</f>
        <v>7585</v>
      </c>
      <c r="C48" s="133">
        <f>IFERROR(__xludf.DUMMYFUNCTION("""COMPUTED_VALUE"""),1098.2689800000005)</f>
        <v>1098.26898</v>
      </c>
      <c r="D48" s="17">
        <v>6486.731019999999</v>
      </c>
      <c r="E48" s="130">
        <v>46126.0</v>
      </c>
      <c r="F48" s="9">
        <v>82.0</v>
      </c>
      <c r="H48" s="9">
        <v>115000.0</v>
      </c>
      <c r="I48" s="136">
        <f t="shared" si="3"/>
        <v>1402.439024</v>
      </c>
      <c r="L48" s="12">
        <f>SUM(D3:D56)</f>
        <v>103594.6476</v>
      </c>
    </row>
    <row r="49">
      <c r="A49" s="135">
        <f>IFERROR(__xludf.DUMMYFUNCTION("""COMPUTED_VALUE"""),46224.51991461805)</f>
        <v>46224.51991</v>
      </c>
      <c r="B49" s="17">
        <f>IFERROR(__xludf.DUMMYFUNCTION("""COMPUTED_VALUE"""),184.0)</f>
        <v>184</v>
      </c>
      <c r="C49" s="133">
        <f>IFERROR(__xludf.DUMMYFUNCTION("""COMPUTED_VALUE"""),8.53966063348416)</f>
        <v>8.539660633</v>
      </c>
      <c r="D49" s="17">
        <v>175.46033936651583</v>
      </c>
      <c r="E49" s="130">
        <v>46127.0</v>
      </c>
      <c r="F49" s="9">
        <v>190.0</v>
      </c>
      <c r="H49" s="9">
        <v>268000.0</v>
      </c>
      <c r="I49" s="136">
        <f t="shared" si="3"/>
        <v>1410.526316</v>
      </c>
      <c r="L49" s="12">
        <f>SUM(F3:F139)</f>
        <v>89910.14</v>
      </c>
    </row>
    <row r="50">
      <c r="A50" s="135">
        <f>IFERROR(__xludf.DUMMYFUNCTION("""COMPUTED_VALUE"""),46228.39590101852)</f>
        <v>46228.3959</v>
      </c>
      <c r="B50" s="17">
        <f>IFERROR(__xludf.DUMMYFUNCTION("""COMPUTED_VALUE"""),5986.0)</f>
        <v>5986</v>
      </c>
      <c r="C50" s="17">
        <f>IFERROR(__xludf.DUMMYFUNCTION("""COMPUTED_VALUE"""),566.96631)</f>
        <v>566.96631</v>
      </c>
      <c r="D50" s="17">
        <v>5419.03369</v>
      </c>
      <c r="E50" s="130">
        <v>46127.0</v>
      </c>
      <c r="F50" s="9">
        <v>2000.0</v>
      </c>
      <c r="H50" s="17"/>
      <c r="I50" s="136">
        <f t="shared" si="3"/>
        <v>0</v>
      </c>
      <c r="J50" s="4" t="s">
        <v>1249</v>
      </c>
    </row>
    <row r="51">
      <c r="A51" s="135">
        <f>IFERROR(__xludf.DUMMYFUNCTION("""COMPUTED_VALUE"""),46228.39667952546)</f>
        <v>46228.39668</v>
      </c>
      <c r="B51" s="17">
        <f>IFERROR(__xludf.DUMMYFUNCTION("""COMPUTED_VALUE"""),960.0)</f>
        <v>960</v>
      </c>
      <c r="C51" s="17">
        <f>IFERROR(__xludf.DUMMYFUNCTION("""COMPUTED_VALUE"""),160.848)</f>
        <v>160.848</v>
      </c>
      <c r="D51" s="17">
        <v>799.152</v>
      </c>
      <c r="E51" s="130">
        <v>46128.0</v>
      </c>
      <c r="F51" s="9">
        <v>110.0</v>
      </c>
      <c r="H51" s="9">
        <v>155100.0</v>
      </c>
      <c r="I51" s="136">
        <f t="shared" si="3"/>
        <v>1410</v>
      </c>
      <c r="L51" s="12">
        <f>L48-L49</f>
        <v>13684.50758</v>
      </c>
    </row>
    <row r="52">
      <c r="A52" s="135">
        <f>IFERROR(__xludf.DUMMYFUNCTION("""COMPUTED_VALUE"""),46247.329295428244)</f>
        <v>46247.3293</v>
      </c>
      <c r="B52" s="17">
        <f>IFERROR(__xludf.DUMMYFUNCTION("""COMPUTED_VALUE"""),4296.0)</f>
        <v>4296</v>
      </c>
      <c r="C52" s="17">
        <f>IFERROR(__xludf.DUMMYFUNCTION("""COMPUTED_VALUE"""),398.0655000000001)</f>
        <v>398.0655</v>
      </c>
      <c r="D52" s="17">
        <v>3897.9345</v>
      </c>
      <c r="E52" s="130">
        <v>46135.0</v>
      </c>
      <c r="F52" s="9">
        <v>430.0</v>
      </c>
      <c r="H52" s="9">
        <v>600000.0</v>
      </c>
      <c r="I52" s="136">
        <f t="shared" si="3"/>
        <v>1395.348837</v>
      </c>
    </row>
    <row r="53">
      <c r="A53" s="135">
        <f>IFERROR(__xludf.DUMMYFUNCTION("""COMPUTED_VALUE"""),46247.33372537037)</f>
        <v>46247.33373</v>
      </c>
      <c r="B53" s="17">
        <f>IFERROR(__xludf.DUMMYFUNCTION("""COMPUTED_VALUE"""),2500.0)</f>
        <v>2500</v>
      </c>
      <c r="C53" s="17">
        <f>IFERROR(__xludf.DUMMYFUNCTION("""COMPUTED_VALUE"""),461.029455)</f>
        <v>461.029455</v>
      </c>
      <c r="D53" s="17">
        <v>2038.9705450000001</v>
      </c>
      <c r="E53" s="130">
        <v>46135.0</v>
      </c>
      <c r="F53" s="9">
        <v>550.0</v>
      </c>
      <c r="H53" s="9">
        <v>770000.0</v>
      </c>
      <c r="I53" s="136">
        <f t="shared" si="3"/>
        <v>1400</v>
      </c>
    </row>
    <row r="54">
      <c r="A54" s="135">
        <f>IFERROR(__xludf.DUMMYFUNCTION("""COMPUTED_VALUE"""),46263.44154148148)</f>
        <v>46263.44154</v>
      </c>
      <c r="B54" s="17">
        <f>IFERROR(__xludf.DUMMYFUNCTION("""COMPUTED_VALUE"""),10014.0)</f>
        <v>10014</v>
      </c>
      <c r="C54" s="17">
        <f>IFERROR(__xludf.DUMMYFUNCTION("""COMPUTED_VALUE"""),1181.8645946137403)</f>
        <v>1181.864595</v>
      </c>
      <c r="D54" s="17">
        <v>8832.13540538626</v>
      </c>
      <c r="E54" s="130">
        <v>46139.0</v>
      </c>
      <c r="F54" s="9">
        <v>300.0</v>
      </c>
      <c r="H54" s="9">
        <v>420000.0</v>
      </c>
      <c r="I54" s="136">
        <f t="shared" si="3"/>
        <v>1400</v>
      </c>
    </row>
    <row r="55">
      <c r="A55" s="135">
        <f>IFERROR(__xludf.DUMMYFUNCTION("""COMPUTED_VALUE"""),46274.59657954862)</f>
        <v>46274.59658</v>
      </c>
      <c r="B55" s="17">
        <f>IFERROR(__xludf.DUMMYFUNCTION("""COMPUTED_VALUE"""),1560.0)</f>
        <v>1560</v>
      </c>
      <c r="C55" s="17">
        <f>IFERROR(__xludf.DUMMYFUNCTION("""COMPUTED_VALUE"""),142.04157000000006)</f>
        <v>142.04157</v>
      </c>
      <c r="D55" s="17">
        <v>1417.95843</v>
      </c>
      <c r="E55" s="130">
        <v>46139.0</v>
      </c>
      <c r="F55" s="9">
        <v>200.0</v>
      </c>
      <c r="H55" s="9">
        <v>286000.0</v>
      </c>
      <c r="I55" s="136">
        <f t="shared" si="3"/>
        <v>1430</v>
      </c>
    </row>
    <row r="56">
      <c r="A56" s="135">
        <f>IFERROR(__xludf.DUMMYFUNCTION("""COMPUTED_VALUE"""),46275.51611456018)</f>
        <v>46275.51611</v>
      </c>
      <c r="B56" s="17">
        <f>IFERROR(__xludf.DUMMYFUNCTION("""COMPUTED_VALUE"""),3344.0)</f>
        <v>3344</v>
      </c>
      <c r="C56" s="17">
        <f>IFERROR(__xludf.DUMMYFUNCTION("""COMPUTED_VALUE"""),537.6752308371041)</f>
        <v>537.6752308</v>
      </c>
      <c r="D56" s="17">
        <v>2806.324769162896</v>
      </c>
      <c r="E56" s="130">
        <v>46140.0</v>
      </c>
      <c r="F56" s="9">
        <v>385.0</v>
      </c>
      <c r="H56" s="9">
        <v>540000.0</v>
      </c>
      <c r="I56" s="136">
        <f t="shared" si="3"/>
        <v>1402.597403</v>
      </c>
    </row>
    <row r="57">
      <c r="A57" s="135">
        <f>IFERROR(__xludf.DUMMYFUNCTION("""COMPUTED_VALUE"""),46295.558942418975)</f>
        <v>46295.55894</v>
      </c>
      <c r="B57" s="17">
        <f>IFERROR(__xludf.DUMMYFUNCTION("""COMPUTED_VALUE"""),1910.0)</f>
        <v>1910</v>
      </c>
      <c r="C57" s="17">
        <f>IFERROR(__xludf.DUMMYFUNCTION("""COMPUTED_VALUE"""),515.29826)</f>
        <v>515.29826</v>
      </c>
      <c r="D57" s="17">
        <v>1394.70174</v>
      </c>
      <c r="E57" s="130">
        <v>46141.0</v>
      </c>
      <c r="F57" s="9">
        <v>180.0</v>
      </c>
      <c r="H57" s="9">
        <v>255600.0</v>
      </c>
      <c r="I57" s="136">
        <f t="shared" si="3"/>
        <v>1420</v>
      </c>
    </row>
    <row r="58">
      <c r="A58" s="135">
        <f>IFERROR(__xludf.DUMMYFUNCTION("""COMPUTED_VALUE"""),46296.556629224535)</f>
        <v>46296.55663</v>
      </c>
      <c r="B58" s="17">
        <f>IFERROR(__xludf.DUMMYFUNCTION("""COMPUTED_VALUE"""),1794.0)</f>
        <v>1794</v>
      </c>
      <c r="C58" s="17">
        <f>IFERROR(__xludf.DUMMYFUNCTION("""COMPUTED_VALUE"""),188.98800000000003)</f>
        <v>188.988</v>
      </c>
      <c r="D58" s="17">
        <v>1605.012</v>
      </c>
      <c r="E58" s="130">
        <v>46141.0</v>
      </c>
      <c r="F58" s="9">
        <v>3000.0</v>
      </c>
      <c r="H58" s="17"/>
      <c r="I58" s="136">
        <f t="shared" si="3"/>
        <v>0</v>
      </c>
      <c r="J58" s="4" t="s">
        <v>1260</v>
      </c>
    </row>
    <row r="59">
      <c r="B59" s="17"/>
      <c r="C59" s="17"/>
      <c r="D59" s="17" t="s">
        <v>733</v>
      </c>
      <c r="E59" s="130">
        <v>46144.0</v>
      </c>
      <c r="F59" s="9">
        <v>285.0</v>
      </c>
      <c r="H59" s="9">
        <v>400000.0</v>
      </c>
      <c r="I59" s="136">
        <f t="shared" si="3"/>
        <v>1403.508772</v>
      </c>
    </row>
    <row r="60">
      <c r="B60" s="17"/>
      <c r="C60" s="9"/>
      <c r="D60" s="17" t="s">
        <v>733</v>
      </c>
      <c r="E60" s="130">
        <v>46144.0</v>
      </c>
      <c r="F60" s="9">
        <v>305.0</v>
      </c>
      <c r="H60" s="9">
        <v>427000.0</v>
      </c>
      <c r="I60" s="136">
        <f t="shared" si="3"/>
        <v>1400</v>
      </c>
    </row>
    <row r="61">
      <c r="B61" s="17"/>
      <c r="C61" s="17"/>
      <c r="D61" s="17" t="s">
        <v>733</v>
      </c>
      <c r="E61" s="130">
        <v>46144.0</v>
      </c>
      <c r="F61" s="9">
        <v>100.0</v>
      </c>
      <c r="H61" s="9">
        <v>140000.0</v>
      </c>
      <c r="I61" s="136">
        <f t="shared" si="3"/>
        <v>1400</v>
      </c>
    </row>
    <row r="62">
      <c r="B62" s="17"/>
      <c r="C62" s="17"/>
      <c r="D62" s="17" t="s">
        <v>733</v>
      </c>
      <c r="E62" s="130">
        <v>46145.0</v>
      </c>
      <c r="F62" s="9">
        <v>200.0</v>
      </c>
      <c r="H62" s="9">
        <v>280000.0</v>
      </c>
      <c r="I62" s="136">
        <f t="shared" si="3"/>
        <v>1400</v>
      </c>
    </row>
    <row r="63">
      <c r="B63" s="17"/>
      <c r="C63" s="17"/>
      <c r="D63" s="17" t="s">
        <v>733</v>
      </c>
      <c r="E63" s="130">
        <v>46145.0</v>
      </c>
      <c r="F63" s="9">
        <v>230.0</v>
      </c>
      <c r="H63" s="9">
        <v>322000.0</v>
      </c>
      <c r="I63" s="136">
        <f t="shared" si="3"/>
        <v>1400</v>
      </c>
    </row>
    <row r="64">
      <c r="B64" s="17"/>
      <c r="C64" s="17"/>
      <c r="D64" s="17" t="s">
        <v>733</v>
      </c>
      <c r="E64" s="130">
        <v>46145.0</v>
      </c>
      <c r="F64" s="9">
        <v>230.0</v>
      </c>
      <c r="H64" s="9">
        <v>322000.0</v>
      </c>
      <c r="I64" s="136">
        <f t="shared" si="3"/>
        <v>1400</v>
      </c>
    </row>
    <row r="65">
      <c r="B65" s="17"/>
      <c r="C65" s="17"/>
      <c r="D65" s="17" t="s">
        <v>733</v>
      </c>
      <c r="E65" s="130">
        <v>46147.0</v>
      </c>
      <c r="F65" s="9">
        <v>220.0</v>
      </c>
      <c r="H65" s="9">
        <v>309100.0</v>
      </c>
      <c r="I65" s="136">
        <f t="shared" si="3"/>
        <v>1405</v>
      </c>
    </row>
    <row r="66">
      <c r="B66" s="17"/>
      <c r="C66" s="17"/>
      <c r="D66" s="17" t="s">
        <v>733</v>
      </c>
      <c r="E66" s="130">
        <v>46147.0</v>
      </c>
      <c r="F66" s="9">
        <v>285.0</v>
      </c>
      <c r="H66" s="9">
        <v>400000.0</v>
      </c>
      <c r="I66" s="136">
        <f t="shared" si="3"/>
        <v>1403.508772</v>
      </c>
    </row>
    <row r="67">
      <c r="B67" s="17"/>
      <c r="C67" s="17"/>
      <c r="D67" s="17" t="s">
        <v>733</v>
      </c>
      <c r="E67" s="130">
        <v>46147.0</v>
      </c>
      <c r="F67" s="9">
        <v>1800.0</v>
      </c>
      <c r="H67" s="17"/>
      <c r="J67" s="4" t="s">
        <v>1264</v>
      </c>
    </row>
    <row r="68">
      <c r="B68" s="17"/>
      <c r="C68" s="17"/>
      <c r="D68" s="17" t="s">
        <v>733</v>
      </c>
      <c r="E68" s="130">
        <v>46179.0</v>
      </c>
      <c r="F68" s="9">
        <v>190.0</v>
      </c>
      <c r="H68" s="9">
        <v>266000.0</v>
      </c>
    </row>
    <row r="69">
      <c r="B69" s="17"/>
      <c r="C69" s="17"/>
      <c r="D69" s="17" t="s">
        <v>733</v>
      </c>
      <c r="E69" s="130">
        <v>46179.0</v>
      </c>
      <c r="F69" s="9">
        <v>440.0</v>
      </c>
      <c r="H69" s="9">
        <v>619770.0</v>
      </c>
    </row>
    <row r="70">
      <c r="B70" s="17"/>
      <c r="C70" s="17"/>
      <c r="D70" s="17" t="s">
        <v>733</v>
      </c>
      <c r="E70" s="130">
        <v>46180.0</v>
      </c>
      <c r="F70" s="9">
        <v>310.0</v>
      </c>
      <c r="H70" s="9">
        <v>434000.0</v>
      </c>
    </row>
    <row r="71">
      <c r="B71" s="17"/>
      <c r="C71" s="17"/>
      <c r="D71" s="17" t="s">
        <v>733</v>
      </c>
      <c r="E71" s="130">
        <v>46155.0</v>
      </c>
      <c r="F71" s="9">
        <v>100.0</v>
      </c>
      <c r="H71" s="9">
        <v>140000.0</v>
      </c>
    </row>
    <row r="72">
      <c r="B72" s="17"/>
      <c r="C72" s="17"/>
      <c r="D72" s="17" t="s">
        <v>733</v>
      </c>
      <c r="E72" s="130">
        <v>46157.0</v>
      </c>
      <c r="F72" s="9">
        <v>3045.0</v>
      </c>
      <c r="H72" s="17"/>
      <c r="J72" s="4" t="s">
        <v>1266</v>
      </c>
    </row>
    <row r="73">
      <c r="B73" s="17"/>
      <c r="C73" s="17"/>
      <c r="D73" s="17" t="s">
        <v>733</v>
      </c>
      <c r="E73" s="130">
        <v>46157.0</v>
      </c>
      <c r="F73" s="9">
        <v>110.0</v>
      </c>
      <c r="H73" s="9">
        <v>154000.0</v>
      </c>
    </row>
    <row r="74">
      <c r="B74" s="17"/>
      <c r="C74" s="17"/>
      <c r="D74" s="17" t="s">
        <v>733</v>
      </c>
      <c r="E74" s="130">
        <v>46158.0</v>
      </c>
      <c r="F74" s="9">
        <v>750.0</v>
      </c>
      <c r="H74" s="9">
        <v>1135050.0</v>
      </c>
    </row>
    <row r="75">
      <c r="B75" s="17"/>
      <c r="C75" s="17"/>
      <c r="D75" s="17" t="s">
        <v>733</v>
      </c>
      <c r="E75" s="130">
        <v>46162.0</v>
      </c>
      <c r="F75" s="9">
        <v>570.0</v>
      </c>
      <c r="H75" s="9">
        <v>800000.0</v>
      </c>
    </row>
    <row r="76">
      <c r="B76" s="17"/>
      <c r="C76" s="17"/>
      <c r="D76" s="17" t="s">
        <v>733</v>
      </c>
      <c r="E76" s="130">
        <v>46162.0</v>
      </c>
      <c r="F76" s="9">
        <v>255.0</v>
      </c>
      <c r="H76" s="9">
        <v>363000.0</v>
      </c>
    </row>
    <row r="77">
      <c r="B77" s="17"/>
      <c r="C77" s="17"/>
      <c r="D77" s="17" t="s">
        <v>733</v>
      </c>
      <c r="E77" s="130">
        <v>46165.0</v>
      </c>
      <c r="F77" s="9">
        <v>500.0</v>
      </c>
      <c r="H77" s="9">
        <v>712500.0</v>
      </c>
    </row>
    <row r="78">
      <c r="B78" s="17"/>
      <c r="C78" s="17"/>
      <c r="D78" s="17" t="s">
        <v>733</v>
      </c>
      <c r="E78" s="130">
        <v>46165.0</v>
      </c>
      <c r="F78" s="9">
        <v>160.0</v>
      </c>
      <c r="H78" s="9">
        <v>227000.0</v>
      </c>
    </row>
    <row r="79">
      <c r="B79" s="17"/>
      <c r="C79" s="17"/>
      <c r="D79" s="17" t="s">
        <v>733</v>
      </c>
      <c r="E79" s="130">
        <v>46165.0</v>
      </c>
      <c r="F79" s="9">
        <v>100.0</v>
      </c>
      <c r="H79" s="9">
        <v>140000.0</v>
      </c>
    </row>
    <row r="80">
      <c r="B80" s="17"/>
      <c r="C80" s="17"/>
      <c r="D80" s="17" t="s">
        <v>733</v>
      </c>
      <c r="E80" s="130">
        <v>46168.0</v>
      </c>
      <c r="F80" s="9">
        <v>120.0</v>
      </c>
      <c r="H80" s="9">
        <v>172000.0</v>
      </c>
    </row>
    <row r="81">
      <c r="B81" s="17"/>
      <c r="C81" s="17"/>
      <c r="D81" s="17" t="s">
        <v>733</v>
      </c>
      <c r="E81" s="130">
        <v>46168.0</v>
      </c>
      <c r="F81" s="9">
        <v>150.0</v>
      </c>
      <c r="H81" s="9">
        <v>210000.0</v>
      </c>
    </row>
    <row r="82">
      <c r="B82" s="17"/>
      <c r="C82" s="17"/>
      <c r="D82" s="17" t="s">
        <v>733</v>
      </c>
      <c r="E82" s="130">
        <v>46171.0</v>
      </c>
      <c r="F82" s="9">
        <v>110.0</v>
      </c>
      <c r="H82" s="9">
        <v>160000.0</v>
      </c>
    </row>
    <row r="83">
      <c r="B83" s="17"/>
      <c r="C83" s="17"/>
      <c r="D83" s="17" t="s">
        <v>733</v>
      </c>
      <c r="E83" s="130">
        <v>46176.0</v>
      </c>
      <c r="F83" s="9">
        <v>330.0</v>
      </c>
      <c r="H83" s="9">
        <v>473550.0</v>
      </c>
    </row>
    <row r="84">
      <c r="B84" s="17"/>
      <c r="C84" s="17"/>
      <c r="D84" s="17" t="s">
        <v>733</v>
      </c>
      <c r="E84" s="130">
        <v>46176.0</v>
      </c>
      <c r="F84" s="9">
        <v>3000.0</v>
      </c>
      <c r="H84" s="9"/>
      <c r="J84" s="4" t="s">
        <v>1268</v>
      </c>
    </row>
    <row r="85">
      <c r="B85" s="17"/>
      <c r="C85" s="17"/>
      <c r="D85" s="17" t="s">
        <v>733</v>
      </c>
      <c r="E85" s="130">
        <v>46179.0</v>
      </c>
      <c r="F85" s="9">
        <v>350.0</v>
      </c>
      <c r="H85" s="9">
        <v>501000.0</v>
      </c>
    </row>
    <row r="86">
      <c r="B86" s="17"/>
      <c r="C86" s="17"/>
      <c r="D86" s="17" t="s">
        <v>733</v>
      </c>
      <c r="E86" s="130">
        <v>46182.0</v>
      </c>
      <c r="F86" s="9">
        <v>400.0</v>
      </c>
      <c r="H86" s="9">
        <v>600000.0</v>
      </c>
    </row>
    <row r="87">
      <c r="B87" s="17"/>
      <c r="C87" s="17"/>
      <c r="D87" s="17" t="s">
        <v>733</v>
      </c>
      <c r="E87" s="130">
        <v>46182.0</v>
      </c>
      <c r="F87" s="9">
        <v>480.0</v>
      </c>
      <c r="H87" s="9">
        <v>657150.0</v>
      </c>
    </row>
    <row r="88">
      <c r="B88" s="17"/>
      <c r="C88" s="17"/>
      <c r="D88" s="17" t="s">
        <v>733</v>
      </c>
      <c r="E88" s="130">
        <v>46189.0</v>
      </c>
      <c r="F88" s="9">
        <v>100.0</v>
      </c>
      <c r="H88" s="9">
        <v>145500.0</v>
      </c>
    </row>
    <row r="89">
      <c r="B89" s="17"/>
      <c r="C89" s="17"/>
      <c r="D89" s="17" t="s">
        <v>733</v>
      </c>
      <c r="E89" s="130">
        <v>46190.0</v>
      </c>
      <c r="F89" s="9">
        <v>130.0</v>
      </c>
      <c r="H89" s="9">
        <v>189150.0</v>
      </c>
    </row>
    <row r="90">
      <c r="B90" s="17"/>
      <c r="C90" s="17"/>
      <c r="D90" s="17" t="s">
        <v>733</v>
      </c>
      <c r="E90" s="130">
        <v>46191.0</v>
      </c>
      <c r="F90" s="9">
        <v>920.0</v>
      </c>
      <c r="H90" s="9">
        <v>1334000.0</v>
      </c>
    </row>
    <row r="91">
      <c r="B91" s="17"/>
      <c r="C91" s="17"/>
      <c r="D91" s="17" t="s">
        <v>733</v>
      </c>
      <c r="E91" s="130">
        <v>46192.0</v>
      </c>
      <c r="F91" s="9">
        <v>4000.0</v>
      </c>
      <c r="H91" s="17"/>
      <c r="J91" s="4" t="s">
        <v>1270</v>
      </c>
    </row>
    <row r="92">
      <c r="B92" s="17"/>
      <c r="C92" s="17"/>
      <c r="D92" s="17" t="s">
        <v>733</v>
      </c>
      <c r="E92" s="130">
        <v>46196.0</v>
      </c>
      <c r="F92" s="9">
        <v>210.0</v>
      </c>
      <c r="H92" s="17"/>
    </row>
    <row r="93">
      <c r="B93" s="17"/>
      <c r="C93" s="17"/>
      <c r="D93" s="17" t="s">
        <v>733</v>
      </c>
      <c r="E93" s="166">
        <v>46210.0</v>
      </c>
      <c r="F93" s="9">
        <v>815.0</v>
      </c>
      <c r="H93" s="9" t="s">
        <v>1272</v>
      </c>
    </row>
    <row r="94">
      <c r="B94" s="17"/>
      <c r="C94" s="17"/>
      <c r="D94" s="17" t="s">
        <v>733</v>
      </c>
      <c r="E94" s="130">
        <v>46210.0</v>
      </c>
      <c r="F94" s="9">
        <v>7100.0</v>
      </c>
      <c r="H94" s="17"/>
      <c r="J94" s="4" t="s">
        <v>1273</v>
      </c>
    </row>
    <row r="95">
      <c r="B95" s="17"/>
      <c r="C95" s="17"/>
      <c r="D95" s="17" t="s">
        <v>733</v>
      </c>
      <c r="E95" s="130">
        <v>46210.0</v>
      </c>
      <c r="F95" s="9">
        <v>1400.0</v>
      </c>
      <c r="H95" s="9" t="s">
        <v>1274</v>
      </c>
    </row>
    <row r="96">
      <c r="B96" s="17"/>
      <c r="C96" s="17"/>
      <c r="D96" s="17" t="s">
        <v>733</v>
      </c>
      <c r="E96" s="130">
        <v>46212.0</v>
      </c>
      <c r="F96" s="9">
        <v>1240.0</v>
      </c>
      <c r="H96" s="9">
        <v>1872400.0</v>
      </c>
    </row>
    <row r="97">
      <c r="B97" s="17"/>
      <c r="C97" s="17"/>
      <c r="D97" s="17" t="s">
        <v>733</v>
      </c>
      <c r="E97" s="130">
        <v>46212.0</v>
      </c>
      <c r="F97" s="9">
        <v>445.0</v>
      </c>
      <c r="H97" s="9">
        <v>672000.0</v>
      </c>
    </row>
    <row r="98">
      <c r="B98" s="17"/>
      <c r="C98" s="17"/>
      <c r="D98" s="17" t="s">
        <v>733</v>
      </c>
      <c r="E98" s="130">
        <v>46215.0</v>
      </c>
      <c r="F98" s="9">
        <v>666.0</v>
      </c>
      <c r="H98" s="9">
        <v>1000000.0</v>
      </c>
    </row>
    <row r="99">
      <c r="B99" s="17"/>
      <c r="C99" s="17"/>
      <c r="D99" s="17" t="s">
        <v>733</v>
      </c>
      <c r="E99" s="130">
        <v>46217.0</v>
      </c>
      <c r="F99" s="9">
        <v>563.0</v>
      </c>
      <c r="H99" s="17"/>
      <c r="J99" s="4" t="s">
        <v>1276</v>
      </c>
    </row>
    <row r="100">
      <c r="B100" s="17"/>
      <c r="C100" s="17"/>
      <c r="D100" s="17" t="s">
        <v>733</v>
      </c>
      <c r="E100" s="130">
        <v>46219.0</v>
      </c>
      <c r="F100" s="9">
        <v>660.0</v>
      </c>
      <c r="H100" s="9">
        <v>1000000.0</v>
      </c>
    </row>
    <row r="101">
      <c r="B101" s="17"/>
      <c r="C101" s="17"/>
      <c r="D101" s="17" t="s">
        <v>733</v>
      </c>
      <c r="E101" s="130">
        <v>46223.0</v>
      </c>
      <c r="F101" s="9">
        <v>280.0</v>
      </c>
      <c r="H101" s="9">
        <v>430000.0</v>
      </c>
    </row>
    <row r="102">
      <c r="B102" s="17"/>
      <c r="C102" s="17"/>
      <c r="D102" s="17" t="s">
        <v>733</v>
      </c>
      <c r="E102" s="130">
        <v>46223.0</v>
      </c>
      <c r="F102" s="9">
        <v>445.0</v>
      </c>
      <c r="H102" s="9">
        <v>678000.0</v>
      </c>
    </row>
    <row r="103">
      <c r="B103" s="17"/>
      <c r="C103" s="17"/>
      <c r="D103" s="17" t="s">
        <v>733</v>
      </c>
      <c r="E103" s="130">
        <v>46227.0</v>
      </c>
      <c r="F103" s="9">
        <v>650.0</v>
      </c>
      <c r="H103" s="9">
        <v>1000000.0</v>
      </c>
    </row>
    <row r="104">
      <c r="B104" s="17"/>
      <c r="C104" s="17"/>
      <c r="D104" s="17" t="s">
        <v>733</v>
      </c>
      <c r="E104" s="130">
        <v>46228.0</v>
      </c>
      <c r="F104" s="9">
        <v>1633.0</v>
      </c>
      <c r="H104" s="9">
        <v>2500000.0</v>
      </c>
      <c r="I104" s="4">
        <v>1530.0</v>
      </c>
    </row>
    <row r="105">
      <c r="B105" s="17"/>
      <c r="C105" s="17"/>
      <c r="D105" s="17" t="s">
        <v>733</v>
      </c>
      <c r="E105" s="130">
        <v>46228.0</v>
      </c>
      <c r="F105" s="9">
        <v>1000.0</v>
      </c>
      <c r="H105" s="17"/>
      <c r="J105" s="4" t="s">
        <v>1279</v>
      </c>
    </row>
    <row r="106">
      <c r="B106" s="17"/>
      <c r="C106" s="17"/>
      <c r="D106" s="17" t="s">
        <v>733</v>
      </c>
      <c r="E106" s="130">
        <v>46232.0</v>
      </c>
      <c r="F106" s="9">
        <v>190.0</v>
      </c>
      <c r="H106" s="9">
        <v>298300.0</v>
      </c>
    </row>
    <row r="107">
      <c r="B107" s="17"/>
      <c r="C107" s="17"/>
      <c r="D107" s="17" t="s">
        <v>733</v>
      </c>
      <c r="E107" s="130">
        <v>46235.0</v>
      </c>
      <c r="F107" s="9">
        <v>350.0</v>
      </c>
      <c r="H107" s="17"/>
      <c r="J107" s="4" t="s">
        <v>1281</v>
      </c>
    </row>
    <row r="108">
      <c r="B108" s="17"/>
      <c r="C108" s="17"/>
      <c r="D108" s="17" t="s">
        <v>733</v>
      </c>
      <c r="E108" s="130">
        <v>46235.0</v>
      </c>
      <c r="F108" s="9">
        <v>513.0</v>
      </c>
      <c r="H108" s="9">
        <v>800000.0</v>
      </c>
    </row>
    <row r="109">
      <c r="B109" s="17"/>
      <c r="C109" s="17"/>
      <c r="D109" s="17" t="s">
        <v>733</v>
      </c>
      <c r="E109" s="130">
        <v>46235.0</v>
      </c>
      <c r="F109" s="9">
        <v>370.0</v>
      </c>
      <c r="H109" s="9">
        <v>573500.0</v>
      </c>
    </row>
    <row r="110">
      <c r="B110" s="17"/>
      <c r="C110" s="17"/>
      <c r="D110" s="17" t="s">
        <v>733</v>
      </c>
      <c r="E110" s="130">
        <v>46240.0</v>
      </c>
      <c r="F110" s="9">
        <v>240.0</v>
      </c>
      <c r="H110" s="9">
        <v>367200.0</v>
      </c>
    </row>
    <row r="111">
      <c r="B111" s="17"/>
      <c r="C111" s="17"/>
      <c r="D111" s="17" t="s">
        <v>733</v>
      </c>
      <c r="E111" s="130">
        <v>46240.0</v>
      </c>
      <c r="F111" s="9">
        <v>805.0</v>
      </c>
      <c r="H111" s="9" t="s">
        <v>1284</v>
      </c>
    </row>
    <row r="112">
      <c r="B112" s="17"/>
      <c r="C112" s="17"/>
      <c r="D112" s="17" t="s">
        <v>733</v>
      </c>
      <c r="E112" s="130">
        <v>46241.0</v>
      </c>
      <c r="F112" s="9">
        <v>654.0</v>
      </c>
      <c r="H112" s="9">
        <v>1000000.0</v>
      </c>
    </row>
    <row r="113">
      <c r="B113" s="17"/>
      <c r="C113" s="17"/>
      <c r="D113" s="17" t="s">
        <v>733</v>
      </c>
      <c r="E113" s="130">
        <v>46241.0</v>
      </c>
      <c r="F113" s="9">
        <v>500.0</v>
      </c>
      <c r="H113" s="9">
        <v>770000.0</v>
      </c>
    </row>
    <row r="114">
      <c r="B114" s="17"/>
      <c r="C114" s="17"/>
      <c r="D114" s="17" t="s">
        <v>733</v>
      </c>
      <c r="E114" s="130">
        <v>46241.0</v>
      </c>
      <c r="F114" s="9">
        <v>240.0</v>
      </c>
      <c r="H114" s="9">
        <v>369400.0</v>
      </c>
    </row>
    <row r="115">
      <c r="B115" s="17"/>
      <c r="C115" s="17"/>
      <c r="D115" s="17" t="s">
        <v>733</v>
      </c>
      <c r="E115" s="130">
        <v>46242.0</v>
      </c>
      <c r="F115" s="9">
        <v>3000.0</v>
      </c>
      <c r="H115" s="17"/>
      <c r="J115" s="4" t="s">
        <v>1285</v>
      </c>
    </row>
    <row r="116">
      <c r="B116" s="17"/>
      <c r="C116" s="17"/>
      <c r="D116" s="17" t="s">
        <v>733</v>
      </c>
      <c r="E116" s="130">
        <v>46245.0</v>
      </c>
      <c r="F116" s="9">
        <v>500.0</v>
      </c>
      <c r="H116" s="9">
        <v>770000.0</v>
      </c>
    </row>
    <row r="117">
      <c r="B117" s="17"/>
      <c r="C117" s="17"/>
      <c r="D117" s="17" t="s">
        <v>733</v>
      </c>
      <c r="E117" s="130">
        <v>46249.0</v>
      </c>
      <c r="F117" s="9">
        <v>700.0</v>
      </c>
      <c r="H117" s="9">
        <v>1078000.0</v>
      </c>
    </row>
    <row r="118">
      <c r="B118" s="17"/>
      <c r="C118" s="17"/>
      <c r="D118" s="17" t="s">
        <v>733</v>
      </c>
      <c r="E118" s="130">
        <v>46249.0</v>
      </c>
      <c r="F118" s="9">
        <v>600.0</v>
      </c>
      <c r="H118" s="9">
        <v>927000.0</v>
      </c>
    </row>
    <row r="119">
      <c r="B119" s="17"/>
      <c r="C119" s="17"/>
      <c r="D119" s="17" t="s">
        <v>733</v>
      </c>
      <c r="E119" s="130">
        <v>46252.0</v>
      </c>
      <c r="F119" s="9">
        <v>480.0</v>
      </c>
      <c r="H119" s="9">
        <v>746400.0</v>
      </c>
    </row>
    <row r="120">
      <c r="B120" s="17"/>
      <c r="C120" s="17"/>
      <c r="D120" s="17" t="s">
        <v>733</v>
      </c>
      <c r="E120" s="130">
        <v>46252.0</v>
      </c>
      <c r="F120" s="9">
        <v>257.0</v>
      </c>
      <c r="H120" s="9">
        <v>400000.0</v>
      </c>
    </row>
    <row r="121">
      <c r="B121" s="17"/>
      <c r="C121" s="17"/>
      <c r="D121" s="17" t="s">
        <v>733</v>
      </c>
      <c r="E121" s="130">
        <v>46254.0</v>
      </c>
      <c r="F121" s="9">
        <v>150.0</v>
      </c>
      <c r="H121" s="9">
        <v>234000.0</v>
      </c>
    </row>
    <row r="122">
      <c r="B122" s="17"/>
      <c r="C122" s="17"/>
      <c r="D122" s="17" t="s">
        <v>733</v>
      </c>
      <c r="E122" s="130">
        <v>46254.0</v>
      </c>
      <c r="F122" s="9">
        <v>25.0</v>
      </c>
      <c r="H122" s="9">
        <v>38750.0</v>
      </c>
    </row>
    <row r="123">
      <c r="B123" s="17"/>
      <c r="C123" s="17"/>
      <c r="D123" s="17" t="s">
        <v>733</v>
      </c>
      <c r="E123" s="130">
        <v>46254.0</v>
      </c>
      <c r="F123" s="9">
        <v>1000.0</v>
      </c>
      <c r="H123" s="9">
        <v>1545000.0</v>
      </c>
    </row>
    <row r="124">
      <c r="B124" s="17"/>
      <c r="C124" s="17"/>
      <c r="D124" s="17" t="s">
        <v>733</v>
      </c>
      <c r="E124" s="130">
        <v>46254.0</v>
      </c>
      <c r="F124" s="9">
        <v>350.0</v>
      </c>
      <c r="H124" s="9">
        <v>542000.0</v>
      </c>
    </row>
    <row r="125">
      <c r="B125" s="17"/>
      <c r="C125" s="17"/>
      <c r="D125" s="17" t="s">
        <v>733</v>
      </c>
      <c r="E125" s="130">
        <v>46254.0</v>
      </c>
      <c r="F125" s="9">
        <v>350.0</v>
      </c>
      <c r="H125" s="9">
        <v>542000.0</v>
      </c>
    </row>
    <row r="126">
      <c r="B126" s="17"/>
      <c r="C126" s="17"/>
      <c r="D126" s="17" t="s">
        <v>733</v>
      </c>
      <c r="E126" s="130">
        <v>46254.0</v>
      </c>
      <c r="F126" s="9">
        <v>230.0</v>
      </c>
      <c r="H126" s="9">
        <v>310000.0</v>
      </c>
    </row>
    <row r="127">
      <c r="B127" s="17"/>
      <c r="C127" s="17"/>
      <c r="D127" s="17" t="s">
        <v>733</v>
      </c>
      <c r="E127" s="130">
        <v>46254.0</v>
      </c>
      <c r="F127" s="9">
        <v>485.0</v>
      </c>
      <c r="H127" s="9">
        <v>750000.0</v>
      </c>
    </row>
    <row r="128">
      <c r="B128" s="17"/>
      <c r="C128" s="17"/>
      <c r="D128" s="17" t="s">
        <v>733</v>
      </c>
      <c r="E128" s="130">
        <v>46255.0</v>
      </c>
      <c r="F128" s="9">
        <v>485.0</v>
      </c>
      <c r="H128" s="9">
        <v>750000.0</v>
      </c>
    </row>
    <row r="129">
      <c r="B129" s="17"/>
      <c r="C129" s="17"/>
      <c r="D129" s="17" t="s">
        <v>733</v>
      </c>
      <c r="E129" s="130">
        <v>46255.0</v>
      </c>
      <c r="F129" s="9">
        <v>1923.14</v>
      </c>
      <c r="H129" s="9">
        <v>2942404.0</v>
      </c>
      <c r="I129" s="4"/>
      <c r="J129" s="4" t="s">
        <v>1291</v>
      </c>
    </row>
    <row r="130">
      <c r="B130" s="17"/>
      <c r="C130" s="17"/>
      <c r="D130" s="17" t="s">
        <v>733</v>
      </c>
      <c r="E130" s="130">
        <v>46256.0</v>
      </c>
      <c r="F130" s="9">
        <v>4825.0</v>
      </c>
      <c r="H130" s="9">
        <v>5000000.0</v>
      </c>
      <c r="I130" s="4">
        <v>1550.0</v>
      </c>
      <c r="J130" s="4" t="s">
        <v>1293</v>
      </c>
    </row>
    <row r="131">
      <c r="B131" s="17"/>
      <c r="C131" s="17"/>
      <c r="D131" s="17" t="s">
        <v>733</v>
      </c>
      <c r="E131" s="130">
        <v>46262.0</v>
      </c>
      <c r="F131" s="9">
        <v>2175.0</v>
      </c>
      <c r="H131" s="17"/>
      <c r="J131" s="4" t="s">
        <v>1295</v>
      </c>
    </row>
    <row r="132">
      <c r="B132" s="17"/>
      <c r="C132" s="17"/>
      <c r="D132" s="17" t="s">
        <v>733</v>
      </c>
      <c r="E132" s="130">
        <v>46263.0</v>
      </c>
      <c r="F132" s="9">
        <v>2250.0</v>
      </c>
      <c r="H132" s="9">
        <v>3476250.0</v>
      </c>
      <c r="J132" s="4" t="s">
        <v>1296</v>
      </c>
    </row>
    <row r="133">
      <c r="B133" s="17"/>
      <c r="C133" s="17"/>
      <c r="D133" s="17" t="s">
        <v>733</v>
      </c>
      <c r="E133" s="130">
        <v>46264.0</v>
      </c>
      <c r="F133" s="9">
        <v>842.0</v>
      </c>
      <c r="H133" s="9">
        <v>1305000.0</v>
      </c>
    </row>
    <row r="134">
      <c r="B134" s="17"/>
      <c r="C134" s="17"/>
      <c r="D134" s="17" t="s">
        <v>733</v>
      </c>
      <c r="E134" s="130">
        <v>46266.0</v>
      </c>
      <c r="F134" s="9">
        <v>200.0</v>
      </c>
      <c r="H134" s="9">
        <v>311000.0</v>
      </c>
    </row>
    <row r="135">
      <c r="B135" s="17"/>
      <c r="C135" s="17"/>
      <c r="D135" s="17" t="s">
        <v>733</v>
      </c>
      <c r="E135" s="130">
        <v>46267.0</v>
      </c>
      <c r="F135" s="9">
        <v>220.0</v>
      </c>
      <c r="H135" s="9">
        <v>340000.0</v>
      </c>
    </row>
    <row r="136">
      <c r="B136" s="17"/>
      <c r="C136" s="17"/>
      <c r="D136" s="17" t="s">
        <v>733</v>
      </c>
      <c r="E136" s="130">
        <v>46268.0</v>
      </c>
      <c r="F136" s="9">
        <v>800.0</v>
      </c>
      <c r="H136" s="9">
        <v>1236000.0</v>
      </c>
    </row>
    <row r="137">
      <c r="B137" s="17"/>
      <c r="C137" s="17"/>
      <c r="D137" s="17" t="s">
        <v>733</v>
      </c>
      <c r="E137" s="130">
        <v>46269.0</v>
      </c>
      <c r="F137" s="9">
        <v>2730.0</v>
      </c>
      <c r="H137" s="17"/>
      <c r="J137" s="4" t="s">
        <v>1298</v>
      </c>
    </row>
    <row r="138">
      <c r="B138" s="17"/>
      <c r="C138" s="17"/>
      <c r="D138" s="17" t="s">
        <v>733</v>
      </c>
      <c r="E138" s="130">
        <v>46272.0</v>
      </c>
      <c r="F138" s="9">
        <v>240.0</v>
      </c>
      <c r="H138" s="9">
        <v>369600.0</v>
      </c>
    </row>
    <row r="139">
      <c r="B139" s="17"/>
      <c r="C139" s="17"/>
      <c r="D139" s="17" t="s">
        <v>733</v>
      </c>
      <c r="E139" s="130">
        <v>46272.0</v>
      </c>
      <c r="F139" s="9">
        <v>85.0</v>
      </c>
      <c r="H139" s="9">
        <v>130900.0</v>
      </c>
    </row>
    <row r="140">
      <c r="B140" s="17"/>
      <c r="C140" s="17"/>
      <c r="D140" s="17" t="s">
        <v>733</v>
      </c>
      <c r="E140" s="130">
        <v>46274.0</v>
      </c>
      <c r="F140" s="9">
        <v>163.0</v>
      </c>
      <c r="H140" s="9">
        <v>252100.0</v>
      </c>
      <c r="J140" s="4"/>
    </row>
    <row r="141">
      <c r="B141" s="17"/>
      <c r="C141" s="17"/>
      <c r="D141" s="17" t="s">
        <v>733</v>
      </c>
      <c r="E141" s="130">
        <v>46274.0</v>
      </c>
      <c r="F141" s="9">
        <v>189.0</v>
      </c>
      <c r="H141" s="9">
        <v>291500.0</v>
      </c>
      <c r="J141" s="4"/>
    </row>
    <row r="142">
      <c r="B142" s="17"/>
      <c r="C142" s="17"/>
      <c r="D142" s="17" t="s">
        <v>733</v>
      </c>
      <c r="E142" s="130">
        <v>46275.0</v>
      </c>
      <c r="F142" s="9">
        <v>700.0</v>
      </c>
      <c r="H142" s="9"/>
      <c r="J142" s="4" t="s">
        <v>1302</v>
      </c>
    </row>
    <row r="143">
      <c r="B143" s="17"/>
      <c r="C143" s="17"/>
      <c r="D143" s="17" t="s">
        <v>733</v>
      </c>
      <c r="E143" s="130">
        <v>46275.0</v>
      </c>
      <c r="F143" s="9">
        <v>260.0</v>
      </c>
      <c r="H143" s="9">
        <v>400400.0</v>
      </c>
    </row>
    <row r="144">
      <c r="B144" s="17"/>
      <c r="C144" s="17"/>
      <c r="D144" s="17" t="s">
        <v>733</v>
      </c>
      <c r="E144" s="130">
        <v>46279.0</v>
      </c>
      <c r="F144" s="9">
        <v>170.0</v>
      </c>
      <c r="H144" s="9">
        <v>264350.0</v>
      </c>
    </row>
    <row r="145">
      <c r="B145" s="17"/>
      <c r="C145" s="17"/>
      <c r="D145" s="17" t="s">
        <v>733</v>
      </c>
      <c r="E145" s="130">
        <v>46280.0</v>
      </c>
      <c r="F145" s="9">
        <v>1500.0</v>
      </c>
      <c r="H145" s="9">
        <v>2340000.0</v>
      </c>
    </row>
    <row r="146">
      <c r="B146" s="17"/>
      <c r="C146" s="17"/>
      <c r="D146" s="17" t="s">
        <v>733</v>
      </c>
      <c r="E146" s="130">
        <v>46281.0</v>
      </c>
      <c r="F146" s="9">
        <v>600.0</v>
      </c>
      <c r="H146" s="9">
        <v>930000.0</v>
      </c>
    </row>
    <row r="147">
      <c r="B147" s="17"/>
      <c r="C147" s="17"/>
      <c r="D147" s="17" t="s">
        <v>733</v>
      </c>
      <c r="E147" s="130">
        <v>46282.0</v>
      </c>
      <c r="F147" s="9">
        <v>250.0</v>
      </c>
      <c r="H147" s="9">
        <v>385000.0</v>
      </c>
    </row>
    <row r="148">
      <c r="B148" s="17"/>
      <c r="C148" s="17"/>
      <c r="D148" s="17" t="s">
        <v>733</v>
      </c>
      <c r="E148" s="130">
        <v>46290.0</v>
      </c>
      <c r="F148" s="9">
        <v>640.0</v>
      </c>
      <c r="H148" s="9">
        <v>1000000.0</v>
      </c>
    </row>
    <row r="149">
      <c r="B149" s="17"/>
      <c r="C149" s="17"/>
      <c r="D149" s="17" t="s">
        <v>733</v>
      </c>
      <c r="E149" s="130">
        <v>46295.0</v>
      </c>
      <c r="F149" s="9">
        <v>210.0</v>
      </c>
      <c r="H149" s="9">
        <v>323000.0</v>
      </c>
    </row>
    <row r="150">
      <c r="B150" s="17"/>
      <c r="C150" s="17"/>
      <c r="D150" s="17" t="s">
        <v>733</v>
      </c>
      <c r="E150" s="130">
        <v>46295.0</v>
      </c>
      <c r="F150" s="9">
        <v>603.0</v>
      </c>
      <c r="H150" s="17"/>
      <c r="J150" s="4" t="s">
        <v>1305</v>
      </c>
    </row>
    <row r="151">
      <c r="B151" s="17"/>
      <c r="C151" s="17"/>
      <c r="D151" s="17" t="s">
        <v>733</v>
      </c>
      <c r="E151" s="130">
        <v>46295.0</v>
      </c>
      <c r="F151" s="9">
        <v>660.0</v>
      </c>
      <c r="H151" s="9">
        <v>1029600.0</v>
      </c>
    </row>
    <row r="152">
      <c r="B152" s="17"/>
      <c r="C152" s="17"/>
      <c r="D152" s="17" t="s">
        <v>733</v>
      </c>
      <c r="E152" s="130">
        <v>46297.0</v>
      </c>
      <c r="F152" s="9">
        <v>100.0</v>
      </c>
      <c r="H152" s="9">
        <v>156000.0</v>
      </c>
    </row>
    <row r="153">
      <c r="B153" s="17"/>
      <c r="C153" s="17"/>
      <c r="D153" s="17" t="s">
        <v>733</v>
      </c>
      <c r="E153" s="59"/>
      <c r="F153" s="17"/>
      <c r="H153" s="17"/>
    </row>
    <row r="154">
      <c r="B154" s="17"/>
      <c r="C154" s="17"/>
      <c r="D154" s="17" t="s">
        <v>733</v>
      </c>
      <c r="E154" s="59"/>
      <c r="F154" s="17"/>
      <c r="H154" s="17"/>
    </row>
    <row r="155">
      <c r="B155" s="17"/>
      <c r="C155" s="17"/>
      <c r="D155" s="17" t="s">
        <v>733</v>
      </c>
      <c r="E155" s="59"/>
      <c r="F155" s="17"/>
      <c r="H155" s="17"/>
    </row>
    <row r="156">
      <c r="B156" s="17"/>
      <c r="C156" s="17"/>
      <c r="D156" s="17" t="s">
        <v>733</v>
      </c>
      <c r="E156" s="59"/>
      <c r="F156" s="17"/>
      <c r="H156" s="17"/>
    </row>
    <row r="157">
      <c r="B157" s="17"/>
      <c r="C157" s="17"/>
      <c r="D157" s="17" t="s">
        <v>733</v>
      </c>
      <c r="E157" s="59"/>
      <c r="F157" s="17"/>
      <c r="H157" s="17"/>
    </row>
    <row r="158">
      <c r="B158" s="17"/>
      <c r="C158" s="17"/>
      <c r="D158" s="17" t="s">
        <v>733</v>
      </c>
      <c r="E158" s="59"/>
      <c r="F158" s="17"/>
      <c r="H158" s="17"/>
    </row>
    <row r="159">
      <c r="B159" s="17"/>
      <c r="C159" s="17"/>
      <c r="D159" s="17" t="s">
        <v>733</v>
      </c>
      <c r="E159" s="59"/>
      <c r="F159" s="17"/>
      <c r="H159" s="17"/>
    </row>
    <row r="160">
      <c r="B160" s="17"/>
      <c r="C160" s="17"/>
      <c r="D160" s="17" t="s">
        <v>733</v>
      </c>
      <c r="E160" s="59"/>
      <c r="F160" s="17"/>
      <c r="H160" s="17"/>
    </row>
    <row r="161">
      <c r="B161" s="17"/>
      <c r="C161" s="17"/>
      <c r="D161" s="17" t="s">
        <v>733</v>
      </c>
      <c r="E161" s="59"/>
      <c r="F161" s="17"/>
      <c r="H161" s="17"/>
    </row>
    <row r="162">
      <c r="B162" s="17"/>
      <c r="C162" s="17"/>
      <c r="D162" s="17" t="s">
        <v>733</v>
      </c>
      <c r="E162" s="59"/>
      <c r="F162" s="17"/>
      <c r="H162" s="17"/>
    </row>
    <row r="163">
      <c r="B163" s="17"/>
      <c r="C163" s="17"/>
      <c r="D163" s="17" t="s">
        <v>733</v>
      </c>
      <c r="E163" s="59"/>
      <c r="F163" s="17"/>
      <c r="H163" s="17"/>
    </row>
    <row r="164">
      <c r="B164" s="17"/>
      <c r="C164" s="17"/>
      <c r="D164" s="17" t="s">
        <v>733</v>
      </c>
      <c r="E164" s="59"/>
      <c r="F164" s="17"/>
      <c r="H164" s="17"/>
    </row>
    <row r="165">
      <c r="B165" s="17"/>
      <c r="C165" s="17"/>
      <c r="D165" s="17" t="s">
        <v>733</v>
      </c>
      <c r="E165" s="59"/>
      <c r="F165" s="17"/>
      <c r="H165" s="17"/>
    </row>
    <row r="166">
      <c r="B166" s="17"/>
      <c r="C166" s="17"/>
      <c r="D166" s="17" t="s">
        <v>733</v>
      </c>
      <c r="E166" s="59"/>
      <c r="F166" s="17"/>
      <c r="H166" s="17"/>
    </row>
    <row r="167">
      <c r="B167" s="17"/>
      <c r="C167" s="17"/>
      <c r="D167" s="17" t="s">
        <v>733</v>
      </c>
      <c r="E167" s="59"/>
      <c r="F167" s="17"/>
      <c r="H167" s="17"/>
    </row>
    <row r="168">
      <c r="B168" s="17"/>
      <c r="C168" s="17"/>
      <c r="D168" s="17" t="s">
        <v>733</v>
      </c>
      <c r="E168" s="59"/>
      <c r="F168" s="17"/>
      <c r="H168" s="17"/>
    </row>
    <row r="169">
      <c r="B169" s="17"/>
      <c r="C169" s="17"/>
      <c r="D169" s="17" t="s">
        <v>733</v>
      </c>
      <c r="E169" s="59"/>
      <c r="F169" s="17"/>
      <c r="H169" s="17"/>
    </row>
    <row r="170">
      <c r="B170" s="17"/>
      <c r="C170" s="17"/>
      <c r="D170" s="17" t="s">
        <v>733</v>
      </c>
      <c r="E170" s="59"/>
      <c r="F170" s="17"/>
      <c r="H170" s="17"/>
    </row>
    <row r="171">
      <c r="B171" s="17"/>
      <c r="C171" s="17"/>
      <c r="D171" s="17" t="s">
        <v>733</v>
      </c>
      <c r="E171" s="59"/>
      <c r="F171" s="17"/>
      <c r="H171" s="17"/>
    </row>
    <row r="172">
      <c r="B172" s="17"/>
      <c r="C172" s="17"/>
      <c r="D172" s="17" t="s">
        <v>733</v>
      </c>
      <c r="E172" s="59"/>
      <c r="F172" s="17"/>
      <c r="H172" s="17"/>
    </row>
    <row r="173">
      <c r="B173" s="17"/>
      <c r="C173" s="17"/>
      <c r="D173" s="17" t="s">
        <v>733</v>
      </c>
      <c r="E173" s="59"/>
      <c r="F173" s="17"/>
      <c r="H173" s="17"/>
    </row>
    <row r="174">
      <c r="B174" s="17"/>
      <c r="C174" s="17"/>
      <c r="D174" s="17" t="s">
        <v>733</v>
      </c>
      <c r="E174" s="59"/>
      <c r="F174" s="17"/>
      <c r="H174" s="17"/>
    </row>
    <row r="175">
      <c r="B175" s="17"/>
      <c r="C175" s="17"/>
      <c r="D175" s="17" t="s">
        <v>733</v>
      </c>
      <c r="E175" s="59"/>
      <c r="F175" s="17"/>
      <c r="H175" s="17"/>
    </row>
    <row r="176">
      <c r="B176" s="17"/>
      <c r="C176" s="17"/>
      <c r="D176" s="17" t="s">
        <v>733</v>
      </c>
      <c r="E176" s="59"/>
      <c r="F176" s="17"/>
      <c r="H176" s="17"/>
    </row>
    <row r="177">
      <c r="B177" s="17"/>
      <c r="C177" s="17"/>
      <c r="D177" s="17" t="s">
        <v>733</v>
      </c>
      <c r="E177" s="59"/>
      <c r="F177" s="17"/>
      <c r="H177" s="17"/>
    </row>
    <row r="178">
      <c r="B178" s="17"/>
      <c r="C178" s="17"/>
      <c r="D178" s="17" t="s">
        <v>733</v>
      </c>
      <c r="E178" s="59"/>
      <c r="F178" s="17"/>
      <c r="H178" s="17"/>
    </row>
    <row r="179">
      <c r="B179" s="17"/>
      <c r="C179" s="17"/>
      <c r="D179" s="17" t="s">
        <v>733</v>
      </c>
      <c r="E179" s="59"/>
      <c r="F179" s="17"/>
      <c r="H179" s="17"/>
    </row>
    <row r="180">
      <c r="B180" s="17"/>
      <c r="C180" s="17"/>
      <c r="D180" s="17" t="s">
        <v>733</v>
      </c>
      <c r="E180" s="59"/>
      <c r="F180" s="17"/>
      <c r="H180" s="17"/>
    </row>
    <row r="181">
      <c r="B181" s="17"/>
      <c r="C181" s="17"/>
      <c r="D181" s="17" t="s">
        <v>733</v>
      </c>
      <c r="E181" s="59"/>
      <c r="F181" s="17"/>
      <c r="H181" s="17"/>
    </row>
    <row r="182">
      <c r="B182" s="17"/>
      <c r="C182" s="17"/>
      <c r="D182" s="17" t="s">
        <v>733</v>
      </c>
      <c r="E182" s="59"/>
      <c r="F182" s="17"/>
      <c r="H182" s="17"/>
    </row>
    <row r="183">
      <c r="B183" s="17"/>
      <c r="C183" s="17"/>
      <c r="D183" s="17" t="s">
        <v>733</v>
      </c>
      <c r="E183" s="59"/>
      <c r="F183" s="17"/>
      <c r="H183" s="17"/>
    </row>
    <row r="184">
      <c r="B184" s="17"/>
      <c r="C184" s="17"/>
      <c r="D184" s="17" t="s">
        <v>733</v>
      </c>
      <c r="E184" s="59"/>
      <c r="F184" s="17"/>
      <c r="H184" s="17"/>
    </row>
    <row r="185">
      <c r="B185" s="17"/>
      <c r="C185" s="17"/>
      <c r="D185" s="17" t="s">
        <v>733</v>
      </c>
      <c r="E185" s="59"/>
      <c r="F185" s="17"/>
      <c r="H185" s="17"/>
    </row>
    <row r="186">
      <c r="B186" s="17"/>
      <c r="C186" s="17"/>
      <c r="D186" s="17" t="s">
        <v>733</v>
      </c>
      <c r="E186" s="59"/>
      <c r="F186" s="17"/>
      <c r="H186" s="17"/>
    </row>
    <row r="187">
      <c r="B187" s="17"/>
      <c r="C187" s="17"/>
      <c r="D187" s="17" t="s">
        <v>733</v>
      </c>
      <c r="E187" s="59"/>
      <c r="F187" s="17"/>
      <c r="H187" s="17"/>
    </row>
    <row r="188">
      <c r="B188" s="17"/>
      <c r="C188" s="17"/>
      <c r="D188" s="17" t="s">
        <v>733</v>
      </c>
      <c r="E188" s="59"/>
      <c r="F188" s="17"/>
      <c r="H188" s="17"/>
    </row>
    <row r="189">
      <c r="B189" s="17"/>
      <c r="C189" s="17"/>
      <c r="D189" s="17" t="s">
        <v>733</v>
      </c>
      <c r="E189" s="59"/>
      <c r="F189" s="17"/>
      <c r="H189" s="17"/>
    </row>
    <row r="190">
      <c r="B190" s="17"/>
      <c r="C190" s="17"/>
      <c r="D190" s="17" t="s">
        <v>733</v>
      </c>
      <c r="E190" s="59"/>
      <c r="F190" s="17"/>
      <c r="H190" s="17"/>
    </row>
    <row r="191">
      <c r="B191" s="17"/>
      <c r="C191" s="17"/>
      <c r="D191" s="17" t="s">
        <v>733</v>
      </c>
      <c r="E191" s="59"/>
      <c r="F191" s="17"/>
      <c r="H191" s="17"/>
    </row>
    <row r="192">
      <c r="B192" s="17"/>
      <c r="C192" s="17"/>
      <c r="D192" s="17" t="s">
        <v>733</v>
      </c>
      <c r="E192" s="59"/>
      <c r="F192" s="17"/>
      <c r="H192" s="17"/>
    </row>
    <row r="193">
      <c r="B193" s="17"/>
      <c r="C193" s="17"/>
      <c r="D193" s="17" t="s">
        <v>733</v>
      </c>
      <c r="E193" s="59"/>
      <c r="F193" s="17"/>
      <c r="H193" s="17"/>
    </row>
    <row r="194">
      <c r="B194" s="17"/>
      <c r="C194" s="17"/>
      <c r="D194" s="17" t="s">
        <v>733</v>
      </c>
      <c r="E194" s="59"/>
      <c r="F194" s="17"/>
      <c r="H194" s="17"/>
    </row>
    <row r="195">
      <c r="B195" s="17"/>
      <c r="C195" s="17"/>
      <c r="D195" s="17" t="s">
        <v>733</v>
      </c>
      <c r="E195" s="59"/>
      <c r="F195" s="17"/>
      <c r="H195" s="17"/>
    </row>
    <row r="196">
      <c r="B196" s="17"/>
      <c r="C196" s="17"/>
      <c r="D196" s="17" t="s">
        <v>733</v>
      </c>
      <c r="E196" s="59"/>
      <c r="F196" s="17"/>
      <c r="H196" s="17"/>
    </row>
    <row r="197">
      <c r="B197" s="17"/>
      <c r="C197" s="17"/>
      <c r="D197" s="17" t="s">
        <v>733</v>
      </c>
      <c r="E197" s="59"/>
      <c r="F197" s="17"/>
      <c r="H197" s="17"/>
    </row>
    <row r="198">
      <c r="B198" s="17"/>
      <c r="C198" s="17"/>
      <c r="D198" s="17" t="s">
        <v>733</v>
      </c>
      <c r="E198" s="59"/>
      <c r="F198" s="17"/>
      <c r="H198" s="17"/>
    </row>
    <row r="199">
      <c r="B199" s="17"/>
      <c r="C199" s="17"/>
      <c r="D199" s="17" t="s">
        <v>733</v>
      </c>
      <c r="E199" s="59"/>
      <c r="F199" s="17"/>
      <c r="H199" s="17"/>
    </row>
    <row r="200">
      <c r="B200" s="17"/>
      <c r="C200" s="17"/>
      <c r="D200" s="17" t="s">
        <v>733</v>
      </c>
      <c r="E200" s="59"/>
      <c r="F200" s="17"/>
      <c r="H200" s="17"/>
    </row>
    <row r="201">
      <c r="B201" s="17"/>
      <c r="C201" s="17"/>
      <c r="D201" s="17" t="s">
        <v>733</v>
      </c>
      <c r="E201" s="59"/>
      <c r="F201" s="17"/>
      <c r="H201" s="17"/>
    </row>
    <row r="202">
      <c r="B202" s="17"/>
      <c r="C202" s="17"/>
      <c r="D202" s="17" t="s">
        <v>733</v>
      </c>
      <c r="E202" s="59"/>
      <c r="F202" s="17"/>
      <c r="H202" s="17"/>
    </row>
    <row r="203">
      <c r="B203" s="17"/>
      <c r="C203" s="17"/>
      <c r="D203" s="17" t="s">
        <v>733</v>
      </c>
      <c r="E203" s="59"/>
      <c r="F203" s="17"/>
      <c r="H203" s="17"/>
    </row>
    <row r="204">
      <c r="B204" s="17"/>
      <c r="C204" s="17"/>
      <c r="D204" s="17" t="s">
        <v>733</v>
      </c>
      <c r="E204" s="59"/>
      <c r="F204" s="17"/>
      <c r="H204" s="17"/>
    </row>
    <row r="205">
      <c r="B205" s="17"/>
      <c r="C205" s="17"/>
      <c r="D205" s="17" t="s">
        <v>733</v>
      </c>
      <c r="E205" s="59"/>
      <c r="F205" s="17"/>
      <c r="H205" s="17"/>
    </row>
    <row r="206">
      <c r="B206" s="17"/>
      <c r="C206" s="17"/>
      <c r="D206" s="17" t="s">
        <v>733</v>
      </c>
      <c r="E206" s="59"/>
      <c r="F206" s="17"/>
      <c r="H206" s="17"/>
    </row>
    <row r="207">
      <c r="B207" s="17"/>
      <c r="C207" s="17"/>
      <c r="D207" s="17" t="s">
        <v>733</v>
      </c>
      <c r="E207" s="59"/>
      <c r="F207" s="17"/>
      <c r="H207" s="17"/>
    </row>
    <row r="208">
      <c r="B208" s="17"/>
      <c r="C208" s="17"/>
      <c r="D208" s="17" t="s">
        <v>733</v>
      </c>
      <c r="E208" s="59"/>
      <c r="F208" s="17"/>
      <c r="H208" s="17"/>
    </row>
    <row r="209">
      <c r="B209" s="17"/>
      <c r="C209" s="17"/>
      <c r="D209" s="17" t="s">
        <v>733</v>
      </c>
      <c r="E209" s="59"/>
      <c r="F209" s="17"/>
      <c r="H209" s="17"/>
    </row>
    <row r="210">
      <c r="B210" s="17"/>
      <c r="C210" s="17"/>
      <c r="D210" s="17" t="s">
        <v>733</v>
      </c>
      <c r="E210" s="59"/>
      <c r="F210" s="17"/>
      <c r="H210" s="17"/>
    </row>
    <row r="211">
      <c r="B211" s="17"/>
      <c r="C211" s="17"/>
      <c r="D211" s="17" t="s">
        <v>733</v>
      </c>
      <c r="E211" s="59"/>
      <c r="F211" s="17"/>
      <c r="H211" s="17"/>
    </row>
    <row r="212">
      <c r="B212" s="17"/>
      <c r="C212" s="17"/>
      <c r="D212" s="17" t="s">
        <v>733</v>
      </c>
      <c r="E212" s="59"/>
      <c r="F212" s="17"/>
      <c r="H212" s="17"/>
    </row>
    <row r="213">
      <c r="B213" s="17"/>
      <c r="C213" s="17"/>
      <c r="D213" s="17" t="s">
        <v>733</v>
      </c>
      <c r="E213" s="59"/>
      <c r="F213" s="17"/>
      <c r="H213" s="17"/>
    </row>
    <row r="214">
      <c r="B214" s="17"/>
      <c r="C214" s="17"/>
      <c r="D214" s="17" t="s">
        <v>733</v>
      </c>
      <c r="E214" s="59"/>
      <c r="F214" s="17"/>
      <c r="H214" s="17"/>
    </row>
    <row r="215">
      <c r="B215" s="17"/>
      <c r="C215" s="17"/>
      <c r="D215" s="17" t="s">
        <v>733</v>
      </c>
      <c r="E215" s="59"/>
      <c r="F215" s="17"/>
      <c r="H215" s="17"/>
    </row>
    <row r="216">
      <c r="B216" s="17"/>
      <c r="C216" s="17"/>
      <c r="D216" s="17" t="s">
        <v>733</v>
      </c>
      <c r="E216" s="59"/>
      <c r="F216" s="17"/>
      <c r="H216" s="17"/>
    </row>
    <row r="217">
      <c r="B217" s="17"/>
      <c r="C217" s="17"/>
      <c r="D217" s="17" t="s">
        <v>733</v>
      </c>
      <c r="E217" s="59"/>
      <c r="F217" s="17"/>
      <c r="H217" s="17"/>
    </row>
    <row r="218">
      <c r="B218" s="17"/>
      <c r="C218" s="17"/>
      <c r="D218" s="17" t="s">
        <v>733</v>
      </c>
      <c r="E218" s="59"/>
      <c r="F218" s="17"/>
      <c r="H218" s="17"/>
    </row>
    <row r="219">
      <c r="B219" s="17"/>
      <c r="C219" s="17"/>
      <c r="D219" s="17" t="s">
        <v>733</v>
      </c>
      <c r="E219" s="59"/>
      <c r="F219" s="17"/>
      <c r="H219" s="17"/>
    </row>
    <row r="220">
      <c r="B220" s="17"/>
      <c r="C220" s="17"/>
      <c r="D220" s="17" t="s">
        <v>733</v>
      </c>
      <c r="E220" s="59"/>
      <c r="F220" s="17"/>
      <c r="H220" s="17"/>
    </row>
    <row r="221">
      <c r="B221" s="17"/>
      <c r="C221" s="17"/>
      <c r="D221" s="17" t="s">
        <v>733</v>
      </c>
      <c r="E221" s="59"/>
      <c r="F221" s="17"/>
      <c r="H221" s="17"/>
    </row>
    <row r="222">
      <c r="B222" s="17"/>
      <c r="C222" s="17"/>
      <c r="D222" s="17" t="s">
        <v>733</v>
      </c>
      <c r="E222" s="59"/>
      <c r="F222" s="17"/>
      <c r="H222" s="17"/>
    </row>
    <row r="223">
      <c r="B223" s="17"/>
      <c r="C223" s="17"/>
      <c r="D223" s="17" t="s">
        <v>733</v>
      </c>
      <c r="E223" s="59"/>
      <c r="F223" s="17"/>
      <c r="H223" s="17"/>
    </row>
    <row r="224">
      <c r="B224" s="17"/>
      <c r="C224" s="17"/>
      <c r="D224" s="17" t="s">
        <v>733</v>
      </c>
      <c r="E224" s="59"/>
      <c r="F224" s="17"/>
      <c r="H224" s="17"/>
    </row>
    <row r="225">
      <c r="B225" s="17"/>
      <c r="C225" s="17"/>
      <c r="D225" s="17" t="s">
        <v>733</v>
      </c>
      <c r="E225" s="59"/>
      <c r="F225" s="17"/>
      <c r="H225" s="17"/>
    </row>
    <row r="226">
      <c r="B226" s="17"/>
      <c r="C226" s="17"/>
      <c r="D226" s="17" t="s">
        <v>733</v>
      </c>
      <c r="E226" s="59"/>
      <c r="F226" s="17"/>
      <c r="H226" s="17"/>
    </row>
    <row r="227">
      <c r="B227" s="17"/>
      <c r="C227" s="17"/>
      <c r="D227" s="17" t="s">
        <v>733</v>
      </c>
      <c r="E227" s="59"/>
      <c r="F227" s="17"/>
      <c r="H227" s="17"/>
    </row>
    <row r="228">
      <c r="B228" s="17"/>
      <c r="C228" s="17"/>
      <c r="D228" s="17" t="s">
        <v>733</v>
      </c>
      <c r="E228" s="59"/>
      <c r="F228" s="17"/>
      <c r="H228" s="17"/>
    </row>
    <row r="229">
      <c r="B229" s="17"/>
      <c r="C229" s="17"/>
      <c r="D229" s="17" t="s">
        <v>733</v>
      </c>
      <c r="E229" s="59"/>
      <c r="F229" s="17"/>
      <c r="H229" s="17"/>
    </row>
    <row r="230">
      <c r="B230" s="17"/>
      <c r="C230" s="17"/>
      <c r="D230" s="17" t="s">
        <v>733</v>
      </c>
      <c r="E230" s="59"/>
      <c r="F230" s="17"/>
      <c r="H230" s="17"/>
    </row>
    <row r="231">
      <c r="B231" s="17"/>
      <c r="C231" s="17"/>
      <c r="D231" s="17" t="s">
        <v>733</v>
      </c>
      <c r="E231" s="59"/>
      <c r="F231" s="17"/>
      <c r="H231" s="17"/>
    </row>
    <row r="232">
      <c r="B232" s="17"/>
      <c r="C232" s="17"/>
      <c r="D232" s="17" t="s">
        <v>733</v>
      </c>
      <c r="E232" s="59"/>
      <c r="F232" s="17"/>
      <c r="H232" s="17"/>
    </row>
    <row r="233">
      <c r="B233" s="17"/>
      <c r="C233" s="17"/>
      <c r="D233" s="17" t="s">
        <v>733</v>
      </c>
      <c r="E233" s="59"/>
      <c r="F233" s="17"/>
      <c r="H233" s="17"/>
    </row>
    <row r="234">
      <c r="B234" s="17"/>
      <c r="C234" s="17"/>
      <c r="D234" s="17" t="s">
        <v>733</v>
      </c>
      <c r="E234" s="59"/>
      <c r="F234" s="17"/>
      <c r="H234" s="17"/>
    </row>
    <row r="235">
      <c r="B235" s="17"/>
      <c r="C235" s="17"/>
      <c r="D235" s="17" t="s">
        <v>733</v>
      </c>
      <c r="E235" s="59"/>
      <c r="F235" s="17"/>
      <c r="H235" s="17"/>
    </row>
    <row r="236">
      <c r="B236" s="17"/>
      <c r="C236" s="17"/>
      <c r="D236" s="17" t="s">
        <v>733</v>
      </c>
      <c r="E236" s="59"/>
      <c r="F236" s="17"/>
      <c r="H236" s="17"/>
    </row>
    <row r="237">
      <c r="B237" s="17"/>
      <c r="C237" s="17"/>
      <c r="D237" s="17" t="s">
        <v>733</v>
      </c>
      <c r="E237" s="59"/>
      <c r="F237" s="17"/>
      <c r="H237" s="17"/>
    </row>
    <row r="238">
      <c r="B238" s="17"/>
      <c r="C238" s="17"/>
      <c r="D238" s="17" t="s">
        <v>733</v>
      </c>
      <c r="E238" s="59"/>
      <c r="F238" s="17"/>
      <c r="H238" s="17"/>
    </row>
    <row r="239">
      <c r="B239" s="17"/>
      <c r="C239" s="17"/>
      <c r="D239" s="17" t="s">
        <v>733</v>
      </c>
      <c r="E239" s="59"/>
      <c r="F239" s="17"/>
      <c r="H239" s="17"/>
    </row>
    <row r="240">
      <c r="B240" s="17"/>
      <c r="C240" s="17"/>
      <c r="D240" s="17" t="s">
        <v>733</v>
      </c>
      <c r="E240" s="59"/>
      <c r="F240" s="17"/>
      <c r="H240" s="17"/>
    </row>
    <row r="241">
      <c r="B241" s="17"/>
      <c r="C241" s="17"/>
      <c r="D241" s="17" t="s">
        <v>733</v>
      </c>
      <c r="E241" s="59"/>
      <c r="F241" s="17"/>
      <c r="H241" s="17"/>
    </row>
    <row r="242">
      <c r="B242" s="17"/>
      <c r="C242" s="17"/>
      <c r="D242" s="17" t="s">
        <v>733</v>
      </c>
      <c r="E242" s="59"/>
      <c r="F242" s="17"/>
      <c r="H242" s="17"/>
    </row>
    <row r="243">
      <c r="B243" s="17"/>
      <c r="C243" s="17"/>
      <c r="D243" s="17" t="s">
        <v>733</v>
      </c>
      <c r="E243" s="59"/>
      <c r="F243" s="17"/>
      <c r="H243" s="17"/>
    </row>
    <row r="244">
      <c r="B244" s="17"/>
      <c r="C244" s="17"/>
      <c r="D244" s="17" t="s">
        <v>733</v>
      </c>
      <c r="E244" s="59"/>
      <c r="F244" s="17"/>
      <c r="H244" s="17"/>
    </row>
    <row r="245">
      <c r="B245" s="17"/>
      <c r="C245" s="17"/>
      <c r="D245" s="17" t="s">
        <v>733</v>
      </c>
      <c r="E245" s="59"/>
      <c r="F245" s="17"/>
      <c r="H245" s="17"/>
    </row>
    <row r="246">
      <c r="B246" s="17"/>
      <c r="C246" s="17"/>
      <c r="D246" s="17" t="s">
        <v>733</v>
      </c>
      <c r="E246" s="59"/>
      <c r="F246" s="17"/>
      <c r="H246" s="17"/>
    </row>
    <row r="247">
      <c r="B247" s="17"/>
      <c r="C247" s="17"/>
      <c r="D247" s="17" t="s">
        <v>733</v>
      </c>
      <c r="E247" s="59"/>
      <c r="F247" s="17"/>
      <c r="H247" s="17"/>
    </row>
    <row r="248">
      <c r="B248" s="17"/>
      <c r="C248" s="17"/>
      <c r="D248" s="17" t="s">
        <v>733</v>
      </c>
      <c r="E248" s="59"/>
      <c r="F248" s="17"/>
      <c r="H248" s="17"/>
    </row>
    <row r="249">
      <c r="B249" s="17"/>
      <c r="C249" s="17"/>
      <c r="D249" s="17" t="s">
        <v>733</v>
      </c>
      <c r="E249" s="59"/>
      <c r="F249" s="17"/>
      <c r="H249" s="17"/>
    </row>
    <row r="250">
      <c r="B250" s="17"/>
      <c r="C250" s="17"/>
      <c r="D250" s="17" t="s">
        <v>733</v>
      </c>
      <c r="E250" s="59"/>
      <c r="F250" s="17"/>
      <c r="H250" s="17"/>
    </row>
    <row r="251">
      <c r="B251" s="17"/>
      <c r="C251" s="17"/>
      <c r="D251" s="17" t="s">
        <v>733</v>
      </c>
      <c r="E251" s="59"/>
      <c r="F251" s="17"/>
      <c r="H251" s="17"/>
    </row>
    <row r="252">
      <c r="B252" s="17"/>
      <c r="C252" s="17"/>
      <c r="D252" s="17" t="s">
        <v>733</v>
      </c>
      <c r="E252" s="59"/>
      <c r="F252" s="17"/>
      <c r="H252" s="17"/>
    </row>
    <row r="253">
      <c r="B253" s="17"/>
      <c r="C253" s="17"/>
      <c r="D253" s="17" t="s">
        <v>733</v>
      </c>
      <c r="E253" s="59"/>
      <c r="F253" s="17"/>
      <c r="H253" s="17"/>
    </row>
    <row r="254">
      <c r="B254" s="17"/>
      <c r="C254" s="17"/>
      <c r="D254" s="17" t="s">
        <v>733</v>
      </c>
      <c r="E254" s="59"/>
      <c r="F254" s="17"/>
      <c r="H254" s="17"/>
    </row>
    <row r="255">
      <c r="B255" s="17"/>
      <c r="C255" s="17"/>
      <c r="D255" s="17" t="s">
        <v>733</v>
      </c>
      <c r="E255" s="59"/>
      <c r="F255" s="17"/>
      <c r="H255" s="17"/>
    </row>
    <row r="256">
      <c r="B256" s="17"/>
      <c r="C256" s="17"/>
      <c r="D256" s="17" t="s">
        <v>733</v>
      </c>
      <c r="E256" s="59"/>
      <c r="F256" s="17"/>
      <c r="H256" s="17"/>
    </row>
    <row r="257">
      <c r="B257" s="17"/>
      <c r="C257" s="17"/>
      <c r="D257" s="17" t="s">
        <v>733</v>
      </c>
      <c r="E257" s="59"/>
      <c r="F257" s="17"/>
      <c r="H257" s="17"/>
    </row>
    <row r="258">
      <c r="B258" s="17"/>
      <c r="C258" s="17"/>
      <c r="D258" s="17" t="s">
        <v>733</v>
      </c>
      <c r="E258" s="59"/>
      <c r="F258" s="17"/>
      <c r="H258" s="17"/>
    </row>
    <row r="259">
      <c r="B259" s="17"/>
      <c r="C259" s="17"/>
      <c r="D259" s="17" t="s">
        <v>733</v>
      </c>
      <c r="E259" s="59"/>
      <c r="F259" s="17"/>
      <c r="H259" s="17"/>
    </row>
    <row r="260">
      <c r="B260" s="17"/>
      <c r="C260" s="17"/>
      <c r="D260" s="17" t="s">
        <v>733</v>
      </c>
      <c r="E260" s="59"/>
      <c r="F260" s="17"/>
      <c r="H260" s="17"/>
    </row>
    <row r="261">
      <c r="B261" s="17"/>
      <c r="C261" s="17"/>
      <c r="D261" s="17" t="s">
        <v>733</v>
      </c>
      <c r="E261" s="59"/>
      <c r="F261" s="17"/>
      <c r="H261" s="17"/>
    </row>
    <row r="262">
      <c r="B262" s="17"/>
      <c r="C262" s="17"/>
      <c r="D262" s="17" t="s">
        <v>733</v>
      </c>
      <c r="E262" s="59"/>
      <c r="F262" s="17"/>
      <c r="H262" s="17"/>
    </row>
    <row r="263">
      <c r="B263" s="17"/>
      <c r="C263" s="17"/>
      <c r="D263" s="17" t="s">
        <v>733</v>
      </c>
      <c r="E263" s="59"/>
      <c r="F263" s="17"/>
      <c r="H263" s="17"/>
    </row>
    <row r="264">
      <c r="B264" s="17"/>
      <c r="C264" s="17"/>
      <c r="D264" s="17" t="s">
        <v>733</v>
      </c>
      <c r="E264" s="59"/>
      <c r="F264" s="17"/>
      <c r="H264" s="17"/>
    </row>
    <row r="265">
      <c r="B265" s="17"/>
      <c r="C265" s="17"/>
      <c r="D265" s="17" t="s">
        <v>733</v>
      </c>
      <c r="E265" s="59"/>
      <c r="F265" s="17"/>
      <c r="H265" s="17"/>
    </row>
    <row r="266">
      <c r="B266" s="17"/>
      <c r="C266" s="17"/>
      <c r="D266" s="17" t="s">
        <v>733</v>
      </c>
      <c r="E266" s="59"/>
      <c r="F266" s="17"/>
      <c r="H266" s="17"/>
    </row>
    <row r="267">
      <c r="B267" s="17"/>
      <c r="C267" s="17"/>
      <c r="D267" s="17" t="s">
        <v>733</v>
      </c>
      <c r="E267" s="59"/>
      <c r="F267" s="17"/>
      <c r="H267" s="17"/>
    </row>
    <row r="268">
      <c r="B268" s="17"/>
      <c r="C268" s="17"/>
      <c r="D268" s="17" t="s">
        <v>733</v>
      </c>
      <c r="E268" s="59"/>
      <c r="F268" s="17"/>
      <c r="H268" s="17"/>
    </row>
    <row r="269">
      <c r="B269" s="17"/>
      <c r="C269" s="17"/>
      <c r="D269" s="17" t="s">
        <v>733</v>
      </c>
      <c r="E269" s="59"/>
      <c r="F269" s="17"/>
      <c r="H269" s="17"/>
    </row>
    <row r="270">
      <c r="B270" s="17"/>
      <c r="C270" s="17"/>
      <c r="D270" s="17" t="s">
        <v>733</v>
      </c>
      <c r="E270" s="59"/>
      <c r="F270" s="17"/>
      <c r="H270" s="17"/>
    </row>
    <row r="271">
      <c r="B271" s="17"/>
      <c r="C271" s="17"/>
      <c r="D271" s="17" t="s">
        <v>733</v>
      </c>
      <c r="E271" s="59"/>
      <c r="F271" s="17"/>
      <c r="H271" s="17"/>
    </row>
    <row r="272">
      <c r="B272" s="17"/>
      <c r="C272" s="17"/>
      <c r="D272" s="17" t="s">
        <v>733</v>
      </c>
      <c r="E272" s="59"/>
      <c r="F272" s="17"/>
      <c r="H272" s="17"/>
    </row>
    <row r="273">
      <c r="B273" s="17"/>
      <c r="C273" s="17"/>
      <c r="D273" s="17" t="s">
        <v>733</v>
      </c>
      <c r="E273" s="59"/>
      <c r="F273" s="17"/>
      <c r="H273" s="17"/>
    </row>
    <row r="274">
      <c r="B274" s="17"/>
      <c r="C274" s="17"/>
      <c r="D274" s="17" t="s">
        <v>733</v>
      </c>
      <c r="E274" s="59"/>
      <c r="F274" s="17"/>
      <c r="H274" s="17"/>
    </row>
    <row r="275">
      <c r="B275" s="17"/>
      <c r="C275" s="17"/>
      <c r="D275" s="17" t="s">
        <v>733</v>
      </c>
      <c r="E275" s="59"/>
      <c r="F275" s="17"/>
      <c r="H275" s="17"/>
    </row>
    <row r="276">
      <c r="B276" s="17"/>
      <c r="C276" s="17"/>
      <c r="D276" s="17" t="s">
        <v>733</v>
      </c>
      <c r="E276" s="59"/>
      <c r="F276" s="17"/>
      <c r="H276" s="17"/>
    </row>
    <row r="277">
      <c r="B277" s="17"/>
      <c r="C277" s="17"/>
      <c r="D277" s="17" t="s">
        <v>733</v>
      </c>
      <c r="E277" s="59"/>
      <c r="F277" s="17"/>
      <c r="H277" s="17"/>
    </row>
    <row r="278">
      <c r="B278" s="17"/>
      <c r="C278" s="17"/>
      <c r="D278" s="17" t="s">
        <v>733</v>
      </c>
      <c r="E278" s="59"/>
      <c r="F278" s="17"/>
      <c r="H278" s="17"/>
    </row>
    <row r="279">
      <c r="B279" s="17"/>
      <c r="C279" s="17"/>
      <c r="D279" s="17" t="s">
        <v>733</v>
      </c>
      <c r="E279" s="59"/>
      <c r="F279" s="17"/>
      <c r="H279" s="17"/>
    </row>
    <row r="280">
      <c r="B280" s="17"/>
      <c r="C280" s="17"/>
      <c r="D280" s="17" t="s">
        <v>733</v>
      </c>
      <c r="E280" s="59"/>
      <c r="F280" s="17"/>
      <c r="H280" s="17"/>
    </row>
    <row r="281">
      <c r="B281" s="17"/>
      <c r="C281" s="17"/>
      <c r="D281" s="17" t="s">
        <v>733</v>
      </c>
      <c r="E281" s="59"/>
      <c r="F281" s="17"/>
      <c r="H281" s="17"/>
    </row>
    <row r="282">
      <c r="B282" s="17"/>
      <c r="C282" s="17"/>
      <c r="D282" s="17" t="s">
        <v>733</v>
      </c>
      <c r="E282" s="59"/>
      <c r="F282" s="17"/>
      <c r="H282" s="17"/>
    </row>
    <row r="283">
      <c r="B283" s="17"/>
      <c r="C283" s="17"/>
      <c r="D283" s="17" t="s">
        <v>733</v>
      </c>
      <c r="E283" s="59"/>
      <c r="F283" s="17"/>
      <c r="H283" s="17"/>
    </row>
    <row r="284">
      <c r="B284" s="17"/>
      <c r="C284" s="17"/>
      <c r="D284" s="17" t="s">
        <v>733</v>
      </c>
      <c r="E284" s="59"/>
      <c r="F284" s="17"/>
      <c r="H284" s="17"/>
    </row>
    <row r="285">
      <c r="B285" s="17"/>
      <c r="C285" s="17"/>
      <c r="D285" s="17" t="s">
        <v>733</v>
      </c>
      <c r="E285" s="59"/>
      <c r="F285" s="17"/>
      <c r="H285" s="17"/>
    </row>
    <row r="286">
      <c r="B286" s="17"/>
      <c r="C286" s="17"/>
      <c r="D286" s="17" t="s">
        <v>733</v>
      </c>
      <c r="E286" s="59"/>
      <c r="F286" s="17"/>
      <c r="H286" s="17"/>
    </row>
    <row r="287">
      <c r="B287" s="17"/>
      <c r="C287" s="17"/>
      <c r="D287" s="17" t="s">
        <v>733</v>
      </c>
      <c r="E287" s="59"/>
      <c r="F287" s="17"/>
      <c r="H287" s="17"/>
    </row>
    <row r="288">
      <c r="B288" s="17"/>
      <c r="C288" s="17"/>
      <c r="D288" s="17" t="s">
        <v>733</v>
      </c>
      <c r="E288" s="59"/>
      <c r="F288" s="17"/>
      <c r="H288" s="17"/>
    </row>
    <row r="289">
      <c r="B289" s="17"/>
      <c r="C289" s="17"/>
      <c r="D289" s="17" t="s">
        <v>733</v>
      </c>
      <c r="E289" s="59"/>
      <c r="F289" s="17"/>
      <c r="H289" s="17"/>
    </row>
    <row r="290">
      <c r="B290" s="17"/>
      <c r="C290" s="17"/>
      <c r="D290" s="17" t="s">
        <v>733</v>
      </c>
      <c r="E290" s="59"/>
      <c r="F290" s="17"/>
      <c r="H290" s="17"/>
    </row>
    <row r="291">
      <c r="B291" s="17"/>
      <c r="C291" s="17"/>
      <c r="D291" s="17" t="s">
        <v>733</v>
      </c>
      <c r="E291" s="59"/>
      <c r="F291" s="17"/>
      <c r="H291" s="17"/>
    </row>
    <row r="292">
      <c r="B292" s="17"/>
      <c r="C292" s="17"/>
      <c r="D292" s="17" t="s">
        <v>733</v>
      </c>
      <c r="E292" s="59"/>
      <c r="F292" s="17"/>
      <c r="H292" s="17"/>
    </row>
    <row r="293">
      <c r="B293" s="17"/>
      <c r="C293" s="17"/>
      <c r="D293" s="17" t="s">
        <v>733</v>
      </c>
      <c r="E293" s="59"/>
      <c r="F293" s="17"/>
      <c r="H293" s="17"/>
    </row>
    <row r="294">
      <c r="B294" s="17"/>
      <c r="C294" s="17"/>
      <c r="D294" s="17" t="s">
        <v>733</v>
      </c>
      <c r="E294" s="59"/>
      <c r="F294" s="17"/>
      <c r="H294" s="17"/>
    </row>
    <row r="295">
      <c r="B295" s="17"/>
      <c r="C295" s="17"/>
      <c r="D295" s="17" t="s">
        <v>733</v>
      </c>
      <c r="E295" s="59"/>
      <c r="F295" s="17"/>
      <c r="H295" s="17"/>
    </row>
    <row r="296">
      <c r="B296" s="17"/>
      <c r="C296" s="17"/>
      <c r="D296" s="17" t="s">
        <v>733</v>
      </c>
      <c r="E296" s="59"/>
      <c r="F296" s="17"/>
      <c r="H296" s="17"/>
    </row>
    <row r="297">
      <c r="B297" s="17"/>
      <c r="C297" s="17"/>
      <c r="D297" s="17" t="s">
        <v>733</v>
      </c>
      <c r="E297" s="59"/>
      <c r="F297" s="17"/>
      <c r="H297" s="17"/>
    </row>
    <row r="298">
      <c r="B298" s="17"/>
      <c r="C298" s="17"/>
      <c r="D298" s="17" t="s">
        <v>733</v>
      </c>
      <c r="E298" s="59"/>
      <c r="F298" s="17"/>
      <c r="H298" s="17"/>
    </row>
    <row r="299">
      <c r="B299" s="17"/>
      <c r="C299" s="17"/>
      <c r="D299" s="17" t="s">
        <v>733</v>
      </c>
      <c r="E299" s="59"/>
      <c r="F299" s="17"/>
      <c r="H299" s="17"/>
    </row>
    <row r="300">
      <c r="B300" s="17"/>
      <c r="C300" s="17"/>
      <c r="D300" s="17" t="s">
        <v>733</v>
      </c>
      <c r="E300" s="59"/>
      <c r="F300" s="17"/>
      <c r="H300" s="17"/>
    </row>
    <row r="301">
      <c r="B301" s="17"/>
      <c r="C301" s="17"/>
      <c r="D301" s="17" t="s">
        <v>733</v>
      </c>
      <c r="E301" s="59"/>
      <c r="F301" s="17"/>
      <c r="H301" s="17"/>
    </row>
    <row r="302">
      <c r="B302" s="17"/>
      <c r="C302" s="17"/>
      <c r="D302" s="17" t="s">
        <v>733</v>
      </c>
      <c r="E302" s="59"/>
      <c r="F302" s="17"/>
      <c r="H302" s="17"/>
    </row>
    <row r="303">
      <c r="B303" s="17"/>
      <c r="C303" s="17"/>
      <c r="D303" s="17" t="s">
        <v>733</v>
      </c>
      <c r="E303" s="59"/>
      <c r="F303" s="17"/>
      <c r="H303" s="17"/>
    </row>
    <row r="304">
      <c r="B304" s="17"/>
      <c r="C304" s="17"/>
      <c r="D304" s="17" t="s">
        <v>733</v>
      </c>
      <c r="E304" s="59"/>
      <c r="F304" s="17"/>
      <c r="H304" s="17"/>
    </row>
    <row r="305">
      <c r="B305" s="17"/>
      <c r="C305" s="17"/>
      <c r="D305" s="17" t="s">
        <v>733</v>
      </c>
      <c r="E305" s="59"/>
      <c r="F305" s="17"/>
      <c r="H305" s="17"/>
    </row>
    <row r="306">
      <c r="B306" s="17"/>
      <c r="C306" s="17"/>
      <c r="D306" s="17" t="s">
        <v>733</v>
      </c>
      <c r="E306" s="59"/>
      <c r="F306" s="17"/>
      <c r="H306" s="17"/>
    </row>
    <row r="307">
      <c r="B307" s="17"/>
      <c r="C307" s="17"/>
      <c r="D307" s="17" t="s">
        <v>733</v>
      </c>
      <c r="E307" s="59"/>
      <c r="F307" s="17"/>
      <c r="H307" s="17"/>
    </row>
    <row r="308">
      <c r="B308" s="17"/>
      <c r="C308" s="17"/>
      <c r="D308" s="17" t="s">
        <v>733</v>
      </c>
      <c r="E308" s="59"/>
      <c r="F308" s="17"/>
      <c r="H308" s="17"/>
    </row>
    <row r="309">
      <c r="B309" s="17"/>
      <c r="C309" s="17"/>
      <c r="D309" s="17" t="s">
        <v>733</v>
      </c>
      <c r="E309" s="59"/>
      <c r="F309" s="17"/>
      <c r="H309" s="17"/>
    </row>
    <row r="310">
      <c r="B310" s="17"/>
      <c r="C310" s="17"/>
      <c r="D310" s="17" t="s">
        <v>733</v>
      </c>
      <c r="E310" s="59"/>
      <c r="F310" s="17"/>
      <c r="H310" s="17"/>
    </row>
    <row r="311">
      <c r="B311" s="17"/>
      <c r="C311" s="17"/>
      <c r="D311" s="17" t="s">
        <v>733</v>
      </c>
      <c r="E311" s="59"/>
      <c r="F311" s="17"/>
      <c r="H311" s="17"/>
    </row>
    <row r="312">
      <c r="B312" s="17"/>
      <c r="C312" s="17"/>
      <c r="D312" s="17" t="s">
        <v>733</v>
      </c>
      <c r="E312" s="59"/>
      <c r="F312" s="17"/>
      <c r="H312" s="17"/>
    </row>
    <row r="313">
      <c r="B313" s="17"/>
      <c r="C313" s="17"/>
      <c r="D313" s="17" t="s">
        <v>733</v>
      </c>
      <c r="E313" s="59"/>
      <c r="F313" s="17"/>
      <c r="H313" s="17"/>
    </row>
    <row r="314">
      <c r="B314" s="17"/>
      <c r="C314" s="17"/>
      <c r="D314" s="17" t="s">
        <v>733</v>
      </c>
      <c r="E314" s="59"/>
      <c r="F314" s="17"/>
      <c r="H314" s="17"/>
    </row>
    <row r="315">
      <c r="B315" s="17"/>
      <c r="C315" s="17"/>
      <c r="D315" s="17" t="s">
        <v>733</v>
      </c>
      <c r="E315" s="59"/>
      <c r="F315" s="17"/>
      <c r="H315" s="17"/>
    </row>
    <row r="316">
      <c r="B316" s="17"/>
      <c r="C316" s="17"/>
      <c r="D316" s="17" t="s">
        <v>733</v>
      </c>
      <c r="E316" s="59"/>
      <c r="F316" s="17"/>
      <c r="H316" s="17"/>
    </row>
    <row r="317">
      <c r="B317" s="17"/>
      <c r="C317" s="17"/>
      <c r="D317" s="17" t="s">
        <v>733</v>
      </c>
      <c r="E317" s="59"/>
      <c r="F317" s="17"/>
      <c r="H317" s="17"/>
    </row>
    <row r="318">
      <c r="B318" s="17"/>
      <c r="C318" s="17"/>
      <c r="D318" s="17" t="s">
        <v>733</v>
      </c>
      <c r="E318" s="59"/>
      <c r="F318" s="17"/>
      <c r="H318" s="17"/>
    </row>
    <row r="319">
      <c r="B319" s="17"/>
      <c r="C319" s="17"/>
      <c r="D319" s="17" t="s">
        <v>733</v>
      </c>
      <c r="E319" s="59"/>
      <c r="F319" s="17"/>
      <c r="H319" s="17"/>
    </row>
    <row r="320">
      <c r="B320" s="17"/>
      <c r="C320" s="17"/>
      <c r="D320" s="17" t="s">
        <v>733</v>
      </c>
      <c r="E320" s="59"/>
      <c r="F320" s="17"/>
      <c r="H320" s="17"/>
    </row>
    <row r="321">
      <c r="B321" s="17"/>
      <c r="C321" s="17"/>
      <c r="D321" s="17" t="s">
        <v>733</v>
      </c>
      <c r="E321" s="59"/>
      <c r="F321" s="17"/>
      <c r="H321" s="17"/>
    </row>
    <row r="322">
      <c r="B322" s="17"/>
      <c r="C322" s="17"/>
      <c r="D322" s="17" t="s">
        <v>733</v>
      </c>
      <c r="E322" s="59"/>
      <c r="F322" s="17"/>
      <c r="H322" s="17"/>
    </row>
    <row r="323">
      <c r="B323" s="17"/>
      <c r="C323" s="17"/>
      <c r="D323" s="17" t="s">
        <v>733</v>
      </c>
      <c r="E323" s="59"/>
      <c r="F323" s="17"/>
      <c r="H323" s="17"/>
    </row>
    <row r="324">
      <c r="B324" s="17"/>
      <c r="C324" s="17"/>
      <c r="D324" s="17" t="s">
        <v>733</v>
      </c>
      <c r="E324" s="59"/>
      <c r="F324" s="17"/>
      <c r="H324" s="17"/>
    </row>
    <row r="325">
      <c r="B325" s="17"/>
      <c r="C325" s="17"/>
      <c r="D325" s="17" t="s">
        <v>733</v>
      </c>
      <c r="E325" s="59"/>
      <c r="F325" s="17"/>
      <c r="H325" s="17"/>
    </row>
    <row r="326">
      <c r="B326" s="17"/>
      <c r="C326" s="17"/>
      <c r="D326" s="17" t="s">
        <v>733</v>
      </c>
      <c r="E326" s="59"/>
      <c r="F326" s="17"/>
      <c r="H326" s="17"/>
    </row>
    <row r="327">
      <c r="B327" s="17"/>
      <c r="C327" s="17"/>
      <c r="D327" s="17" t="s">
        <v>733</v>
      </c>
      <c r="E327" s="59"/>
      <c r="F327" s="17"/>
      <c r="H327" s="17"/>
    </row>
    <row r="328">
      <c r="B328" s="17"/>
      <c r="C328" s="17"/>
      <c r="D328" s="17" t="s">
        <v>733</v>
      </c>
      <c r="E328" s="59"/>
      <c r="F328" s="17"/>
      <c r="H328" s="17"/>
    </row>
    <row r="329">
      <c r="B329" s="17"/>
      <c r="C329" s="17"/>
      <c r="D329" s="17" t="s">
        <v>733</v>
      </c>
      <c r="E329" s="59"/>
      <c r="F329" s="17"/>
      <c r="H329" s="17"/>
    </row>
    <row r="330">
      <c r="B330" s="17"/>
      <c r="C330" s="17"/>
      <c r="D330" s="17" t="s">
        <v>733</v>
      </c>
      <c r="E330" s="59"/>
      <c r="F330" s="17"/>
      <c r="H330" s="17"/>
    </row>
    <row r="331">
      <c r="B331" s="17"/>
      <c r="C331" s="17"/>
      <c r="D331" s="17" t="s">
        <v>733</v>
      </c>
      <c r="E331" s="59"/>
      <c r="F331" s="17"/>
      <c r="H331" s="17"/>
    </row>
    <row r="332">
      <c r="B332" s="17"/>
      <c r="C332" s="17"/>
      <c r="D332" s="17" t="s">
        <v>733</v>
      </c>
      <c r="E332" s="59"/>
      <c r="F332" s="17"/>
      <c r="H332" s="17"/>
    </row>
    <row r="333">
      <c r="B333" s="17"/>
      <c r="C333" s="17"/>
      <c r="D333" s="17" t="s">
        <v>733</v>
      </c>
      <c r="E333" s="59"/>
      <c r="F333" s="17"/>
      <c r="H333" s="17"/>
    </row>
    <row r="334">
      <c r="B334" s="17"/>
      <c r="C334" s="17"/>
      <c r="D334" s="17" t="s">
        <v>733</v>
      </c>
      <c r="E334" s="59"/>
      <c r="F334" s="17"/>
      <c r="H334" s="17"/>
    </row>
    <row r="335">
      <c r="B335" s="17"/>
      <c r="C335" s="17"/>
      <c r="D335" s="17" t="s">
        <v>733</v>
      </c>
      <c r="E335" s="59"/>
      <c r="F335" s="17"/>
      <c r="H335" s="17"/>
    </row>
    <row r="336">
      <c r="B336" s="17"/>
      <c r="C336" s="17"/>
      <c r="D336" s="17" t="s">
        <v>733</v>
      </c>
      <c r="E336" s="59"/>
      <c r="F336" s="17"/>
      <c r="H336" s="17"/>
    </row>
    <row r="337">
      <c r="B337" s="17"/>
      <c r="C337" s="17"/>
      <c r="D337" s="17" t="s">
        <v>733</v>
      </c>
      <c r="E337" s="59"/>
      <c r="F337" s="17"/>
      <c r="H337" s="17"/>
    </row>
    <row r="338">
      <c r="B338" s="17"/>
      <c r="C338" s="17"/>
      <c r="D338" s="17" t="s">
        <v>733</v>
      </c>
      <c r="E338" s="59"/>
      <c r="F338" s="17"/>
      <c r="H338" s="17"/>
    </row>
    <row r="339">
      <c r="B339" s="17"/>
      <c r="C339" s="17"/>
      <c r="D339" s="17" t="s">
        <v>733</v>
      </c>
      <c r="E339" s="59"/>
      <c r="F339" s="17"/>
      <c r="H339" s="17"/>
    </row>
    <row r="340">
      <c r="B340" s="17"/>
      <c r="C340" s="17"/>
      <c r="D340" s="17" t="s">
        <v>733</v>
      </c>
      <c r="E340" s="59"/>
      <c r="F340" s="17"/>
      <c r="H340" s="17"/>
    </row>
    <row r="341">
      <c r="B341" s="17"/>
      <c r="C341" s="17"/>
      <c r="D341" s="17" t="s">
        <v>733</v>
      </c>
      <c r="E341" s="59"/>
      <c r="F341" s="17"/>
      <c r="H341" s="17"/>
    </row>
    <row r="342">
      <c r="B342" s="17"/>
      <c r="C342" s="17"/>
      <c r="D342" s="17" t="s">
        <v>733</v>
      </c>
      <c r="E342" s="59"/>
      <c r="F342" s="17"/>
      <c r="H342" s="17"/>
    </row>
    <row r="343">
      <c r="B343" s="17"/>
      <c r="C343" s="17"/>
      <c r="D343" s="17" t="s">
        <v>733</v>
      </c>
      <c r="E343" s="59"/>
      <c r="F343" s="17"/>
      <c r="H343" s="17"/>
    </row>
    <row r="344">
      <c r="B344" s="17"/>
      <c r="C344" s="17"/>
      <c r="D344" s="17" t="s">
        <v>733</v>
      </c>
      <c r="E344" s="59"/>
      <c r="F344" s="17"/>
      <c r="H344" s="17"/>
    </row>
    <row r="345">
      <c r="B345" s="17"/>
      <c r="C345" s="17"/>
      <c r="D345" s="17" t="s">
        <v>733</v>
      </c>
      <c r="E345" s="59"/>
      <c r="F345" s="17"/>
      <c r="H345" s="17"/>
    </row>
    <row r="346">
      <c r="B346" s="17"/>
      <c r="C346" s="17"/>
      <c r="D346" s="17" t="s">
        <v>733</v>
      </c>
      <c r="E346" s="59"/>
      <c r="F346" s="17"/>
      <c r="H346" s="17"/>
    </row>
    <row r="347">
      <c r="B347" s="17"/>
      <c r="C347" s="17"/>
      <c r="D347" s="17" t="s">
        <v>733</v>
      </c>
      <c r="E347" s="59"/>
      <c r="F347" s="17"/>
      <c r="H347" s="17"/>
    </row>
    <row r="348">
      <c r="B348" s="17"/>
      <c r="C348" s="17"/>
      <c r="D348" s="17" t="s">
        <v>733</v>
      </c>
      <c r="E348" s="59"/>
      <c r="F348" s="17"/>
      <c r="H348" s="17"/>
    </row>
    <row r="349">
      <c r="B349" s="17"/>
      <c r="C349" s="17"/>
      <c r="D349" s="17" t="s">
        <v>733</v>
      </c>
      <c r="E349" s="59"/>
      <c r="F349" s="17"/>
      <c r="H349" s="17"/>
    </row>
    <row r="350">
      <c r="B350" s="17"/>
      <c r="C350" s="17"/>
      <c r="D350" s="17" t="s">
        <v>733</v>
      </c>
      <c r="E350" s="59"/>
      <c r="F350" s="17"/>
      <c r="H350" s="17"/>
    </row>
    <row r="351">
      <c r="B351" s="17"/>
      <c r="C351" s="17"/>
      <c r="D351" s="17" t="s">
        <v>733</v>
      </c>
      <c r="E351" s="59"/>
      <c r="F351" s="17"/>
      <c r="H351" s="17"/>
    </row>
    <row r="352">
      <c r="B352" s="17"/>
      <c r="C352" s="17"/>
      <c r="D352" s="17" t="s">
        <v>733</v>
      </c>
      <c r="E352" s="59"/>
      <c r="F352" s="17"/>
      <c r="H352" s="17"/>
    </row>
    <row r="353">
      <c r="B353" s="17"/>
      <c r="C353" s="17"/>
      <c r="D353" s="17" t="s">
        <v>733</v>
      </c>
      <c r="E353" s="59"/>
      <c r="F353" s="17"/>
      <c r="H353" s="17"/>
    </row>
    <row r="354">
      <c r="B354" s="17"/>
      <c r="C354" s="17"/>
      <c r="D354" s="17" t="s">
        <v>733</v>
      </c>
      <c r="E354" s="59"/>
      <c r="F354" s="17"/>
      <c r="H354" s="17"/>
    </row>
    <row r="355">
      <c r="B355" s="17"/>
      <c r="C355" s="17"/>
      <c r="D355" s="17" t="s">
        <v>733</v>
      </c>
      <c r="E355" s="59"/>
      <c r="F355" s="17"/>
      <c r="H355" s="17"/>
    </row>
    <row r="356">
      <c r="B356" s="17"/>
      <c r="C356" s="17"/>
      <c r="D356" s="17" t="s">
        <v>733</v>
      </c>
      <c r="E356" s="59"/>
      <c r="F356" s="17"/>
      <c r="H356" s="17"/>
    </row>
    <row r="357">
      <c r="B357" s="17"/>
      <c r="C357" s="17"/>
      <c r="D357" s="17" t="s">
        <v>733</v>
      </c>
      <c r="E357" s="59"/>
      <c r="F357" s="17"/>
      <c r="H357" s="17"/>
    </row>
    <row r="358">
      <c r="B358" s="17"/>
      <c r="C358" s="17"/>
      <c r="D358" s="17" t="s">
        <v>733</v>
      </c>
      <c r="E358" s="59"/>
      <c r="F358" s="17"/>
      <c r="H358" s="17"/>
    </row>
    <row r="359">
      <c r="B359" s="17"/>
      <c r="C359" s="17"/>
      <c r="D359" s="17" t="s">
        <v>733</v>
      </c>
      <c r="E359" s="59"/>
      <c r="F359" s="17"/>
      <c r="H359" s="17"/>
    </row>
    <row r="360">
      <c r="B360" s="17"/>
      <c r="C360" s="17"/>
      <c r="D360" s="17" t="s">
        <v>733</v>
      </c>
      <c r="E360" s="59"/>
      <c r="F360" s="17"/>
      <c r="H360" s="17"/>
    </row>
    <row r="361">
      <c r="B361" s="17"/>
      <c r="C361" s="17"/>
      <c r="D361" s="17" t="s">
        <v>733</v>
      </c>
      <c r="E361" s="59"/>
      <c r="F361" s="17"/>
      <c r="H361" s="17"/>
    </row>
    <row r="362">
      <c r="B362" s="17"/>
      <c r="C362" s="17"/>
      <c r="D362" s="17" t="s">
        <v>733</v>
      </c>
      <c r="E362" s="59"/>
      <c r="F362" s="17"/>
      <c r="H362" s="17"/>
    </row>
    <row r="363">
      <c r="B363" s="17"/>
      <c r="C363" s="17"/>
      <c r="D363" s="17" t="s">
        <v>733</v>
      </c>
      <c r="E363" s="59"/>
      <c r="F363" s="17"/>
      <c r="H363" s="17"/>
    </row>
    <row r="364">
      <c r="B364" s="17"/>
      <c r="C364" s="17"/>
      <c r="D364" s="17" t="s">
        <v>733</v>
      </c>
      <c r="E364" s="59"/>
      <c r="F364" s="17"/>
      <c r="H364" s="17"/>
    </row>
    <row r="365">
      <c r="B365" s="17"/>
      <c r="C365" s="17"/>
      <c r="D365" s="17" t="s">
        <v>733</v>
      </c>
      <c r="E365" s="59"/>
      <c r="F365" s="17"/>
      <c r="H365" s="17"/>
    </row>
    <row r="366">
      <c r="B366" s="17"/>
      <c r="C366" s="17"/>
      <c r="D366" s="17" t="s">
        <v>733</v>
      </c>
      <c r="E366" s="59"/>
      <c r="F366" s="17"/>
      <c r="H366" s="17"/>
    </row>
    <row r="367">
      <c r="B367" s="17"/>
      <c r="C367" s="17"/>
      <c r="D367" s="17" t="s">
        <v>733</v>
      </c>
      <c r="E367" s="59"/>
      <c r="F367" s="17"/>
      <c r="H367" s="17"/>
    </row>
    <row r="368">
      <c r="B368" s="17"/>
      <c r="C368" s="17"/>
      <c r="D368" s="17" t="s">
        <v>733</v>
      </c>
      <c r="E368" s="59"/>
      <c r="F368" s="17"/>
      <c r="H368" s="17"/>
    </row>
    <row r="369">
      <c r="B369" s="17"/>
      <c r="C369" s="17"/>
      <c r="D369" s="17" t="s">
        <v>733</v>
      </c>
      <c r="E369" s="59"/>
      <c r="F369" s="17"/>
      <c r="H369" s="17"/>
    </row>
    <row r="370">
      <c r="B370" s="17"/>
      <c r="C370" s="17"/>
      <c r="D370" s="17" t="s">
        <v>733</v>
      </c>
      <c r="E370" s="59"/>
      <c r="F370" s="17"/>
      <c r="H370" s="17"/>
    </row>
    <row r="371">
      <c r="B371" s="17"/>
      <c r="C371" s="17"/>
      <c r="D371" s="17" t="s">
        <v>733</v>
      </c>
      <c r="E371" s="59"/>
      <c r="F371" s="17"/>
      <c r="H371" s="17"/>
    </row>
    <row r="372">
      <c r="B372" s="17"/>
      <c r="C372" s="17"/>
      <c r="D372" s="17" t="s">
        <v>733</v>
      </c>
      <c r="E372" s="59"/>
      <c r="F372" s="17"/>
      <c r="H372" s="17"/>
    </row>
    <row r="373">
      <c r="B373" s="17"/>
      <c r="C373" s="17"/>
      <c r="D373" s="17" t="s">
        <v>733</v>
      </c>
      <c r="E373" s="59"/>
      <c r="F373" s="17"/>
      <c r="H373" s="17"/>
    </row>
    <row r="374">
      <c r="B374" s="17"/>
      <c r="C374" s="17"/>
      <c r="D374" s="17" t="s">
        <v>733</v>
      </c>
      <c r="E374" s="59"/>
      <c r="F374" s="17"/>
      <c r="H374" s="17"/>
    </row>
    <row r="375">
      <c r="B375" s="17"/>
      <c r="C375" s="17"/>
      <c r="D375" s="17" t="s">
        <v>733</v>
      </c>
      <c r="E375" s="59"/>
      <c r="F375" s="17"/>
      <c r="H375" s="17"/>
    </row>
    <row r="376">
      <c r="B376" s="17"/>
      <c r="C376" s="17"/>
      <c r="D376" s="17" t="s">
        <v>733</v>
      </c>
      <c r="E376" s="59"/>
      <c r="F376" s="17"/>
      <c r="H376" s="17"/>
    </row>
    <row r="377">
      <c r="B377" s="17"/>
      <c r="C377" s="17"/>
      <c r="D377" s="17" t="s">
        <v>733</v>
      </c>
      <c r="E377" s="59"/>
      <c r="F377" s="17"/>
      <c r="H377" s="17"/>
    </row>
    <row r="378">
      <c r="B378" s="17"/>
      <c r="C378" s="17"/>
      <c r="D378" s="17" t="s">
        <v>733</v>
      </c>
      <c r="E378" s="59"/>
      <c r="F378" s="17"/>
      <c r="H378" s="17"/>
    </row>
    <row r="379">
      <c r="B379" s="17"/>
      <c r="C379" s="17"/>
      <c r="D379" s="17" t="s">
        <v>733</v>
      </c>
      <c r="E379" s="59"/>
      <c r="F379" s="17"/>
      <c r="H379" s="17"/>
    </row>
    <row r="380">
      <c r="B380" s="17"/>
      <c r="C380" s="17"/>
      <c r="D380" s="17" t="s">
        <v>733</v>
      </c>
      <c r="E380" s="59"/>
      <c r="F380" s="17"/>
      <c r="H380" s="17"/>
    </row>
    <row r="381">
      <c r="B381" s="17"/>
      <c r="C381" s="17"/>
      <c r="D381" s="17" t="s">
        <v>733</v>
      </c>
      <c r="E381" s="59"/>
      <c r="F381" s="17"/>
      <c r="H381" s="17"/>
    </row>
    <row r="382">
      <c r="B382" s="17"/>
      <c r="C382" s="17"/>
      <c r="D382" s="17" t="s">
        <v>733</v>
      </c>
      <c r="E382" s="59"/>
      <c r="F382" s="17"/>
      <c r="H382" s="17"/>
    </row>
    <row r="383">
      <c r="B383" s="17"/>
      <c r="C383" s="17"/>
      <c r="D383" s="17" t="s">
        <v>733</v>
      </c>
      <c r="E383" s="59"/>
      <c r="F383" s="17"/>
      <c r="H383" s="17"/>
    </row>
    <row r="384">
      <c r="B384" s="17"/>
      <c r="C384" s="17"/>
      <c r="D384" s="17" t="s">
        <v>733</v>
      </c>
      <c r="E384" s="59"/>
      <c r="F384" s="17"/>
      <c r="H384" s="17"/>
    </row>
    <row r="385">
      <c r="B385" s="17"/>
      <c r="C385" s="17"/>
      <c r="D385" s="17" t="s">
        <v>733</v>
      </c>
      <c r="E385" s="59"/>
      <c r="F385" s="17"/>
      <c r="H385" s="17"/>
    </row>
    <row r="386">
      <c r="B386" s="17"/>
      <c r="C386" s="17"/>
      <c r="D386" s="17" t="s">
        <v>733</v>
      </c>
      <c r="E386" s="59"/>
      <c r="F386" s="17"/>
      <c r="H386" s="17"/>
    </row>
    <row r="387">
      <c r="B387" s="17"/>
      <c r="C387" s="17"/>
      <c r="D387" s="17" t="s">
        <v>733</v>
      </c>
      <c r="E387" s="59"/>
      <c r="F387" s="17"/>
      <c r="H387" s="17"/>
    </row>
    <row r="388">
      <c r="B388" s="17"/>
      <c r="C388" s="17"/>
      <c r="D388" s="17" t="s">
        <v>733</v>
      </c>
      <c r="E388" s="59"/>
      <c r="F388" s="17"/>
      <c r="H388" s="17"/>
    </row>
    <row r="389">
      <c r="B389" s="17"/>
      <c r="C389" s="17"/>
      <c r="D389" s="17" t="s">
        <v>733</v>
      </c>
      <c r="E389" s="59"/>
      <c r="F389" s="17"/>
      <c r="H389" s="17"/>
    </row>
    <row r="390">
      <c r="B390" s="17"/>
      <c r="C390" s="17"/>
      <c r="D390" s="17" t="s">
        <v>733</v>
      </c>
      <c r="E390" s="59"/>
      <c r="F390" s="17"/>
      <c r="H390" s="17"/>
    </row>
    <row r="391">
      <c r="B391" s="17"/>
      <c r="C391" s="17"/>
      <c r="D391" s="17" t="s">
        <v>733</v>
      </c>
      <c r="E391" s="59"/>
      <c r="F391" s="17"/>
      <c r="H391" s="17"/>
    </row>
    <row r="392">
      <c r="B392" s="17"/>
      <c r="C392" s="17"/>
      <c r="D392" s="17" t="s">
        <v>733</v>
      </c>
      <c r="E392" s="59"/>
      <c r="F392" s="17"/>
      <c r="H392" s="17"/>
    </row>
    <row r="393">
      <c r="B393" s="17"/>
      <c r="C393" s="17"/>
      <c r="D393" s="17" t="s">
        <v>733</v>
      </c>
      <c r="E393" s="59"/>
      <c r="F393" s="17"/>
      <c r="H393" s="17"/>
    </row>
    <row r="394">
      <c r="B394" s="17"/>
      <c r="C394" s="17"/>
      <c r="D394" s="17" t="s">
        <v>733</v>
      </c>
      <c r="E394" s="59"/>
      <c r="F394" s="17"/>
      <c r="H394" s="17"/>
    </row>
    <row r="395">
      <c r="B395" s="17"/>
      <c r="C395" s="17"/>
      <c r="D395" s="17" t="s">
        <v>733</v>
      </c>
      <c r="E395" s="59"/>
      <c r="F395" s="17"/>
      <c r="H395" s="17"/>
    </row>
    <row r="396">
      <c r="B396" s="17"/>
      <c r="C396" s="17"/>
      <c r="D396" s="17" t="s">
        <v>733</v>
      </c>
      <c r="E396" s="59"/>
      <c r="F396" s="17"/>
      <c r="H396" s="17"/>
    </row>
    <row r="397">
      <c r="B397" s="17"/>
      <c r="C397" s="17"/>
      <c r="D397" s="17" t="s">
        <v>733</v>
      </c>
      <c r="E397" s="59"/>
      <c r="F397" s="17"/>
      <c r="H397" s="17"/>
    </row>
    <row r="398">
      <c r="B398" s="17"/>
      <c r="C398" s="17"/>
      <c r="D398" s="17" t="s">
        <v>733</v>
      </c>
      <c r="E398" s="59"/>
      <c r="F398" s="17"/>
      <c r="H398" s="17"/>
    </row>
    <row r="399">
      <c r="B399" s="17"/>
      <c r="C399" s="17"/>
      <c r="D399" s="17" t="s">
        <v>733</v>
      </c>
      <c r="E399" s="59"/>
      <c r="F399" s="17"/>
      <c r="H399" s="17"/>
    </row>
    <row r="400">
      <c r="B400" s="17"/>
      <c r="C400" s="17"/>
      <c r="D400" s="17" t="s">
        <v>733</v>
      </c>
      <c r="E400" s="59"/>
      <c r="F400" s="17"/>
      <c r="H400" s="17"/>
    </row>
    <row r="401">
      <c r="B401" s="17"/>
      <c r="C401" s="17"/>
      <c r="D401" s="17" t="s">
        <v>733</v>
      </c>
      <c r="E401" s="59"/>
      <c r="F401" s="17"/>
      <c r="H401" s="17"/>
    </row>
    <row r="402">
      <c r="B402" s="17"/>
      <c r="C402" s="17"/>
      <c r="D402" s="17" t="s">
        <v>733</v>
      </c>
      <c r="E402" s="59"/>
      <c r="F402" s="17"/>
      <c r="H402" s="17"/>
    </row>
    <row r="403">
      <c r="B403" s="17"/>
      <c r="C403" s="17"/>
      <c r="D403" s="17" t="s">
        <v>733</v>
      </c>
      <c r="E403" s="59"/>
      <c r="F403" s="17"/>
      <c r="H403" s="17"/>
    </row>
    <row r="404">
      <c r="B404" s="17"/>
      <c r="C404" s="17"/>
      <c r="D404" s="17" t="s">
        <v>733</v>
      </c>
      <c r="E404" s="59"/>
      <c r="F404" s="17"/>
      <c r="H404" s="17"/>
    </row>
    <row r="405">
      <c r="B405" s="17"/>
      <c r="C405" s="17"/>
      <c r="D405" s="17" t="s">
        <v>733</v>
      </c>
      <c r="E405" s="59"/>
      <c r="F405" s="17"/>
      <c r="H405" s="17"/>
    </row>
    <row r="406">
      <c r="B406" s="17"/>
      <c r="C406" s="17"/>
      <c r="D406" s="17" t="s">
        <v>733</v>
      </c>
      <c r="E406" s="59"/>
      <c r="F406" s="17"/>
      <c r="H406" s="17"/>
    </row>
    <row r="407">
      <c r="B407" s="17"/>
      <c r="C407" s="17"/>
      <c r="D407" s="17" t="s">
        <v>733</v>
      </c>
      <c r="E407" s="59"/>
      <c r="F407" s="17"/>
      <c r="H407" s="17"/>
    </row>
    <row r="408">
      <c r="B408" s="17"/>
      <c r="C408" s="17"/>
      <c r="D408" s="17" t="s">
        <v>733</v>
      </c>
      <c r="E408" s="59"/>
      <c r="F408" s="17"/>
      <c r="H408" s="17"/>
    </row>
    <row r="409">
      <c r="B409" s="17"/>
      <c r="C409" s="17"/>
      <c r="D409" s="17" t="s">
        <v>733</v>
      </c>
      <c r="E409" s="59"/>
      <c r="F409" s="17"/>
      <c r="H409" s="17"/>
    </row>
    <row r="410">
      <c r="B410" s="17"/>
      <c r="C410" s="17"/>
      <c r="D410" s="17" t="s">
        <v>733</v>
      </c>
      <c r="E410" s="59"/>
      <c r="F410" s="17"/>
      <c r="H410" s="17"/>
    </row>
    <row r="411">
      <c r="B411" s="17"/>
      <c r="C411" s="17"/>
      <c r="D411" s="17" t="s">
        <v>733</v>
      </c>
      <c r="E411" s="59"/>
      <c r="F411" s="17"/>
      <c r="H411" s="17"/>
    </row>
    <row r="412">
      <c r="B412" s="17"/>
      <c r="C412" s="17"/>
      <c r="D412" s="17" t="s">
        <v>733</v>
      </c>
      <c r="E412" s="59"/>
      <c r="F412" s="17"/>
      <c r="H412" s="17"/>
    </row>
    <row r="413">
      <c r="B413" s="17"/>
      <c r="C413" s="17"/>
      <c r="D413" s="17" t="s">
        <v>733</v>
      </c>
      <c r="E413" s="59"/>
      <c r="F413" s="17"/>
      <c r="H413" s="17"/>
    </row>
    <row r="414">
      <c r="B414" s="17"/>
      <c r="C414" s="17"/>
      <c r="D414" s="17" t="s">
        <v>733</v>
      </c>
      <c r="E414" s="59"/>
      <c r="F414" s="17"/>
      <c r="H414" s="17"/>
    </row>
    <row r="415">
      <c r="B415" s="17"/>
      <c r="C415" s="17"/>
      <c r="D415" s="17" t="s">
        <v>733</v>
      </c>
      <c r="E415" s="59"/>
      <c r="F415" s="17"/>
      <c r="H415" s="17"/>
    </row>
    <row r="416">
      <c r="B416" s="17"/>
      <c r="C416" s="17"/>
      <c r="D416" s="17" t="s">
        <v>733</v>
      </c>
      <c r="E416" s="59"/>
      <c r="F416" s="17"/>
      <c r="H416" s="17"/>
    </row>
    <row r="417">
      <c r="B417" s="17"/>
      <c r="C417" s="17"/>
      <c r="D417" s="17" t="s">
        <v>733</v>
      </c>
      <c r="E417" s="59"/>
      <c r="F417" s="17"/>
      <c r="H417" s="17"/>
    </row>
    <row r="418">
      <c r="B418" s="17"/>
      <c r="C418" s="17"/>
      <c r="D418" s="17" t="s">
        <v>733</v>
      </c>
      <c r="E418" s="59"/>
      <c r="F418" s="17"/>
      <c r="H418" s="17"/>
    </row>
    <row r="419">
      <c r="B419" s="17"/>
      <c r="C419" s="17"/>
      <c r="D419" s="17" t="s">
        <v>733</v>
      </c>
      <c r="E419" s="59"/>
      <c r="F419" s="17"/>
      <c r="H419" s="17"/>
    </row>
    <row r="420">
      <c r="B420" s="17"/>
      <c r="C420" s="17"/>
      <c r="D420" s="17" t="s">
        <v>733</v>
      </c>
      <c r="E420" s="59"/>
      <c r="F420" s="17"/>
      <c r="H420" s="17"/>
    </row>
    <row r="421">
      <c r="B421" s="17"/>
      <c r="C421" s="17"/>
      <c r="D421" s="17" t="s">
        <v>733</v>
      </c>
      <c r="E421" s="59"/>
      <c r="F421" s="17"/>
      <c r="H421" s="17"/>
    </row>
    <row r="422">
      <c r="B422" s="17"/>
      <c r="C422" s="17"/>
      <c r="D422" s="17" t="s">
        <v>733</v>
      </c>
      <c r="E422" s="59"/>
      <c r="F422" s="17"/>
      <c r="H422" s="17"/>
    </row>
    <row r="423">
      <c r="B423" s="17"/>
      <c r="C423" s="17"/>
      <c r="D423" s="17" t="s">
        <v>733</v>
      </c>
      <c r="E423" s="59"/>
      <c r="F423" s="17"/>
      <c r="H423" s="17"/>
    </row>
    <row r="424">
      <c r="B424" s="17"/>
      <c r="C424" s="17"/>
      <c r="D424" s="17" t="s">
        <v>733</v>
      </c>
      <c r="E424" s="59"/>
      <c r="F424" s="17"/>
      <c r="H424" s="17"/>
    </row>
    <row r="425">
      <c r="B425" s="17"/>
      <c r="C425" s="17"/>
      <c r="D425" s="17" t="s">
        <v>733</v>
      </c>
      <c r="E425" s="59"/>
      <c r="F425" s="17"/>
      <c r="H425" s="17"/>
    </row>
    <row r="426">
      <c r="B426" s="17"/>
      <c r="C426" s="17"/>
      <c r="D426" s="17" t="s">
        <v>733</v>
      </c>
      <c r="E426" s="59"/>
      <c r="F426" s="17"/>
      <c r="H426" s="17"/>
    </row>
    <row r="427">
      <c r="B427" s="17"/>
      <c r="C427" s="17"/>
      <c r="D427" s="17" t="s">
        <v>733</v>
      </c>
      <c r="E427" s="59"/>
      <c r="F427" s="17"/>
      <c r="H427" s="17"/>
    </row>
    <row r="428">
      <c r="B428" s="17"/>
      <c r="C428" s="17"/>
      <c r="D428" s="17" t="s">
        <v>733</v>
      </c>
      <c r="E428" s="59"/>
      <c r="F428" s="17"/>
      <c r="H428" s="17"/>
    </row>
    <row r="429">
      <c r="B429" s="17"/>
      <c r="C429" s="17"/>
      <c r="D429" s="17" t="s">
        <v>733</v>
      </c>
      <c r="E429" s="59"/>
      <c r="F429" s="17"/>
      <c r="H429" s="17"/>
    </row>
    <row r="430">
      <c r="B430" s="17"/>
      <c r="C430" s="17"/>
      <c r="D430" s="17" t="s">
        <v>733</v>
      </c>
      <c r="E430" s="59"/>
      <c r="F430" s="17"/>
      <c r="H430" s="17"/>
    </row>
    <row r="431">
      <c r="B431" s="17"/>
      <c r="C431" s="17"/>
      <c r="D431" s="17" t="s">
        <v>733</v>
      </c>
      <c r="E431" s="59"/>
      <c r="F431" s="17"/>
      <c r="H431" s="17"/>
    </row>
    <row r="432">
      <c r="B432" s="17"/>
      <c r="C432" s="17"/>
      <c r="D432" s="17" t="s">
        <v>733</v>
      </c>
      <c r="E432" s="59"/>
      <c r="F432" s="17"/>
      <c r="H432" s="17"/>
    </row>
    <row r="433">
      <c r="B433" s="17"/>
      <c r="C433" s="17"/>
      <c r="D433" s="17" t="s">
        <v>733</v>
      </c>
      <c r="E433" s="59"/>
      <c r="F433" s="17"/>
      <c r="H433" s="17"/>
    </row>
    <row r="434">
      <c r="B434" s="17"/>
      <c r="C434" s="17"/>
      <c r="D434" s="17" t="s">
        <v>733</v>
      </c>
      <c r="E434" s="59"/>
      <c r="F434" s="17"/>
      <c r="H434" s="17"/>
    </row>
    <row r="435">
      <c r="B435" s="17"/>
      <c r="C435" s="17"/>
      <c r="D435" s="17" t="s">
        <v>733</v>
      </c>
      <c r="E435" s="59"/>
      <c r="F435" s="17"/>
      <c r="H435" s="17"/>
    </row>
    <row r="436">
      <c r="B436" s="17"/>
      <c r="C436" s="17"/>
      <c r="D436" s="17" t="s">
        <v>733</v>
      </c>
      <c r="E436" s="59"/>
      <c r="F436" s="17"/>
      <c r="H436" s="17"/>
    </row>
    <row r="437">
      <c r="B437" s="17"/>
      <c r="C437" s="17"/>
      <c r="D437" s="17" t="s">
        <v>733</v>
      </c>
      <c r="E437" s="59"/>
      <c r="F437" s="17"/>
      <c r="H437" s="17"/>
    </row>
    <row r="438">
      <c r="B438" s="17"/>
      <c r="C438" s="17"/>
      <c r="D438" s="17" t="s">
        <v>733</v>
      </c>
      <c r="E438" s="59"/>
      <c r="F438" s="17"/>
      <c r="H438" s="17"/>
    </row>
    <row r="439">
      <c r="B439" s="17"/>
      <c r="C439" s="17"/>
      <c r="D439" s="17" t="s">
        <v>733</v>
      </c>
      <c r="E439" s="59"/>
      <c r="F439" s="17"/>
      <c r="H439" s="17"/>
    </row>
    <row r="440">
      <c r="B440" s="17"/>
      <c r="C440" s="17"/>
      <c r="D440" s="17" t="s">
        <v>733</v>
      </c>
      <c r="E440" s="59"/>
      <c r="F440" s="17"/>
      <c r="H440" s="17"/>
    </row>
    <row r="441">
      <c r="B441" s="17"/>
      <c r="C441" s="17"/>
      <c r="D441" s="17" t="s">
        <v>733</v>
      </c>
      <c r="E441" s="59"/>
      <c r="F441" s="17"/>
      <c r="H441" s="17"/>
    </row>
    <row r="442">
      <c r="B442" s="17"/>
      <c r="C442" s="17"/>
      <c r="D442" s="17" t="s">
        <v>733</v>
      </c>
      <c r="E442" s="59"/>
      <c r="F442" s="17"/>
      <c r="H442" s="17"/>
    </row>
    <row r="443">
      <c r="B443" s="17"/>
      <c r="C443" s="17"/>
      <c r="D443" s="17" t="s">
        <v>733</v>
      </c>
      <c r="E443" s="59"/>
      <c r="F443" s="17"/>
      <c r="H443" s="17"/>
    </row>
    <row r="444">
      <c r="B444" s="17"/>
      <c r="C444" s="17"/>
      <c r="D444" s="17" t="s">
        <v>733</v>
      </c>
      <c r="E444" s="59"/>
      <c r="F444" s="17"/>
      <c r="H444" s="17"/>
    </row>
    <row r="445">
      <c r="B445" s="17"/>
      <c r="C445" s="17"/>
      <c r="D445" s="17" t="s">
        <v>733</v>
      </c>
      <c r="E445" s="59"/>
      <c r="F445" s="17"/>
      <c r="H445" s="17"/>
    </row>
    <row r="446">
      <c r="B446" s="17"/>
      <c r="C446" s="17"/>
      <c r="D446" s="17" t="s">
        <v>733</v>
      </c>
      <c r="E446" s="59"/>
      <c r="F446" s="17"/>
      <c r="H446" s="17"/>
    </row>
    <row r="447">
      <c r="B447" s="17"/>
      <c r="C447" s="17"/>
      <c r="D447" s="17" t="s">
        <v>733</v>
      </c>
      <c r="E447" s="59"/>
      <c r="F447" s="17"/>
      <c r="H447" s="17"/>
    </row>
    <row r="448">
      <c r="B448" s="17"/>
      <c r="C448" s="17"/>
      <c r="D448" s="17" t="s">
        <v>733</v>
      </c>
      <c r="E448" s="59"/>
      <c r="F448" s="17"/>
      <c r="H448" s="17"/>
    </row>
    <row r="449">
      <c r="B449" s="17"/>
      <c r="C449" s="17"/>
      <c r="D449" s="17" t="s">
        <v>733</v>
      </c>
      <c r="E449" s="59"/>
      <c r="F449" s="17"/>
      <c r="H449" s="17"/>
    </row>
    <row r="450">
      <c r="B450" s="17"/>
      <c r="C450" s="17"/>
      <c r="D450" s="17" t="s">
        <v>733</v>
      </c>
      <c r="E450" s="59"/>
      <c r="F450" s="17"/>
      <c r="H450" s="17"/>
    </row>
    <row r="451">
      <c r="B451" s="17"/>
      <c r="C451" s="17"/>
      <c r="D451" s="17" t="s">
        <v>733</v>
      </c>
      <c r="E451" s="59"/>
      <c r="F451" s="17"/>
      <c r="H451" s="17"/>
    </row>
    <row r="452">
      <c r="B452" s="17"/>
      <c r="C452" s="17"/>
      <c r="D452" s="17" t="s">
        <v>733</v>
      </c>
      <c r="E452" s="59"/>
      <c r="F452" s="17"/>
      <c r="H452" s="17"/>
    </row>
    <row r="453">
      <c r="B453" s="17"/>
      <c r="C453" s="17"/>
      <c r="D453" s="17" t="s">
        <v>733</v>
      </c>
      <c r="E453" s="59"/>
      <c r="F453" s="17"/>
      <c r="H453" s="17"/>
    </row>
    <row r="454">
      <c r="B454" s="17"/>
      <c r="C454" s="17"/>
      <c r="D454" s="17" t="s">
        <v>733</v>
      </c>
      <c r="E454" s="59"/>
      <c r="F454" s="17"/>
      <c r="H454" s="17"/>
    </row>
    <row r="455">
      <c r="B455" s="17"/>
      <c r="C455" s="17"/>
      <c r="D455" s="17" t="s">
        <v>733</v>
      </c>
      <c r="E455" s="59"/>
      <c r="F455" s="17"/>
      <c r="H455" s="17"/>
    </row>
    <row r="456">
      <c r="B456" s="17"/>
      <c r="C456" s="17"/>
      <c r="D456" s="17" t="s">
        <v>733</v>
      </c>
      <c r="E456" s="59"/>
      <c r="F456" s="17"/>
      <c r="H456" s="17"/>
    </row>
    <row r="457">
      <c r="B457" s="17"/>
      <c r="C457" s="17"/>
      <c r="D457" s="17" t="s">
        <v>733</v>
      </c>
      <c r="E457" s="59"/>
      <c r="F457" s="17"/>
      <c r="H457" s="17"/>
    </row>
    <row r="458">
      <c r="B458" s="17"/>
      <c r="C458" s="17"/>
      <c r="D458" s="17" t="s">
        <v>733</v>
      </c>
      <c r="E458" s="59"/>
      <c r="F458" s="17"/>
      <c r="H458" s="17"/>
    </row>
    <row r="459">
      <c r="B459" s="17"/>
      <c r="C459" s="17"/>
      <c r="D459" s="17" t="s">
        <v>733</v>
      </c>
      <c r="E459" s="59"/>
      <c r="F459" s="17"/>
      <c r="H459" s="17"/>
    </row>
    <row r="460">
      <c r="B460" s="17"/>
      <c r="C460" s="17"/>
      <c r="D460" s="17" t="s">
        <v>733</v>
      </c>
      <c r="E460" s="59"/>
      <c r="F460" s="17"/>
      <c r="H460" s="17"/>
    </row>
    <row r="461">
      <c r="B461" s="17"/>
      <c r="C461" s="17"/>
      <c r="D461" s="17" t="s">
        <v>733</v>
      </c>
      <c r="E461" s="59"/>
      <c r="F461" s="17"/>
      <c r="H461" s="17"/>
    </row>
    <row r="462">
      <c r="B462" s="17"/>
      <c r="C462" s="17"/>
      <c r="D462" s="17" t="s">
        <v>733</v>
      </c>
      <c r="E462" s="59"/>
      <c r="F462" s="17"/>
      <c r="H462" s="17"/>
    </row>
    <row r="463">
      <c r="B463" s="17"/>
      <c r="C463" s="17"/>
      <c r="D463" s="17" t="s">
        <v>733</v>
      </c>
      <c r="E463" s="59"/>
      <c r="F463" s="17"/>
      <c r="H463" s="17"/>
    </row>
    <row r="464">
      <c r="B464" s="17"/>
      <c r="C464" s="17"/>
      <c r="D464" s="17" t="s">
        <v>733</v>
      </c>
      <c r="E464" s="59"/>
      <c r="F464" s="17"/>
      <c r="H464" s="17"/>
    </row>
    <row r="465">
      <c r="B465" s="17"/>
      <c r="C465" s="17"/>
      <c r="D465" s="17" t="s">
        <v>733</v>
      </c>
      <c r="E465" s="59"/>
      <c r="F465" s="17"/>
      <c r="H465" s="17"/>
    </row>
    <row r="466">
      <c r="B466" s="17"/>
      <c r="C466" s="17"/>
      <c r="D466" s="17" t="s">
        <v>733</v>
      </c>
      <c r="E466" s="59"/>
      <c r="F466" s="17"/>
      <c r="H466" s="17"/>
    </row>
    <row r="467">
      <c r="B467" s="17"/>
      <c r="C467" s="17"/>
      <c r="D467" s="17" t="s">
        <v>733</v>
      </c>
      <c r="E467" s="59"/>
      <c r="F467" s="17"/>
      <c r="H467" s="17"/>
    </row>
    <row r="468">
      <c r="B468" s="17"/>
      <c r="C468" s="17"/>
      <c r="D468" s="17" t="s">
        <v>733</v>
      </c>
      <c r="E468" s="59"/>
      <c r="F468" s="17"/>
      <c r="H468" s="17"/>
    </row>
    <row r="469">
      <c r="B469" s="17"/>
      <c r="C469" s="17"/>
      <c r="D469" s="17" t="s">
        <v>733</v>
      </c>
      <c r="E469" s="59"/>
      <c r="F469" s="17"/>
      <c r="H469" s="17"/>
    </row>
    <row r="470">
      <c r="B470" s="17"/>
      <c r="C470" s="17"/>
      <c r="D470" s="17" t="s">
        <v>733</v>
      </c>
      <c r="E470" s="59"/>
      <c r="F470" s="17"/>
      <c r="H470" s="17"/>
    </row>
    <row r="471">
      <c r="B471" s="17"/>
      <c r="C471" s="17"/>
      <c r="D471" s="17" t="s">
        <v>733</v>
      </c>
      <c r="E471" s="59"/>
      <c r="F471" s="17"/>
      <c r="H471" s="17"/>
    </row>
    <row r="472">
      <c r="B472" s="17"/>
      <c r="C472" s="17"/>
      <c r="D472" s="17" t="s">
        <v>733</v>
      </c>
      <c r="E472" s="59"/>
      <c r="F472" s="17"/>
      <c r="H472" s="17"/>
    </row>
    <row r="473">
      <c r="B473" s="17"/>
      <c r="C473" s="17"/>
      <c r="D473" s="17" t="s">
        <v>733</v>
      </c>
      <c r="E473" s="59"/>
      <c r="F473" s="17"/>
      <c r="H473" s="17"/>
    </row>
    <row r="474">
      <c r="B474" s="17"/>
      <c r="C474" s="17"/>
      <c r="D474" s="17" t="s">
        <v>733</v>
      </c>
      <c r="E474" s="59"/>
      <c r="F474" s="17"/>
      <c r="H474" s="17"/>
    </row>
    <row r="475">
      <c r="B475" s="17"/>
      <c r="C475" s="17"/>
      <c r="D475" s="17" t="s">
        <v>733</v>
      </c>
      <c r="E475" s="59"/>
      <c r="F475" s="17"/>
      <c r="H475" s="17"/>
    </row>
    <row r="476">
      <c r="B476" s="17"/>
      <c r="C476" s="17"/>
      <c r="D476" s="17" t="s">
        <v>733</v>
      </c>
      <c r="E476" s="59"/>
      <c r="F476" s="17"/>
      <c r="H476" s="17"/>
    </row>
    <row r="477">
      <c r="B477" s="17"/>
      <c r="C477" s="17"/>
      <c r="D477" s="17" t="s">
        <v>733</v>
      </c>
      <c r="E477" s="59"/>
      <c r="F477" s="17"/>
      <c r="H477" s="17"/>
    </row>
    <row r="478">
      <c r="B478" s="17"/>
      <c r="C478" s="17"/>
      <c r="D478" s="17" t="s">
        <v>733</v>
      </c>
      <c r="E478" s="59"/>
      <c r="F478" s="17"/>
      <c r="H478" s="17"/>
    </row>
    <row r="479">
      <c r="B479" s="17"/>
      <c r="C479" s="17"/>
      <c r="D479" s="17" t="s">
        <v>733</v>
      </c>
      <c r="E479" s="59"/>
      <c r="F479" s="17"/>
      <c r="H479" s="17"/>
    </row>
    <row r="480">
      <c r="B480" s="17"/>
      <c r="C480" s="17"/>
      <c r="D480" s="17" t="s">
        <v>733</v>
      </c>
      <c r="E480" s="59"/>
      <c r="F480" s="17"/>
      <c r="H480" s="17"/>
    </row>
    <row r="481">
      <c r="B481" s="17"/>
      <c r="C481" s="17"/>
      <c r="D481" s="17" t="s">
        <v>733</v>
      </c>
      <c r="E481" s="59"/>
      <c r="F481" s="17"/>
      <c r="H481" s="17"/>
    </row>
    <row r="482">
      <c r="B482" s="17"/>
      <c r="C482" s="17"/>
      <c r="D482" s="17" t="s">
        <v>733</v>
      </c>
      <c r="E482" s="59"/>
      <c r="F482" s="17"/>
      <c r="H482" s="17"/>
    </row>
    <row r="483">
      <c r="B483" s="17"/>
      <c r="C483" s="17"/>
      <c r="D483" s="17" t="s">
        <v>733</v>
      </c>
      <c r="E483" s="59"/>
      <c r="F483" s="17"/>
      <c r="H483" s="17"/>
    </row>
    <row r="484">
      <c r="B484" s="17"/>
      <c r="C484" s="17"/>
      <c r="D484" s="17" t="s">
        <v>733</v>
      </c>
      <c r="E484" s="59"/>
      <c r="F484" s="17"/>
      <c r="H484" s="17"/>
    </row>
    <row r="485">
      <c r="B485" s="17"/>
      <c r="C485" s="17"/>
      <c r="D485" s="17" t="s">
        <v>733</v>
      </c>
      <c r="E485" s="59"/>
      <c r="F485" s="17"/>
      <c r="H485" s="17"/>
    </row>
    <row r="486">
      <c r="B486" s="17"/>
      <c r="C486" s="17"/>
      <c r="D486" s="17" t="s">
        <v>733</v>
      </c>
      <c r="E486" s="59"/>
      <c r="F486" s="17"/>
      <c r="H486" s="17"/>
    </row>
    <row r="487">
      <c r="B487" s="17"/>
      <c r="C487" s="17"/>
      <c r="D487" s="17" t="s">
        <v>733</v>
      </c>
      <c r="E487" s="59"/>
      <c r="F487" s="17"/>
      <c r="H487" s="17"/>
    </row>
    <row r="488">
      <c r="B488" s="17"/>
      <c r="C488" s="17"/>
      <c r="D488" s="17" t="s">
        <v>733</v>
      </c>
      <c r="E488" s="59"/>
      <c r="F488" s="17"/>
      <c r="H488" s="17"/>
    </row>
    <row r="489">
      <c r="B489" s="17"/>
      <c r="C489" s="17"/>
      <c r="D489" s="17" t="s">
        <v>733</v>
      </c>
      <c r="E489" s="59"/>
      <c r="F489" s="17"/>
      <c r="H489" s="17"/>
    </row>
    <row r="490">
      <c r="B490" s="17"/>
      <c r="C490" s="17"/>
      <c r="D490" s="17" t="s">
        <v>733</v>
      </c>
      <c r="E490" s="59"/>
      <c r="F490" s="17"/>
      <c r="H490" s="17"/>
    </row>
    <row r="491">
      <c r="B491" s="17"/>
      <c r="C491" s="17"/>
      <c r="D491" s="17" t="s">
        <v>733</v>
      </c>
      <c r="E491" s="59"/>
      <c r="F491" s="17"/>
      <c r="H491" s="17"/>
    </row>
    <row r="492">
      <c r="B492" s="17"/>
      <c r="C492" s="17"/>
      <c r="D492" s="17" t="s">
        <v>733</v>
      </c>
      <c r="E492" s="59"/>
      <c r="F492" s="17"/>
      <c r="H492" s="17"/>
    </row>
    <row r="493">
      <c r="B493" s="17"/>
      <c r="C493" s="17"/>
      <c r="D493" s="17" t="s">
        <v>733</v>
      </c>
      <c r="E493" s="59"/>
      <c r="F493" s="17"/>
      <c r="H493" s="17"/>
    </row>
    <row r="494">
      <c r="B494" s="17"/>
      <c r="C494" s="17"/>
      <c r="D494" s="17" t="s">
        <v>733</v>
      </c>
      <c r="E494" s="59"/>
      <c r="F494" s="17"/>
      <c r="H494" s="17"/>
    </row>
    <row r="495">
      <c r="B495" s="17"/>
      <c r="C495" s="17"/>
      <c r="D495" s="17" t="s">
        <v>733</v>
      </c>
      <c r="E495" s="59"/>
      <c r="F495" s="17"/>
      <c r="H495" s="17"/>
    </row>
    <row r="496">
      <c r="B496" s="17"/>
      <c r="C496" s="17"/>
      <c r="D496" s="17" t="s">
        <v>733</v>
      </c>
      <c r="E496" s="59"/>
      <c r="F496" s="17"/>
      <c r="H496" s="17"/>
    </row>
    <row r="497">
      <c r="B497" s="17"/>
      <c r="C497" s="17"/>
      <c r="D497" s="17" t="s">
        <v>733</v>
      </c>
      <c r="E497" s="59"/>
      <c r="F497" s="17"/>
      <c r="H497" s="17"/>
    </row>
    <row r="498">
      <c r="B498" s="17"/>
      <c r="C498" s="17"/>
      <c r="D498" s="17" t="s">
        <v>733</v>
      </c>
      <c r="E498" s="59"/>
      <c r="F498" s="17"/>
      <c r="H498" s="17"/>
    </row>
    <row r="499">
      <c r="B499" s="17"/>
      <c r="C499" s="17"/>
      <c r="D499" s="17" t="s">
        <v>733</v>
      </c>
      <c r="E499" s="59"/>
      <c r="F499" s="17"/>
      <c r="H499" s="17"/>
    </row>
    <row r="500">
      <c r="B500" s="17"/>
      <c r="C500" s="17"/>
      <c r="D500" s="17" t="s">
        <v>733</v>
      </c>
      <c r="E500" s="59"/>
      <c r="F500" s="17"/>
      <c r="H500" s="17"/>
    </row>
    <row r="501">
      <c r="B501" s="17"/>
      <c r="C501" s="17"/>
      <c r="D501" s="17" t="s">
        <v>733</v>
      </c>
      <c r="E501" s="59"/>
      <c r="F501" s="17"/>
      <c r="H501" s="17"/>
    </row>
    <row r="502">
      <c r="B502" s="17"/>
      <c r="C502" s="17"/>
      <c r="D502" s="17" t="s">
        <v>733</v>
      </c>
      <c r="E502" s="59"/>
      <c r="F502" s="17"/>
      <c r="H502" s="17"/>
    </row>
    <row r="503">
      <c r="B503" s="17"/>
      <c r="C503" s="17"/>
      <c r="D503" s="17" t="s">
        <v>733</v>
      </c>
      <c r="E503" s="59"/>
      <c r="F503" s="17"/>
      <c r="H503" s="17"/>
    </row>
    <row r="504">
      <c r="B504" s="17"/>
      <c r="C504" s="17"/>
      <c r="D504" s="17" t="s">
        <v>733</v>
      </c>
      <c r="E504" s="59"/>
      <c r="F504" s="17"/>
      <c r="H504" s="17"/>
    </row>
    <row r="505">
      <c r="B505" s="17"/>
      <c r="C505" s="17"/>
      <c r="D505" s="17" t="s">
        <v>733</v>
      </c>
      <c r="E505" s="59"/>
      <c r="F505" s="17"/>
      <c r="H505" s="17"/>
    </row>
    <row r="506">
      <c r="B506" s="17"/>
      <c r="C506" s="17"/>
      <c r="D506" s="17" t="s">
        <v>733</v>
      </c>
      <c r="E506" s="59"/>
      <c r="F506" s="17"/>
      <c r="H506" s="17"/>
    </row>
    <row r="507">
      <c r="B507" s="17"/>
      <c r="C507" s="17"/>
      <c r="D507" s="17" t="s">
        <v>733</v>
      </c>
      <c r="E507" s="59"/>
      <c r="F507" s="17"/>
      <c r="H507" s="17"/>
    </row>
    <row r="508">
      <c r="B508" s="17"/>
      <c r="C508" s="17"/>
      <c r="D508" s="17" t="s">
        <v>733</v>
      </c>
      <c r="E508" s="59"/>
      <c r="F508" s="17"/>
      <c r="H508" s="17"/>
    </row>
    <row r="509">
      <c r="B509" s="17"/>
      <c r="C509" s="17"/>
      <c r="D509" s="17" t="s">
        <v>733</v>
      </c>
      <c r="E509" s="59"/>
      <c r="F509" s="17"/>
      <c r="H509" s="17"/>
    </row>
    <row r="510">
      <c r="B510" s="17"/>
      <c r="C510" s="17"/>
      <c r="D510" s="17" t="s">
        <v>733</v>
      </c>
      <c r="E510" s="59"/>
      <c r="F510" s="17"/>
      <c r="H510" s="17"/>
    </row>
    <row r="511">
      <c r="B511" s="17"/>
      <c r="C511" s="17"/>
      <c r="D511" s="17" t="s">
        <v>733</v>
      </c>
      <c r="E511" s="59"/>
      <c r="F511" s="17"/>
      <c r="H511" s="17"/>
    </row>
    <row r="512">
      <c r="B512" s="17"/>
      <c r="C512" s="17"/>
      <c r="D512" s="17" t="s">
        <v>733</v>
      </c>
      <c r="E512" s="59"/>
      <c r="F512" s="17"/>
      <c r="H512" s="17"/>
    </row>
    <row r="513">
      <c r="B513" s="17"/>
      <c r="C513" s="17"/>
      <c r="D513" s="17" t="s">
        <v>733</v>
      </c>
      <c r="E513" s="59"/>
      <c r="F513" s="17"/>
      <c r="H513" s="17"/>
    </row>
    <row r="514">
      <c r="B514" s="17"/>
      <c r="C514" s="17"/>
      <c r="D514" s="17" t="s">
        <v>733</v>
      </c>
      <c r="E514" s="59"/>
      <c r="F514" s="17"/>
      <c r="H514" s="17"/>
    </row>
    <row r="515">
      <c r="B515" s="17"/>
      <c r="C515" s="17"/>
      <c r="D515" s="17" t="s">
        <v>733</v>
      </c>
      <c r="E515" s="59"/>
      <c r="F515" s="17"/>
      <c r="H515" s="17"/>
    </row>
    <row r="516">
      <c r="B516" s="17"/>
      <c r="C516" s="17"/>
      <c r="D516" s="17" t="s">
        <v>733</v>
      </c>
      <c r="E516" s="59"/>
      <c r="F516" s="17"/>
      <c r="H516" s="17"/>
    </row>
    <row r="517">
      <c r="B517" s="17"/>
      <c r="C517" s="17"/>
      <c r="D517" s="17" t="s">
        <v>733</v>
      </c>
      <c r="E517" s="59"/>
      <c r="F517" s="17"/>
      <c r="H517" s="17"/>
    </row>
    <row r="518">
      <c r="B518" s="17"/>
      <c r="C518" s="17"/>
      <c r="D518" s="17" t="s">
        <v>733</v>
      </c>
      <c r="E518" s="59"/>
      <c r="F518" s="17"/>
      <c r="H518" s="17"/>
    </row>
    <row r="519">
      <c r="B519" s="17"/>
      <c r="C519" s="17"/>
      <c r="D519" s="17" t="s">
        <v>733</v>
      </c>
      <c r="E519" s="59"/>
      <c r="F519" s="17"/>
      <c r="H519" s="17"/>
    </row>
    <row r="520">
      <c r="B520" s="17"/>
      <c r="C520" s="17"/>
      <c r="D520" s="17" t="s">
        <v>733</v>
      </c>
      <c r="E520" s="59"/>
      <c r="F520" s="17"/>
      <c r="H520" s="17"/>
    </row>
    <row r="521">
      <c r="B521" s="17"/>
      <c r="C521" s="17"/>
      <c r="D521" s="17" t="s">
        <v>733</v>
      </c>
      <c r="E521" s="59"/>
      <c r="F521" s="17"/>
      <c r="H521" s="17"/>
    </row>
    <row r="522">
      <c r="B522" s="17"/>
      <c r="C522" s="17"/>
      <c r="D522" s="17" t="s">
        <v>733</v>
      </c>
      <c r="E522" s="59"/>
      <c r="F522" s="17"/>
      <c r="H522" s="17"/>
    </row>
    <row r="523">
      <c r="B523" s="17"/>
      <c r="C523" s="17"/>
      <c r="D523" s="17" t="s">
        <v>733</v>
      </c>
      <c r="E523" s="59"/>
      <c r="F523" s="17"/>
      <c r="H523" s="17"/>
    </row>
    <row r="524">
      <c r="B524" s="17"/>
      <c r="C524" s="17"/>
      <c r="D524" s="17" t="s">
        <v>733</v>
      </c>
      <c r="E524" s="59"/>
      <c r="F524" s="17"/>
      <c r="H524" s="17"/>
    </row>
    <row r="525">
      <c r="B525" s="17"/>
      <c r="C525" s="17"/>
      <c r="D525" s="17" t="s">
        <v>733</v>
      </c>
      <c r="E525" s="59"/>
      <c r="F525" s="17"/>
      <c r="H525" s="17"/>
    </row>
    <row r="526">
      <c r="B526" s="17"/>
      <c r="C526" s="17"/>
      <c r="D526" s="17" t="s">
        <v>733</v>
      </c>
      <c r="E526" s="59"/>
      <c r="F526" s="17"/>
      <c r="H526" s="17"/>
    </row>
    <row r="527">
      <c r="B527" s="17"/>
      <c r="C527" s="17"/>
      <c r="D527" s="17" t="s">
        <v>733</v>
      </c>
      <c r="E527" s="59"/>
      <c r="F527" s="17"/>
      <c r="H527" s="17"/>
    </row>
    <row r="528">
      <c r="B528" s="17"/>
      <c r="C528" s="17"/>
      <c r="D528" s="17" t="s">
        <v>733</v>
      </c>
      <c r="E528" s="59"/>
      <c r="F528" s="17"/>
      <c r="H528" s="17"/>
    </row>
    <row r="529">
      <c r="B529" s="17"/>
      <c r="C529" s="17"/>
      <c r="D529" s="17" t="s">
        <v>733</v>
      </c>
      <c r="E529" s="59"/>
      <c r="F529" s="17"/>
      <c r="H529" s="17"/>
    </row>
    <row r="530">
      <c r="B530" s="17"/>
      <c r="C530" s="17"/>
      <c r="D530" s="17" t="s">
        <v>733</v>
      </c>
      <c r="E530" s="59"/>
      <c r="F530" s="17"/>
      <c r="H530" s="17"/>
    </row>
    <row r="531">
      <c r="B531" s="17"/>
      <c r="C531" s="17"/>
      <c r="D531" s="17" t="s">
        <v>733</v>
      </c>
      <c r="E531" s="59"/>
      <c r="F531" s="17"/>
      <c r="H531" s="17"/>
    </row>
    <row r="532">
      <c r="B532" s="17"/>
      <c r="C532" s="17"/>
      <c r="D532" s="17" t="s">
        <v>733</v>
      </c>
      <c r="E532" s="59"/>
      <c r="F532" s="17"/>
      <c r="H532" s="17"/>
    </row>
    <row r="533">
      <c r="B533" s="17"/>
      <c r="C533" s="17"/>
      <c r="D533" s="17" t="s">
        <v>733</v>
      </c>
      <c r="E533" s="59"/>
      <c r="F533" s="17"/>
      <c r="H533" s="17"/>
    </row>
    <row r="534">
      <c r="B534" s="17"/>
      <c r="C534" s="17"/>
      <c r="D534" s="17" t="s">
        <v>733</v>
      </c>
      <c r="E534" s="59"/>
      <c r="F534" s="17"/>
      <c r="H534" s="17"/>
    </row>
    <row r="535">
      <c r="B535" s="17"/>
      <c r="C535" s="17"/>
      <c r="D535" s="17" t="s">
        <v>733</v>
      </c>
      <c r="E535" s="59"/>
      <c r="F535" s="17"/>
      <c r="H535" s="17"/>
    </row>
    <row r="536">
      <c r="B536" s="17"/>
      <c r="C536" s="17"/>
      <c r="D536" s="17" t="s">
        <v>733</v>
      </c>
      <c r="E536" s="59"/>
      <c r="F536" s="17"/>
      <c r="H536" s="17"/>
    </row>
    <row r="537">
      <c r="B537" s="17"/>
      <c r="C537" s="17"/>
      <c r="D537" s="17" t="s">
        <v>733</v>
      </c>
      <c r="E537" s="59"/>
      <c r="F537" s="17"/>
      <c r="H537" s="17"/>
    </row>
    <row r="538">
      <c r="B538" s="17"/>
      <c r="C538" s="17"/>
      <c r="D538" s="17" t="s">
        <v>733</v>
      </c>
      <c r="E538" s="59"/>
      <c r="F538" s="17"/>
      <c r="H538" s="17"/>
    </row>
    <row r="539">
      <c r="B539" s="17"/>
      <c r="C539" s="17"/>
      <c r="D539" s="17" t="s">
        <v>733</v>
      </c>
      <c r="E539" s="59"/>
      <c r="F539" s="17"/>
      <c r="H539" s="17"/>
    </row>
    <row r="540">
      <c r="B540" s="17"/>
      <c r="C540" s="17"/>
      <c r="D540" s="17" t="s">
        <v>733</v>
      </c>
      <c r="E540" s="59"/>
      <c r="F540" s="17"/>
      <c r="H540" s="17"/>
    </row>
    <row r="541">
      <c r="B541" s="17"/>
      <c r="C541" s="17"/>
      <c r="D541" s="17" t="s">
        <v>733</v>
      </c>
      <c r="E541" s="59"/>
      <c r="F541" s="17"/>
      <c r="H541" s="17"/>
    </row>
    <row r="542">
      <c r="B542" s="17"/>
      <c r="C542" s="17"/>
      <c r="D542" s="17" t="s">
        <v>733</v>
      </c>
      <c r="E542" s="59"/>
      <c r="F542" s="17"/>
      <c r="H542" s="17"/>
    </row>
    <row r="543">
      <c r="B543" s="17"/>
      <c r="C543" s="17"/>
      <c r="D543" s="17" t="s">
        <v>733</v>
      </c>
      <c r="E543" s="59"/>
      <c r="F543" s="17"/>
      <c r="H543" s="17"/>
    </row>
    <row r="544">
      <c r="B544" s="17"/>
      <c r="C544" s="17"/>
      <c r="D544" s="17" t="s">
        <v>733</v>
      </c>
      <c r="E544" s="59"/>
      <c r="F544" s="17"/>
      <c r="H544" s="17"/>
    </row>
    <row r="545">
      <c r="B545" s="17"/>
      <c r="C545" s="17"/>
      <c r="D545" s="17" t="s">
        <v>733</v>
      </c>
      <c r="E545" s="59"/>
      <c r="F545" s="17"/>
      <c r="H545" s="17"/>
    </row>
    <row r="546">
      <c r="B546" s="17"/>
      <c r="C546" s="17"/>
      <c r="D546" s="17" t="s">
        <v>733</v>
      </c>
      <c r="E546" s="59"/>
      <c r="F546" s="17"/>
      <c r="H546" s="17"/>
    </row>
    <row r="547">
      <c r="B547" s="17"/>
      <c r="C547" s="17"/>
      <c r="D547" s="17" t="s">
        <v>733</v>
      </c>
      <c r="E547" s="59"/>
      <c r="F547" s="17"/>
      <c r="H547" s="17"/>
    </row>
    <row r="548">
      <c r="B548" s="17"/>
      <c r="C548" s="17"/>
      <c r="D548" s="17" t="s">
        <v>733</v>
      </c>
      <c r="E548" s="59"/>
      <c r="F548" s="17"/>
      <c r="H548" s="17"/>
    </row>
    <row r="549">
      <c r="B549" s="17"/>
      <c r="C549" s="17"/>
      <c r="D549" s="17" t="s">
        <v>733</v>
      </c>
      <c r="E549" s="59"/>
      <c r="F549" s="17"/>
      <c r="H549" s="17"/>
    </row>
    <row r="550">
      <c r="B550" s="17"/>
      <c r="C550" s="17"/>
      <c r="D550" s="17" t="s">
        <v>733</v>
      </c>
      <c r="E550" s="59"/>
      <c r="F550" s="17"/>
      <c r="H550" s="17"/>
    </row>
    <row r="551">
      <c r="B551" s="17"/>
      <c r="C551" s="17"/>
      <c r="D551" s="17" t="s">
        <v>733</v>
      </c>
      <c r="E551" s="59"/>
      <c r="F551" s="17"/>
      <c r="H551" s="17"/>
    </row>
    <row r="552">
      <c r="B552" s="17"/>
      <c r="C552" s="17"/>
      <c r="D552" s="17" t="s">
        <v>733</v>
      </c>
      <c r="E552" s="59"/>
      <c r="F552" s="17"/>
      <c r="H552" s="17"/>
    </row>
    <row r="553">
      <c r="B553" s="17"/>
      <c r="C553" s="17"/>
      <c r="D553" s="17" t="s">
        <v>733</v>
      </c>
      <c r="E553" s="59"/>
      <c r="F553" s="17"/>
      <c r="H553" s="17"/>
    </row>
    <row r="554">
      <c r="B554" s="17"/>
      <c r="C554" s="17"/>
      <c r="D554" s="17" t="s">
        <v>733</v>
      </c>
      <c r="E554" s="59"/>
      <c r="F554" s="17"/>
      <c r="H554" s="17"/>
    </row>
    <row r="555">
      <c r="B555" s="17"/>
      <c r="C555" s="17"/>
      <c r="D555" s="17" t="s">
        <v>733</v>
      </c>
      <c r="E555" s="59"/>
      <c r="F555" s="17"/>
      <c r="H555" s="17"/>
    </row>
    <row r="556">
      <c r="B556" s="17"/>
      <c r="C556" s="17"/>
      <c r="D556" s="17" t="s">
        <v>733</v>
      </c>
      <c r="E556" s="59"/>
      <c r="F556" s="17"/>
      <c r="H556" s="17"/>
    </row>
    <row r="557">
      <c r="B557" s="17"/>
      <c r="C557" s="17"/>
      <c r="D557" s="17" t="s">
        <v>733</v>
      </c>
      <c r="E557" s="59"/>
      <c r="F557" s="17"/>
      <c r="H557" s="17"/>
    </row>
    <row r="558">
      <c r="B558" s="17"/>
      <c r="C558" s="17"/>
      <c r="D558" s="17" t="s">
        <v>733</v>
      </c>
      <c r="E558" s="59"/>
      <c r="F558" s="17"/>
      <c r="H558" s="17"/>
    </row>
    <row r="559">
      <c r="B559" s="17"/>
      <c r="C559" s="17"/>
      <c r="D559" s="17" t="s">
        <v>733</v>
      </c>
      <c r="E559" s="59"/>
      <c r="F559" s="17"/>
      <c r="H559" s="17"/>
    </row>
    <row r="560">
      <c r="B560" s="17"/>
      <c r="C560" s="17"/>
      <c r="D560" s="17" t="s">
        <v>733</v>
      </c>
      <c r="E560" s="59"/>
      <c r="F560" s="17"/>
      <c r="H560" s="17"/>
    </row>
    <row r="561">
      <c r="B561" s="17"/>
      <c r="C561" s="17"/>
      <c r="D561" s="17" t="s">
        <v>733</v>
      </c>
      <c r="E561" s="59"/>
      <c r="F561" s="17"/>
      <c r="H561" s="17"/>
    </row>
    <row r="562">
      <c r="B562" s="17"/>
      <c r="C562" s="17"/>
      <c r="D562" s="17" t="s">
        <v>733</v>
      </c>
      <c r="E562" s="59"/>
      <c r="F562" s="17"/>
      <c r="H562" s="17"/>
    </row>
    <row r="563">
      <c r="B563" s="17"/>
      <c r="C563" s="17"/>
      <c r="D563" s="17" t="s">
        <v>733</v>
      </c>
      <c r="E563" s="59"/>
      <c r="F563" s="17"/>
      <c r="H563" s="17"/>
    </row>
    <row r="564">
      <c r="B564" s="17"/>
      <c r="C564" s="17"/>
      <c r="D564" s="17" t="s">
        <v>733</v>
      </c>
      <c r="E564" s="59"/>
      <c r="F564" s="17"/>
      <c r="H564" s="17"/>
    </row>
    <row r="565">
      <c r="B565" s="17"/>
      <c r="C565" s="17"/>
      <c r="D565" s="17" t="s">
        <v>733</v>
      </c>
      <c r="E565" s="59"/>
      <c r="F565" s="17"/>
      <c r="H565" s="17"/>
    </row>
    <row r="566">
      <c r="B566" s="17"/>
      <c r="C566" s="17"/>
      <c r="D566" s="17" t="s">
        <v>733</v>
      </c>
      <c r="E566" s="59"/>
      <c r="F566" s="17"/>
      <c r="H566" s="17"/>
    </row>
    <row r="567">
      <c r="B567" s="17"/>
      <c r="C567" s="17"/>
      <c r="D567" s="17" t="s">
        <v>733</v>
      </c>
      <c r="E567" s="59"/>
      <c r="F567" s="17"/>
      <c r="H567" s="17"/>
    </row>
    <row r="568">
      <c r="B568" s="17"/>
      <c r="C568" s="17"/>
      <c r="D568" s="17" t="s">
        <v>733</v>
      </c>
      <c r="E568" s="59"/>
      <c r="F568" s="17"/>
      <c r="H568" s="17"/>
    </row>
    <row r="569">
      <c r="B569" s="17"/>
      <c r="C569" s="17"/>
      <c r="D569" s="17" t="s">
        <v>733</v>
      </c>
      <c r="E569" s="59"/>
      <c r="F569" s="17"/>
      <c r="H569" s="17"/>
    </row>
    <row r="570">
      <c r="B570" s="17"/>
      <c r="C570" s="17"/>
      <c r="D570" s="17" t="s">
        <v>733</v>
      </c>
      <c r="E570" s="59"/>
      <c r="F570" s="17"/>
      <c r="H570" s="17"/>
    </row>
    <row r="571">
      <c r="B571" s="17"/>
      <c r="C571" s="17"/>
      <c r="D571" s="17" t="s">
        <v>733</v>
      </c>
      <c r="E571" s="59"/>
      <c r="F571" s="17"/>
      <c r="H571" s="17"/>
    </row>
    <row r="572">
      <c r="B572" s="17"/>
      <c r="C572" s="17"/>
      <c r="D572" s="17" t="s">
        <v>733</v>
      </c>
      <c r="E572" s="59"/>
      <c r="F572" s="17"/>
      <c r="H572" s="17"/>
    </row>
    <row r="573">
      <c r="B573" s="17"/>
      <c r="C573" s="17"/>
      <c r="D573" s="17" t="s">
        <v>733</v>
      </c>
      <c r="E573" s="59"/>
      <c r="F573" s="17"/>
      <c r="H573" s="17"/>
    </row>
    <row r="574">
      <c r="B574" s="17"/>
      <c r="C574" s="17"/>
      <c r="D574" s="17" t="s">
        <v>733</v>
      </c>
      <c r="E574" s="59"/>
      <c r="F574" s="17"/>
      <c r="H574" s="17"/>
    </row>
    <row r="575">
      <c r="B575" s="17"/>
      <c r="C575" s="17"/>
      <c r="D575" s="17" t="s">
        <v>733</v>
      </c>
      <c r="E575" s="59"/>
      <c r="F575" s="17"/>
      <c r="H575" s="17"/>
    </row>
    <row r="576">
      <c r="B576" s="17"/>
      <c r="C576" s="17"/>
      <c r="D576" s="17" t="s">
        <v>733</v>
      </c>
      <c r="E576" s="59"/>
      <c r="F576" s="17"/>
      <c r="H576" s="17"/>
    </row>
    <row r="577">
      <c r="B577" s="17"/>
      <c r="C577" s="17"/>
      <c r="D577" s="17" t="s">
        <v>733</v>
      </c>
      <c r="E577" s="59"/>
      <c r="F577" s="17"/>
      <c r="H577" s="17"/>
    </row>
    <row r="578">
      <c r="B578" s="17"/>
      <c r="C578" s="17"/>
      <c r="D578" s="17" t="s">
        <v>733</v>
      </c>
      <c r="E578" s="59"/>
      <c r="F578" s="17"/>
      <c r="H578" s="17"/>
    </row>
    <row r="579">
      <c r="B579" s="17"/>
      <c r="C579" s="17"/>
      <c r="D579" s="17" t="s">
        <v>733</v>
      </c>
      <c r="E579" s="59"/>
      <c r="F579" s="17"/>
      <c r="H579" s="17"/>
    </row>
    <row r="580">
      <c r="B580" s="17"/>
      <c r="C580" s="17"/>
      <c r="D580" s="17" t="s">
        <v>733</v>
      </c>
      <c r="E580" s="59"/>
      <c r="F580" s="17"/>
      <c r="H580" s="17"/>
    </row>
    <row r="581">
      <c r="B581" s="17"/>
      <c r="C581" s="17"/>
      <c r="D581" s="17" t="s">
        <v>733</v>
      </c>
      <c r="E581" s="59"/>
      <c r="F581" s="17"/>
      <c r="H581" s="17"/>
    </row>
    <row r="582">
      <c r="B582" s="17"/>
      <c r="C582" s="17"/>
      <c r="D582" s="17" t="s">
        <v>733</v>
      </c>
      <c r="E582" s="59"/>
      <c r="F582" s="17"/>
      <c r="H582" s="17"/>
    </row>
    <row r="583">
      <c r="B583" s="17"/>
      <c r="C583" s="17"/>
      <c r="D583" s="17" t="s">
        <v>733</v>
      </c>
      <c r="E583" s="59"/>
      <c r="F583" s="17"/>
      <c r="H583" s="17"/>
    </row>
    <row r="584">
      <c r="B584" s="17"/>
      <c r="C584" s="17"/>
      <c r="D584" s="17" t="s">
        <v>733</v>
      </c>
      <c r="E584" s="59"/>
      <c r="F584" s="17"/>
      <c r="H584" s="17"/>
    </row>
    <row r="585">
      <c r="B585" s="17"/>
      <c r="C585" s="17"/>
      <c r="D585" s="17" t="s">
        <v>733</v>
      </c>
      <c r="E585" s="59"/>
      <c r="F585" s="17"/>
      <c r="H585" s="17"/>
    </row>
    <row r="586">
      <c r="B586" s="17"/>
      <c r="C586" s="17"/>
      <c r="D586" s="17" t="s">
        <v>733</v>
      </c>
      <c r="E586" s="59"/>
      <c r="F586" s="17"/>
      <c r="H586" s="17"/>
    </row>
    <row r="587">
      <c r="B587" s="17"/>
      <c r="C587" s="17"/>
      <c r="D587" s="17" t="s">
        <v>733</v>
      </c>
      <c r="E587" s="59"/>
      <c r="F587" s="17"/>
      <c r="H587" s="17"/>
    </row>
    <row r="588">
      <c r="B588" s="17"/>
      <c r="C588" s="17"/>
      <c r="D588" s="17" t="s">
        <v>733</v>
      </c>
      <c r="E588" s="59"/>
      <c r="F588" s="17"/>
      <c r="H588" s="17"/>
    </row>
    <row r="589">
      <c r="B589" s="17"/>
      <c r="C589" s="17"/>
      <c r="D589" s="17" t="s">
        <v>733</v>
      </c>
      <c r="E589" s="59"/>
      <c r="F589" s="17"/>
      <c r="H589" s="17"/>
    </row>
    <row r="590">
      <c r="B590" s="17"/>
      <c r="C590" s="17"/>
      <c r="D590" s="17" t="s">
        <v>733</v>
      </c>
      <c r="E590" s="59"/>
      <c r="F590" s="17"/>
      <c r="H590" s="17"/>
    </row>
    <row r="591">
      <c r="B591" s="17"/>
      <c r="C591" s="17"/>
      <c r="D591" s="17" t="s">
        <v>733</v>
      </c>
      <c r="E591" s="59"/>
      <c r="F591" s="17"/>
      <c r="H591" s="17"/>
    </row>
    <row r="592">
      <c r="B592" s="17"/>
      <c r="C592" s="17"/>
      <c r="D592" s="17" t="s">
        <v>733</v>
      </c>
      <c r="E592" s="59"/>
      <c r="F592" s="17"/>
      <c r="H592" s="17"/>
    </row>
    <row r="593">
      <c r="B593" s="17"/>
      <c r="C593" s="17"/>
      <c r="D593" s="17" t="s">
        <v>733</v>
      </c>
      <c r="E593" s="59"/>
      <c r="F593" s="17"/>
      <c r="H593" s="17"/>
    </row>
    <row r="594">
      <c r="B594" s="17"/>
      <c r="C594" s="17"/>
      <c r="D594" s="17" t="s">
        <v>733</v>
      </c>
      <c r="E594" s="59"/>
      <c r="F594" s="17"/>
      <c r="H594" s="17"/>
    </row>
    <row r="595">
      <c r="B595" s="17"/>
      <c r="C595" s="17"/>
      <c r="D595" s="17" t="s">
        <v>733</v>
      </c>
      <c r="E595" s="59"/>
      <c r="F595" s="17"/>
      <c r="H595" s="17"/>
    </row>
    <row r="596">
      <c r="B596" s="17"/>
      <c r="C596" s="17"/>
      <c r="D596" s="17" t="s">
        <v>733</v>
      </c>
      <c r="E596" s="59"/>
      <c r="F596" s="17"/>
      <c r="H596" s="17"/>
    </row>
    <row r="597">
      <c r="B597" s="17"/>
      <c r="C597" s="17"/>
      <c r="D597" s="17" t="s">
        <v>733</v>
      </c>
      <c r="E597" s="59"/>
      <c r="F597" s="17"/>
      <c r="H597" s="17"/>
    </row>
    <row r="598">
      <c r="B598" s="17"/>
      <c r="C598" s="17"/>
      <c r="D598" s="17" t="s">
        <v>733</v>
      </c>
      <c r="E598" s="59"/>
      <c r="F598" s="17"/>
      <c r="H598" s="17"/>
    </row>
    <row r="599">
      <c r="B599" s="17"/>
      <c r="C599" s="17"/>
      <c r="D599" s="17" t="s">
        <v>733</v>
      </c>
      <c r="E599" s="59"/>
      <c r="F599" s="17"/>
      <c r="H599" s="17"/>
    </row>
    <row r="600">
      <c r="B600" s="17"/>
      <c r="C600" s="17"/>
      <c r="D600" s="17" t="s">
        <v>733</v>
      </c>
      <c r="E600" s="59"/>
      <c r="F600" s="17"/>
      <c r="H600" s="17"/>
    </row>
    <row r="601">
      <c r="B601" s="17"/>
      <c r="C601" s="17"/>
      <c r="D601" s="17" t="s">
        <v>733</v>
      </c>
      <c r="E601" s="59"/>
      <c r="F601" s="17"/>
      <c r="H601" s="17"/>
    </row>
    <row r="602">
      <c r="B602" s="17"/>
      <c r="C602" s="17"/>
      <c r="D602" s="17" t="s">
        <v>733</v>
      </c>
      <c r="E602" s="59"/>
      <c r="F602" s="17"/>
      <c r="H602" s="17"/>
    </row>
    <row r="603">
      <c r="B603" s="17"/>
      <c r="C603" s="17"/>
      <c r="D603" s="17" t="s">
        <v>733</v>
      </c>
      <c r="E603" s="59"/>
      <c r="F603" s="17"/>
      <c r="H603" s="17"/>
    </row>
    <row r="604">
      <c r="B604" s="17"/>
      <c r="C604" s="17"/>
      <c r="D604" s="17" t="s">
        <v>733</v>
      </c>
      <c r="E604" s="59"/>
      <c r="F604" s="17"/>
      <c r="H604" s="17"/>
    </row>
    <row r="605">
      <c r="B605" s="17"/>
      <c r="C605" s="17"/>
      <c r="D605" s="17" t="s">
        <v>733</v>
      </c>
      <c r="E605" s="59"/>
      <c r="F605" s="17"/>
      <c r="H605" s="17"/>
    </row>
    <row r="606">
      <c r="B606" s="17"/>
      <c r="C606" s="17"/>
      <c r="D606" s="17" t="s">
        <v>733</v>
      </c>
      <c r="E606" s="59"/>
      <c r="F606" s="17"/>
      <c r="H606" s="17"/>
    </row>
    <row r="607">
      <c r="B607" s="17"/>
      <c r="C607" s="17"/>
      <c r="D607" s="17" t="s">
        <v>733</v>
      </c>
      <c r="E607" s="59"/>
      <c r="F607" s="17"/>
      <c r="H607" s="17"/>
    </row>
    <row r="608">
      <c r="B608" s="17"/>
      <c r="C608" s="17"/>
      <c r="D608" s="17" t="s">
        <v>733</v>
      </c>
      <c r="E608" s="59"/>
      <c r="F608" s="17"/>
      <c r="H608" s="17"/>
    </row>
    <row r="609">
      <c r="B609" s="17"/>
      <c r="C609" s="17"/>
      <c r="D609" s="17" t="s">
        <v>733</v>
      </c>
      <c r="E609" s="59"/>
      <c r="F609" s="17"/>
      <c r="H609" s="17"/>
    </row>
    <row r="610">
      <c r="B610" s="17"/>
      <c r="C610" s="17"/>
      <c r="D610" s="17" t="s">
        <v>733</v>
      </c>
      <c r="E610" s="59"/>
      <c r="F610" s="17"/>
      <c r="H610" s="17"/>
    </row>
    <row r="611">
      <c r="B611" s="17"/>
      <c r="C611" s="17"/>
      <c r="D611" s="17" t="s">
        <v>733</v>
      </c>
      <c r="E611" s="59"/>
      <c r="F611" s="17"/>
      <c r="H611" s="17"/>
    </row>
    <row r="612">
      <c r="B612" s="17"/>
      <c r="C612" s="17"/>
      <c r="D612" s="17" t="s">
        <v>733</v>
      </c>
      <c r="E612" s="59"/>
      <c r="F612" s="17"/>
      <c r="H612" s="17"/>
    </row>
    <row r="613">
      <c r="B613" s="17"/>
      <c r="C613" s="17"/>
      <c r="D613" s="17" t="s">
        <v>733</v>
      </c>
      <c r="E613" s="59"/>
      <c r="F613" s="17"/>
      <c r="H613" s="17"/>
    </row>
    <row r="614">
      <c r="B614" s="17"/>
      <c r="C614" s="17"/>
      <c r="D614" s="17" t="s">
        <v>733</v>
      </c>
      <c r="E614" s="59"/>
      <c r="F614" s="17"/>
      <c r="H614" s="17"/>
    </row>
    <row r="615">
      <c r="B615" s="17"/>
      <c r="C615" s="17"/>
      <c r="D615" s="17" t="s">
        <v>733</v>
      </c>
      <c r="E615" s="59"/>
      <c r="F615" s="17"/>
      <c r="H615" s="17"/>
    </row>
    <row r="616">
      <c r="B616" s="17"/>
      <c r="C616" s="17"/>
      <c r="D616" s="17" t="s">
        <v>733</v>
      </c>
      <c r="E616" s="59"/>
      <c r="F616" s="17"/>
      <c r="H616" s="17"/>
    </row>
    <row r="617">
      <c r="B617" s="17"/>
      <c r="C617" s="17"/>
      <c r="D617" s="17" t="s">
        <v>733</v>
      </c>
      <c r="E617" s="59"/>
      <c r="F617" s="17"/>
      <c r="H617" s="17"/>
    </row>
    <row r="618">
      <c r="B618" s="17"/>
      <c r="C618" s="17"/>
      <c r="D618" s="17" t="s">
        <v>733</v>
      </c>
      <c r="E618" s="59"/>
      <c r="F618" s="17"/>
      <c r="H618" s="17"/>
    </row>
    <row r="619">
      <c r="B619" s="17"/>
      <c r="C619" s="17"/>
      <c r="D619" s="17" t="s">
        <v>733</v>
      </c>
      <c r="E619" s="59"/>
      <c r="F619" s="17"/>
      <c r="H619" s="17"/>
    </row>
    <row r="620">
      <c r="B620" s="17"/>
      <c r="C620" s="17"/>
      <c r="D620" s="17" t="s">
        <v>733</v>
      </c>
      <c r="E620" s="59"/>
      <c r="F620" s="17"/>
      <c r="H620" s="17"/>
    </row>
    <row r="621">
      <c r="B621" s="17"/>
      <c r="C621" s="17"/>
      <c r="D621" s="17" t="s">
        <v>733</v>
      </c>
      <c r="E621" s="59"/>
      <c r="F621" s="17"/>
      <c r="H621" s="17"/>
    </row>
    <row r="622">
      <c r="B622" s="17"/>
      <c r="C622" s="17"/>
      <c r="D622" s="17" t="s">
        <v>733</v>
      </c>
      <c r="E622" s="59"/>
      <c r="F622" s="17"/>
      <c r="H622" s="17"/>
    </row>
    <row r="623">
      <c r="B623" s="17"/>
      <c r="C623" s="17"/>
      <c r="D623" s="17" t="s">
        <v>733</v>
      </c>
      <c r="E623" s="59"/>
      <c r="F623" s="17"/>
      <c r="H623" s="17"/>
    </row>
    <row r="624">
      <c r="B624" s="17"/>
      <c r="C624" s="17"/>
      <c r="D624" s="17" t="s">
        <v>733</v>
      </c>
      <c r="E624" s="59"/>
      <c r="F624" s="17"/>
      <c r="H624" s="17"/>
    </row>
    <row r="625">
      <c r="B625" s="17"/>
      <c r="C625" s="17"/>
      <c r="D625" s="17" t="s">
        <v>733</v>
      </c>
      <c r="E625" s="59"/>
      <c r="F625" s="17"/>
      <c r="H625" s="17"/>
    </row>
    <row r="626">
      <c r="B626" s="17"/>
      <c r="C626" s="17"/>
      <c r="D626" s="17" t="s">
        <v>733</v>
      </c>
      <c r="E626" s="59"/>
      <c r="F626" s="17"/>
      <c r="H626" s="17"/>
    </row>
    <row r="627">
      <c r="B627" s="17"/>
      <c r="C627" s="17"/>
      <c r="D627" s="17" t="s">
        <v>733</v>
      </c>
      <c r="E627" s="59"/>
      <c r="F627" s="17"/>
      <c r="H627" s="17"/>
    </row>
    <row r="628">
      <c r="B628" s="17"/>
      <c r="C628" s="17"/>
      <c r="D628" s="17" t="s">
        <v>733</v>
      </c>
      <c r="E628" s="59"/>
      <c r="F628" s="17"/>
      <c r="H628" s="17"/>
    </row>
    <row r="629">
      <c r="B629" s="17"/>
      <c r="C629" s="17"/>
      <c r="D629" s="17" t="s">
        <v>733</v>
      </c>
      <c r="E629" s="59"/>
      <c r="F629" s="17"/>
      <c r="H629" s="17"/>
    </row>
    <row r="630">
      <c r="B630" s="17"/>
      <c r="C630" s="17"/>
      <c r="D630" s="17" t="s">
        <v>733</v>
      </c>
      <c r="E630" s="59"/>
      <c r="F630" s="17"/>
      <c r="H630" s="17"/>
    </row>
    <row r="631">
      <c r="B631" s="17"/>
      <c r="C631" s="17"/>
      <c r="D631" s="17" t="s">
        <v>733</v>
      </c>
      <c r="E631" s="59"/>
      <c r="F631" s="17"/>
      <c r="H631" s="17"/>
    </row>
    <row r="632">
      <c r="B632" s="17"/>
      <c r="C632" s="17"/>
      <c r="D632" s="17" t="s">
        <v>733</v>
      </c>
      <c r="E632" s="59"/>
      <c r="F632" s="17"/>
      <c r="H632" s="17"/>
    </row>
    <row r="633">
      <c r="B633" s="17"/>
      <c r="C633" s="17"/>
      <c r="D633" s="17" t="s">
        <v>733</v>
      </c>
      <c r="E633" s="59"/>
      <c r="F633" s="17"/>
      <c r="H633" s="17"/>
    </row>
    <row r="634">
      <c r="B634" s="17"/>
      <c r="C634" s="17"/>
      <c r="D634" s="17" t="s">
        <v>733</v>
      </c>
      <c r="E634" s="59"/>
      <c r="F634" s="17"/>
      <c r="H634" s="17"/>
    </row>
    <row r="635">
      <c r="B635" s="17"/>
      <c r="C635" s="17"/>
      <c r="D635" s="17" t="s">
        <v>733</v>
      </c>
      <c r="E635" s="59"/>
      <c r="F635" s="17"/>
      <c r="H635" s="17"/>
    </row>
    <row r="636">
      <c r="B636" s="17"/>
      <c r="C636" s="17"/>
      <c r="D636" s="17" t="s">
        <v>733</v>
      </c>
      <c r="E636" s="59"/>
      <c r="F636" s="17"/>
      <c r="H636" s="17"/>
    </row>
    <row r="637">
      <c r="B637" s="17"/>
      <c r="C637" s="17"/>
      <c r="D637" s="17" t="s">
        <v>733</v>
      </c>
      <c r="E637" s="59"/>
      <c r="F637" s="17"/>
      <c r="H637" s="17"/>
    </row>
    <row r="638">
      <c r="B638" s="17"/>
      <c r="C638" s="17"/>
      <c r="D638" s="17" t="s">
        <v>733</v>
      </c>
      <c r="E638" s="59"/>
      <c r="F638" s="17"/>
      <c r="H638" s="17"/>
    </row>
    <row r="639">
      <c r="B639" s="17"/>
      <c r="C639" s="17"/>
      <c r="D639" s="17" t="s">
        <v>733</v>
      </c>
      <c r="E639" s="59"/>
      <c r="F639" s="17"/>
      <c r="H639" s="17"/>
    </row>
    <row r="640">
      <c r="B640" s="17"/>
      <c r="C640" s="17"/>
      <c r="D640" s="17" t="s">
        <v>733</v>
      </c>
      <c r="E640" s="59"/>
      <c r="F640" s="17"/>
      <c r="H640" s="17"/>
    </row>
    <row r="641">
      <c r="B641" s="17"/>
      <c r="C641" s="17"/>
      <c r="D641" s="17" t="s">
        <v>733</v>
      </c>
      <c r="E641" s="59"/>
      <c r="F641" s="17"/>
      <c r="H641" s="17"/>
    </row>
    <row r="642">
      <c r="B642" s="17"/>
      <c r="C642" s="17"/>
      <c r="D642" s="17" t="s">
        <v>733</v>
      </c>
      <c r="E642" s="59"/>
      <c r="F642" s="17"/>
      <c r="H642" s="17"/>
    </row>
    <row r="643">
      <c r="B643" s="17"/>
      <c r="C643" s="17"/>
      <c r="D643" s="17" t="s">
        <v>733</v>
      </c>
      <c r="E643" s="59"/>
      <c r="F643" s="17"/>
      <c r="H643" s="17"/>
    </row>
    <row r="644">
      <c r="B644" s="17"/>
      <c r="C644" s="17"/>
      <c r="D644" s="17" t="s">
        <v>733</v>
      </c>
      <c r="E644" s="59"/>
      <c r="F644" s="17"/>
      <c r="H644" s="17"/>
    </row>
    <row r="645">
      <c r="B645" s="17"/>
      <c r="C645" s="17"/>
      <c r="D645" s="17" t="s">
        <v>733</v>
      </c>
      <c r="E645" s="59"/>
      <c r="F645" s="17"/>
      <c r="H645" s="17"/>
    </row>
    <row r="646">
      <c r="B646" s="17"/>
      <c r="C646" s="17"/>
      <c r="D646" s="17" t="s">
        <v>733</v>
      </c>
      <c r="E646" s="59"/>
      <c r="F646" s="17"/>
      <c r="H646" s="17"/>
    </row>
    <row r="647">
      <c r="B647" s="17"/>
      <c r="C647" s="17"/>
      <c r="D647" s="17" t="s">
        <v>733</v>
      </c>
      <c r="E647" s="59"/>
      <c r="F647" s="17"/>
      <c r="H647" s="17"/>
    </row>
    <row r="648">
      <c r="B648" s="17"/>
      <c r="C648" s="17"/>
      <c r="D648" s="17" t="s">
        <v>733</v>
      </c>
      <c r="E648" s="59"/>
      <c r="F648" s="17"/>
      <c r="H648" s="17"/>
    </row>
    <row r="649">
      <c r="B649" s="17"/>
      <c r="C649" s="17"/>
      <c r="D649" s="17" t="s">
        <v>733</v>
      </c>
      <c r="E649" s="59"/>
      <c r="F649" s="17"/>
      <c r="H649" s="17"/>
    </row>
    <row r="650">
      <c r="B650" s="17"/>
      <c r="C650" s="17"/>
      <c r="D650" s="17" t="s">
        <v>733</v>
      </c>
      <c r="E650" s="59"/>
      <c r="F650" s="17"/>
      <c r="H650" s="17"/>
    </row>
    <row r="651">
      <c r="B651" s="17"/>
      <c r="C651" s="17"/>
      <c r="D651" s="17" t="s">
        <v>733</v>
      </c>
      <c r="E651" s="59"/>
      <c r="F651" s="17"/>
      <c r="H651" s="17"/>
    </row>
    <row r="652">
      <c r="B652" s="17"/>
      <c r="C652" s="17"/>
      <c r="D652" s="17" t="s">
        <v>733</v>
      </c>
      <c r="E652" s="59"/>
      <c r="F652" s="17"/>
      <c r="H652" s="17"/>
    </row>
    <row r="653">
      <c r="B653" s="17"/>
      <c r="C653" s="17"/>
      <c r="D653" s="17" t="s">
        <v>733</v>
      </c>
      <c r="E653" s="59"/>
      <c r="F653" s="17"/>
      <c r="H653" s="17"/>
    </row>
    <row r="654">
      <c r="B654" s="17"/>
      <c r="C654" s="17"/>
      <c r="D654" s="17" t="s">
        <v>733</v>
      </c>
      <c r="E654" s="59"/>
      <c r="F654" s="17"/>
      <c r="H654" s="17"/>
    </row>
    <row r="655">
      <c r="B655" s="17"/>
      <c r="C655" s="17"/>
      <c r="D655" s="17" t="s">
        <v>733</v>
      </c>
      <c r="E655" s="59"/>
      <c r="F655" s="17"/>
      <c r="H655" s="17"/>
    </row>
    <row r="656">
      <c r="B656" s="17"/>
      <c r="C656" s="17"/>
      <c r="D656" s="17" t="s">
        <v>733</v>
      </c>
      <c r="E656" s="59"/>
      <c r="F656" s="17"/>
      <c r="H656" s="17"/>
    </row>
    <row r="657">
      <c r="B657" s="17"/>
      <c r="C657" s="17"/>
      <c r="D657" s="17" t="s">
        <v>733</v>
      </c>
      <c r="E657" s="59"/>
      <c r="F657" s="17"/>
      <c r="H657" s="17"/>
    </row>
    <row r="658">
      <c r="B658" s="17"/>
      <c r="C658" s="17"/>
      <c r="D658" s="17" t="s">
        <v>733</v>
      </c>
      <c r="E658" s="59"/>
      <c r="F658" s="17"/>
      <c r="H658" s="17"/>
    </row>
    <row r="659">
      <c r="B659" s="17"/>
      <c r="C659" s="17"/>
      <c r="D659" s="17" t="s">
        <v>733</v>
      </c>
      <c r="E659" s="59"/>
      <c r="F659" s="17"/>
      <c r="H659" s="17"/>
    </row>
    <row r="660">
      <c r="B660" s="17"/>
      <c r="C660" s="17"/>
      <c r="D660" s="17" t="s">
        <v>733</v>
      </c>
      <c r="E660" s="59"/>
      <c r="F660" s="17"/>
      <c r="H660" s="17"/>
    </row>
    <row r="661">
      <c r="B661" s="17"/>
      <c r="C661" s="17"/>
      <c r="D661" s="17" t="s">
        <v>733</v>
      </c>
      <c r="E661" s="59"/>
      <c r="F661" s="17"/>
      <c r="H661" s="17"/>
    </row>
    <row r="662">
      <c r="B662" s="17"/>
      <c r="C662" s="17"/>
      <c r="D662" s="17" t="s">
        <v>733</v>
      </c>
      <c r="E662" s="59"/>
      <c r="F662" s="17"/>
      <c r="H662" s="17"/>
    </row>
    <row r="663">
      <c r="B663" s="17"/>
      <c r="C663" s="17"/>
      <c r="D663" s="17" t="s">
        <v>733</v>
      </c>
      <c r="E663" s="59"/>
      <c r="F663" s="17"/>
      <c r="H663" s="17"/>
    </row>
    <row r="664">
      <c r="B664" s="17"/>
      <c r="C664" s="17"/>
      <c r="D664" s="17" t="s">
        <v>733</v>
      </c>
      <c r="E664" s="59"/>
      <c r="F664" s="17"/>
      <c r="H664" s="17"/>
    </row>
    <row r="665">
      <c r="B665" s="17"/>
      <c r="C665" s="17"/>
      <c r="D665" s="17" t="s">
        <v>733</v>
      </c>
      <c r="E665" s="59"/>
      <c r="F665" s="17"/>
      <c r="H665" s="17"/>
    </row>
    <row r="666">
      <c r="B666" s="17"/>
      <c r="C666" s="17"/>
      <c r="D666" s="17" t="s">
        <v>733</v>
      </c>
      <c r="E666" s="59"/>
      <c r="F666" s="17"/>
      <c r="H666" s="17"/>
    </row>
    <row r="667">
      <c r="B667" s="17"/>
      <c r="C667" s="17"/>
      <c r="D667" s="17" t="s">
        <v>733</v>
      </c>
      <c r="E667" s="59"/>
      <c r="F667" s="17"/>
      <c r="H667" s="17"/>
    </row>
    <row r="668">
      <c r="B668" s="17"/>
      <c r="C668" s="17"/>
      <c r="D668" s="17" t="s">
        <v>733</v>
      </c>
      <c r="E668" s="59"/>
      <c r="F668" s="17"/>
      <c r="H668" s="17"/>
    </row>
    <row r="669">
      <c r="B669" s="17"/>
      <c r="C669" s="17"/>
      <c r="D669" s="17" t="s">
        <v>733</v>
      </c>
      <c r="E669" s="59"/>
      <c r="F669" s="17"/>
      <c r="H669" s="17"/>
    </row>
    <row r="670">
      <c r="B670" s="17"/>
      <c r="C670" s="17"/>
      <c r="D670" s="17" t="s">
        <v>733</v>
      </c>
      <c r="E670" s="59"/>
      <c r="F670" s="17"/>
      <c r="H670" s="17"/>
    </row>
    <row r="671">
      <c r="B671" s="17"/>
      <c r="C671" s="17"/>
      <c r="D671" s="17" t="s">
        <v>733</v>
      </c>
      <c r="E671" s="59"/>
      <c r="F671" s="17"/>
      <c r="H671" s="17"/>
    </row>
    <row r="672">
      <c r="B672" s="17"/>
      <c r="C672" s="17"/>
      <c r="D672" s="17" t="s">
        <v>733</v>
      </c>
      <c r="E672" s="59"/>
      <c r="F672" s="17"/>
      <c r="H672" s="17"/>
    </row>
    <row r="673">
      <c r="B673" s="17"/>
      <c r="C673" s="17"/>
      <c r="D673" s="17" t="s">
        <v>733</v>
      </c>
      <c r="E673" s="59"/>
      <c r="F673" s="17"/>
      <c r="H673" s="17"/>
    </row>
    <row r="674">
      <c r="B674" s="17"/>
      <c r="C674" s="17"/>
      <c r="D674" s="17" t="s">
        <v>733</v>
      </c>
      <c r="E674" s="59"/>
      <c r="F674" s="17"/>
      <c r="H674" s="17"/>
    </row>
    <row r="675">
      <c r="B675" s="17"/>
      <c r="C675" s="17"/>
      <c r="D675" s="17" t="s">
        <v>733</v>
      </c>
      <c r="E675" s="59"/>
      <c r="F675" s="17"/>
      <c r="H675" s="17"/>
    </row>
    <row r="676">
      <c r="B676" s="17"/>
      <c r="C676" s="17"/>
      <c r="D676" s="17" t="s">
        <v>733</v>
      </c>
      <c r="E676" s="59"/>
      <c r="F676" s="17"/>
      <c r="H676" s="17"/>
    </row>
    <row r="677">
      <c r="B677" s="17"/>
      <c r="C677" s="17"/>
      <c r="D677" s="17" t="s">
        <v>733</v>
      </c>
      <c r="E677" s="59"/>
      <c r="F677" s="17"/>
      <c r="H677" s="17"/>
    </row>
    <row r="678">
      <c r="B678" s="17"/>
      <c r="C678" s="17"/>
      <c r="D678" s="17" t="s">
        <v>733</v>
      </c>
      <c r="E678" s="59"/>
      <c r="F678" s="17"/>
      <c r="H678" s="17"/>
    </row>
    <row r="679">
      <c r="B679" s="17"/>
      <c r="C679" s="17"/>
      <c r="D679" s="17" t="s">
        <v>733</v>
      </c>
      <c r="E679" s="59"/>
      <c r="F679" s="17"/>
      <c r="H679" s="17"/>
    </row>
    <row r="680">
      <c r="B680" s="17"/>
      <c r="C680" s="17"/>
      <c r="D680" s="17" t="s">
        <v>733</v>
      </c>
      <c r="E680" s="59"/>
      <c r="F680" s="17"/>
      <c r="H680" s="17"/>
    </row>
    <row r="681">
      <c r="B681" s="17"/>
      <c r="C681" s="17"/>
      <c r="D681" s="17" t="s">
        <v>733</v>
      </c>
      <c r="E681" s="59"/>
      <c r="F681" s="17"/>
      <c r="H681" s="17"/>
    </row>
    <row r="682">
      <c r="B682" s="17"/>
      <c r="C682" s="17"/>
      <c r="D682" s="17" t="s">
        <v>733</v>
      </c>
      <c r="E682" s="59"/>
      <c r="F682" s="17"/>
      <c r="H682" s="17"/>
    </row>
    <row r="683">
      <c r="B683" s="17"/>
      <c r="C683" s="17"/>
      <c r="D683" s="17" t="s">
        <v>733</v>
      </c>
      <c r="E683" s="59"/>
      <c r="F683" s="17"/>
      <c r="H683" s="17"/>
    </row>
    <row r="684">
      <c r="B684" s="17"/>
      <c r="C684" s="17"/>
      <c r="D684" s="17" t="s">
        <v>733</v>
      </c>
      <c r="E684" s="59"/>
      <c r="F684" s="17"/>
      <c r="H684" s="17"/>
    </row>
    <row r="685">
      <c r="B685" s="17"/>
      <c r="C685" s="17"/>
      <c r="D685" s="17" t="s">
        <v>733</v>
      </c>
      <c r="E685" s="59"/>
      <c r="F685" s="17"/>
      <c r="H685" s="17"/>
    </row>
    <row r="686">
      <c r="B686" s="17"/>
      <c r="C686" s="17"/>
      <c r="D686" s="17" t="s">
        <v>733</v>
      </c>
      <c r="E686" s="59"/>
      <c r="F686" s="17"/>
      <c r="H686" s="17"/>
    </row>
    <row r="687">
      <c r="B687" s="17"/>
      <c r="C687" s="17"/>
      <c r="D687" s="17" t="s">
        <v>733</v>
      </c>
      <c r="E687" s="59"/>
      <c r="F687" s="17"/>
      <c r="H687" s="17"/>
    </row>
    <row r="688">
      <c r="B688" s="17"/>
      <c r="C688" s="17"/>
      <c r="D688" s="17" t="s">
        <v>733</v>
      </c>
      <c r="E688" s="59"/>
      <c r="F688" s="17"/>
      <c r="H688" s="17"/>
    </row>
    <row r="689">
      <c r="B689" s="17"/>
      <c r="C689" s="17"/>
      <c r="D689" s="17" t="s">
        <v>733</v>
      </c>
      <c r="E689" s="59"/>
      <c r="F689" s="17"/>
      <c r="H689" s="17"/>
    </row>
    <row r="690">
      <c r="B690" s="17"/>
      <c r="C690" s="17"/>
      <c r="D690" s="17" t="s">
        <v>733</v>
      </c>
      <c r="E690" s="59"/>
      <c r="F690" s="17"/>
      <c r="H690" s="17"/>
    </row>
    <row r="691">
      <c r="B691" s="17"/>
      <c r="C691" s="17"/>
      <c r="D691" s="17" t="s">
        <v>733</v>
      </c>
      <c r="E691" s="59"/>
      <c r="F691" s="17"/>
      <c r="H691" s="17"/>
    </row>
    <row r="692">
      <c r="B692" s="17"/>
      <c r="C692" s="17"/>
      <c r="D692" s="17" t="s">
        <v>733</v>
      </c>
      <c r="E692" s="59"/>
      <c r="F692" s="17"/>
      <c r="H692" s="17"/>
    </row>
    <row r="693">
      <c r="B693" s="17"/>
      <c r="C693" s="17"/>
      <c r="D693" s="17" t="s">
        <v>733</v>
      </c>
      <c r="E693" s="59"/>
      <c r="F693" s="17"/>
      <c r="H693" s="17"/>
    </row>
    <row r="694">
      <c r="B694" s="17"/>
      <c r="C694" s="17"/>
      <c r="D694" s="17" t="s">
        <v>733</v>
      </c>
      <c r="E694" s="59"/>
      <c r="F694" s="17"/>
      <c r="H694" s="17"/>
    </row>
    <row r="695">
      <c r="B695" s="17"/>
      <c r="C695" s="17"/>
      <c r="D695" s="17" t="s">
        <v>733</v>
      </c>
      <c r="E695" s="59"/>
      <c r="F695" s="17"/>
      <c r="H695" s="17"/>
    </row>
    <row r="696">
      <c r="B696" s="17"/>
      <c r="C696" s="17"/>
      <c r="D696" s="17" t="s">
        <v>733</v>
      </c>
      <c r="E696" s="59"/>
      <c r="F696" s="17"/>
      <c r="H696" s="17"/>
    </row>
    <row r="697">
      <c r="B697" s="17"/>
      <c r="C697" s="17"/>
      <c r="D697" s="17" t="s">
        <v>733</v>
      </c>
      <c r="E697" s="59"/>
      <c r="F697" s="17"/>
      <c r="H697" s="17"/>
    </row>
    <row r="698">
      <c r="B698" s="17"/>
      <c r="C698" s="17"/>
      <c r="D698" s="17" t="s">
        <v>733</v>
      </c>
      <c r="E698" s="59"/>
      <c r="F698" s="17"/>
      <c r="H698" s="17"/>
    </row>
    <row r="699">
      <c r="B699" s="17"/>
      <c r="C699" s="17"/>
      <c r="D699" s="17" t="s">
        <v>733</v>
      </c>
      <c r="E699" s="59"/>
      <c r="F699" s="17"/>
      <c r="H699" s="17"/>
    </row>
    <row r="700">
      <c r="B700" s="17"/>
      <c r="C700" s="17"/>
      <c r="D700" s="17" t="s">
        <v>733</v>
      </c>
      <c r="E700" s="59"/>
      <c r="F700" s="17"/>
      <c r="H700" s="17"/>
    </row>
    <row r="701">
      <c r="B701" s="17"/>
      <c r="C701" s="17"/>
      <c r="D701" s="17" t="s">
        <v>733</v>
      </c>
      <c r="E701" s="59"/>
      <c r="F701" s="17"/>
      <c r="H701" s="17"/>
    </row>
    <row r="702">
      <c r="B702" s="17"/>
      <c r="C702" s="17"/>
      <c r="D702" s="17" t="s">
        <v>733</v>
      </c>
      <c r="E702" s="59"/>
      <c r="F702" s="17"/>
      <c r="H702" s="17"/>
    </row>
    <row r="703">
      <c r="B703" s="17"/>
      <c r="C703" s="17"/>
      <c r="D703" s="17" t="s">
        <v>733</v>
      </c>
      <c r="E703" s="59"/>
      <c r="F703" s="17"/>
      <c r="H703" s="17"/>
    </row>
    <row r="704">
      <c r="B704" s="17"/>
      <c r="C704" s="17"/>
      <c r="D704" s="17" t="s">
        <v>733</v>
      </c>
      <c r="E704" s="59"/>
      <c r="F704" s="17"/>
      <c r="H704" s="17"/>
    </row>
    <row r="705">
      <c r="B705" s="17"/>
      <c r="C705" s="17"/>
      <c r="D705" s="17" t="s">
        <v>733</v>
      </c>
      <c r="E705" s="59"/>
      <c r="F705" s="17"/>
      <c r="H705" s="17"/>
    </row>
    <row r="706">
      <c r="B706" s="17"/>
      <c r="C706" s="17"/>
      <c r="D706" s="17" t="s">
        <v>733</v>
      </c>
      <c r="E706" s="59"/>
      <c r="F706" s="17"/>
      <c r="H706" s="17"/>
    </row>
    <row r="707">
      <c r="B707" s="17"/>
      <c r="C707" s="17"/>
      <c r="D707" s="17" t="s">
        <v>733</v>
      </c>
      <c r="E707" s="59"/>
      <c r="F707" s="17"/>
      <c r="H707" s="17"/>
    </row>
    <row r="708">
      <c r="B708" s="17"/>
      <c r="C708" s="17"/>
      <c r="D708" s="17" t="s">
        <v>733</v>
      </c>
      <c r="E708" s="59"/>
      <c r="F708" s="17"/>
      <c r="H708" s="17"/>
    </row>
    <row r="709">
      <c r="B709" s="17"/>
      <c r="C709" s="17"/>
      <c r="D709" s="17" t="s">
        <v>733</v>
      </c>
      <c r="E709" s="59"/>
      <c r="F709" s="17"/>
      <c r="H709" s="17"/>
    </row>
    <row r="710">
      <c r="B710" s="17"/>
      <c r="C710" s="17"/>
      <c r="D710" s="17" t="s">
        <v>733</v>
      </c>
      <c r="E710" s="59"/>
      <c r="F710" s="17"/>
      <c r="H710" s="17"/>
    </row>
    <row r="711">
      <c r="B711" s="17"/>
      <c r="C711" s="17"/>
      <c r="D711" s="17" t="s">
        <v>733</v>
      </c>
      <c r="E711" s="59"/>
      <c r="F711" s="17"/>
      <c r="H711" s="17"/>
    </row>
    <row r="712">
      <c r="B712" s="17"/>
      <c r="C712" s="17"/>
      <c r="D712" s="17" t="s">
        <v>733</v>
      </c>
      <c r="E712" s="59"/>
      <c r="F712" s="17"/>
      <c r="H712" s="17"/>
    </row>
    <row r="713">
      <c r="B713" s="17"/>
      <c r="C713" s="17"/>
      <c r="D713" s="17" t="s">
        <v>733</v>
      </c>
      <c r="E713" s="59"/>
      <c r="F713" s="17"/>
      <c r="H713" s="17"/>
    </row>
    <row r="714">
      <c r="B714" s="17"/>
      <c r="C714" s="17"/>
      <c r="D714" s="17" t="s">
        <v>733</v>
      </c>
      <c r="E714" s="59"/>
      <c r="F714" s="17"/>
      <c r="H714" s="17"/>
    </row>
    <row r="715">
      <c r="B715" s="17"/>
      <c r="C715" s="17"/>
      <c r="D715" s="17" t="s">
        <v>733</v>
      </c>
      <c r="E715" s="59"/>
      <c r="F715" s="17"/>
      <c r="H715" s="17"/>
    </row>
    <row r="716">
      <c r="B716" s="17"/>
      <c r="C716" s="17"/>
      <c r="D716" s="17" t="s">
        <v>733</v>
      </c>
      <c r="E716" s="59"/>
      <c r="F716" s="17"/>
      <c r="H716" s="17"/>
    </row>
    <row r="717">
      <c r="B717" s="17"/>
      <c r="C717" s="17"/>
      <c r="D717" s="17" t="s">
        <v>733</v>
      </c>
      <c r="E717" s="59"/>
      <c r="F717" s="17"/>
      <c r="H717" s="17"/>
    </row>
    <row r="718">
      <c r="B718" s="17"/>
      <c r="C718" s="17"/>
      <c r="D718" s="17" t="s">
        <v>733</v>
      </c>
      <c r="E718" s="59"/>
      <c r="F718" s="17"/>
      <c r="H718" s="17"/>
    </row>
    <row r="719">
      <c r="B719" s="17"/>
      <c r="C719" s="17"/>
      <c r="D719" s="17" t="s">
        <v>733</v>
      </c>
      <c r="E719" s="59"/>
      <c r="F719" s="17"/>
      <c r="H719" s="17"/>
    </row>
    <row r="720">
      <c r="B720" s="17"/>
      <c r="C720" s="17"/>
      <c r="D720" s="17" t="s">
        <v>733</v>
      </c>
      <c r="E720" s="59"/>
      <c r="F720" s="17"/>
      <c r="H720" s="17"/>
    </row>
    <row r="721">
      <c r="B721" s="17"/>
      <c r="C721" s="17"/>
      <c r="D721" s="17" t="s">
        <v>733</v>
      </c>
      <c r="E721" s="59"/>
      <c r="F721" s="17"/>
      <c r="H721" s="17"/>
    </row>
    <row r="722">
      <c r="B722" s="17"/>
      <c r="C722" s="17"/>
      <c r="D722" s="17" t="s">
        <v>733</v>
      </c>
      <c r="E722" s="59"/>
      <c r="F722" s="17"/>
      <c r="H722" s="17"/>
    </row>
    <row r="723">
      <c r="B723" s="17"/>
      <c r="C723" s="17"/>
      <c r="D723" s="17" t="s">
        <v>733</v>
      </c>
      <c r="E723" s="59"/>
      <c r="F723" s="17"/>
      <c r="H723" s="17"/>
    </row>
    <row r="724">
      <c r="B724" s="17"/>
      <c r="C724" s="17"/>
      <c r="D724" s="17" t="s">
        <v>733</v>
      </c>
      <c r="E724" s="59"/>
      <c r="F724" s="17"/>
      <c r="H724" s="17"/>
    </row>
    <row r="725">
      <c r="B725" s="17"/>
      <c r="C725" s="17"/>
      <c r="D725" s="17" t="s">
        <v>733</v>
      </c>
      <c r="E725" s="59"/>
      <c r="F725" s="17"/>
      <c r="H725" s="17"/>
    </row>
    <row r="726">
      <c r="B726" s="17"/>
      <c r="C726" s="17"/>
      <c r="D726" s="17" t="s">
        <v>733</v>
      </c>
      <c r="E726" s="59"/>
      <c r="F726" s="17"/>
      <c r="H726" s="17"/>
    </row>
    <row r="727">
      <c r="B727" s="17"/>
      <c r="C727" s="17"/>
      <c r="D727" s="17" t="s">
        <v>733</v>
      </c>
      <c r="E727" s="59"/>
      <c r="F727" s="17"/>
      <c r="H727" s="17"/>
    </row>
    <row r="728">
      <c r="B728" s="17"/>
      <c r="C728" s="17"/>
      <c r="D728" s="17" t="s">
        <v>733</v>
      </c>
      <c r="E728" s="59"/>
      <c r="F728" s="17"/>
      <c r="H728" s="17"/>
    </row>
    <row r="729">
      <c r="B729" s="17"/>
      <c r="C729" s="17"/>
      <c r="D729" s="17" t="s">
        <v>733</v>
      </c>
      <c r="E729" s="59"/>
      <c r="F729" s="17"/>
      <c r="H729" s="17"/>
    </row>
    <row r="730">
      <c r="B730" s="17"/>
      <c r="C730" s="17"/>
      <c r="D730" s="17" t="s">
        <v>733</v>
      </c>
      <c r="E730" s="59"/>
      <c r="F730" s="17"/>
      <c r="H730" s="17"/>
    </row>
    <row r="731">
      <c r="B731" s="17"/>
      <c r="C731" s="17"/>
      <c r="D731" s="17" t="s">
        <v>733</v>
      </c>
      <c r="E731" s="59"/>
      <c r="F731" s="17"/>
      <c r="H731" s="17"/>
    </row>
    <row r="732">
      <c r="B732" s="17"/>
      <c r="C732" s="17"/>
      <c r="D732" s="17" t="s">
        <v>733</v>
      </c>
      <c r="E732" s="59"/>
      <c r="F732" s="17"/>
      <c r="H732" s="17"/>
    </row>
    <row r="733">
      <c r="B733" s="17"/>
      <c r="C733" s="17"/>
      <c r="D733" s="17" t="s">
        <v>733</v>
      </c>
      <c r="E733" s="59"/>
      <c r="F733" s="17"/>
      <c r="H733" s="17"/>
    </row>
    <row r="734">
      <c r="B734" s="17"/>
      <c r="C734" s="17"/>
      <c r="D734" s="17" t="s">
        <v>733</v>
      </c>
      <c r="E734" s="59"/>
      <c r="F734" s="17"/>
      <c r="H734" s="17"/>
    </row>
    <row r="735">
      <c r="B735" s="17"/>
      <c r="C735" s="17"/>
      <c r="D735" s="17" t="s">
        <v>733</v>
      </c>
      <c r="E735" s="59"/>
      <c r="F735" s="17"/>
      <c r="H735" s="17"/>
    </row>
    <row r="736">
      <c r="B736" s="17"/>
      <c r="C736" s="17"/>
      <c r="D736" s="17" t="s">
        <v>733</v>
      </c>
      <c r="E736" s="59"/>
      <c r="F736" s="17"/>
      <c r="H736" s="17"/>
    </row>
    <row r="737">
      <c r="B737" s="17"/>
      <c r="C737" s="17"/>
      <c r="D737" s="17" t="s">
        <v>733</v>
      </c>
      <c r="E737" s="59"/>
      <c r="F737" s="17"/>
      <c r="H737" s="17"/>
    </row>
    <row r="738">
      <c r="B738" s="17"/>
      <c r="C738" s="17"/>
      <c r="D738" s="17" t="s">
        <v>733</v>
      </c>
      <c r="E738" s="59"/>
      <c r="F738" s="17"/>
      <c r="H738" s="17"/>
    </row>
    <row r="739">
      <c r="B739" s="17"/>
      <c r="C739" s="17"/>
      <c r="D739" s="17" t="s">
        <v>733</v>
      </c>
      <c r="E739" s="59"/>
      <c r="F739" s="17"/>
      <c r="H739" s="17"/>
    </row>
    <row r="740">
      <c r="B740" s="17"/>
      <c r="C740" s="17"/>
      <c r="D740" s="17" t="s">
        <v>733</v>
      </c>
      <c r="E740" s="59"/>
      <c r="F740" s="17"/>
      <c r="H740" s="17"/>
    </row>
    <row r="741">
      <c r="B741" s="17"/>
      <c r="C741" s="17"/>
      <c r="D741" s="17" t="s">
        <v>733</v>
      </c>
      <c r="E741" s="59"/>
      <c r="F741" s="17"/>
      <c r="H741" s="17"/>
    </row>
    <row r="742">
      <c r="B742" s="17"/>
      <c r="C742" s="17"/>
      <c r="D742" s="17" t="s">
        <v>733</v>
      </c>
      <c r="E742" s="59"/>
      <c r="F742" s="17"/>
      <c r="H742" s="17"/>
    </row>
    <row r="743">
      <c r="B743" s="17"/>
      <c r="C743" s="17"/>
      <c r="D743" s="17" t="s">
        <v>733</v>
      </c>
      <c r="E743" s="59"/>
      <c r="F743" s="17"/>
      <c r="H743" s="17"/>
    </row>
    <row r="744">
      <c r="B744" s="17"/>
      <c r="C744" s="17"/>
      <c r="D744" s="17" t="s">
        <v>733</v>
      </c>
      <c r="E744" s="59"/>
      <c r="F744" s="17"/>
      <c r="H744" s="17"/>
    </row>
    <row r="745">
      <c r="B745" s="17"/>
      <c r="C745" s="17"/>
      <c r="D745" s="17" t="s">
        <v>733</v>
      </c>
      <c r="E745" s="59"/>
      <c r="F745" s="17"/>
      <c r="H745" s="17"/>
    </row>
    <row r="746">
      <c r="B746" s="17"/>
      <c r="C746" s="17"/>
      <c r="D746" s="17" t="s">
        <v>733</v>
      </c>
      <c r="E746" s="59"/>
      <c r="F746" s="17"/>
      <c r="H746" s="17"/>
    </row>
    <row r="747">
      <c r="B747" s="17"/>
      <c r="C747" s="17"/>
      <c r="D747" s="17" t="s">
        <v>733</v>
      </c>
      <c r="E747" s="59"/>
      <c r="F747" s="17"/>
      <c r="H747" s="17"/>
    </row>
    <row r="748">
      <c r="B748" s="17"/>
      <c r="C748" s="17"/>
      <c r="D748" s="17" t="s">
        <v>733</v>
      </c>
      <c r="E748" s="59"/>
      <c r="F748" s="17"/>
      <c r="H748" s="17"/>
    </row>
    <row r="749">
      <c r="B749" s="17"/>
      <c r="C749" s="17"/>
      <c r="D749" s="17" t="s">
        <v>733</v>
      </c>
      <c r="E749" s="59"/>
      <c r="F749" s="17"/>
      <c r="H749" s="17"/>
    </row>
    <row r="750">
      <c r="B750" s="17"/>
      <c r="C750" s="17"/>
      <c r="D750" s="17" t="s">
        <v>733</v>
      </c>
      <c r="E750" s="59"/>
      <c r="F750" s="17"/>
      <c r="H750" s="17"/>
    </row>
    <row r="751">
      <c r="B751" s="17"/>
      <c r="C751" s="17"/>
      <c r="D751" s="17" t="s">
        <v>733</v>
      </c>
      <c r="E751" s="59"/>
      <c r="F751" s="17"/>
      <c r="H751" s="17"/>
    </row>
    <row r="752">
      <c r="B752" s="17"/>
      <c r="C752" s="17"/>
      <c r="D752" s="17" t="s">
        <v>733</v>
      </c>
      <c r="E752" s="59"/>
      <c r="F752" s="17"/>
      <c r="H752" s="17"/>
    </row>
    <row r="753">
      <c r="B753" s="17"/>
      <c r="C753" s="17"/>
      <c r="D753" s="17" t="s">
        <v>733</v>
      </c>
      <c r="E753" s="59"/>
      <c r="F753" s="17"/>
      <c r="H753" s="17"/>
    </row>
    <row r="754">
      <c r="B754" s="17"/>
      <c r="C754" s="17"/>
      <c r="D754" s="17" t="s">
        <v>733</v>
      </c>
      <c r="E754" s="59"/>
      <c r="F754" s="17"/>
      <c r="H754" s="17"/>
    </row>
    <row r="755">
      <c r="B755" s="17"/>
      <c r="C755" s="17"/>
      <c r="D755" s="17" t="s">
        <v>733</v>
      </c>
      <c r="E755" s="59"/>
      <c r="F755" s="17"/>
      <c r="H755" s="17"/>
    </row>
    <row r="756">
      <c r="B756" s="17"/>
      <c r="C756" s="17"/>
      <c r="D756" s="17" t="s">
        <v>733</v>
      </c>
      <c r="E756" s="59"/>
      <c r="F756" s="17"/>
      <c r="H756" s="17"/>
    </row>
    <row r="757">
      <c r="B757" s="17"/>
      <c r="C757" s="17"/>
      <c r="D757" s="17" t="s">
        <v>733</v>
      </c>
      <c r="E757" s="59"/>
      <c r="F757" s="17"/>
      <c r="H757" s="17"/>
    </row>
    <row r="758">
      <c r="B758" s="17"/>
      <c r="C758" s="17"/>
      <c r="D758" s="17" t="s">
        <v>733</v>
      </c>
      <c r="E758" s="59"/>
      <c r="F758" s="17"/>
      <c r="H758" s="17"/>
    </row>
    <row r="759">
      <c r="B759" s="17"/>
      <c r="C759" s="17"/>
      <c r="D759" s="17" t="s">
        <v>733</v>
      </c>
      <c r="E759" s="59"/>
      <c r="F759" s="17"/>
      <c r="H759" s="17"/>
    </row>
    <row r="760">
      <c r="B760" s="17"/>
      <c r="C760" s="17"/>
      <c r="D760" s="17" t="s">
        <v>733</v>
      </c>
      <c r="E760" s="59"/>
      <c r="F760" s="17"/>
      <c r="H760" s="17"/>
    </row>
    <row r="761">
      <c r="B761" s="17"/>
      <c r="C761" s="17"/>
      <c r="D761" s="17" t="s">
        <v>733</v>
      </c>
      <c r="E761" s="59"/>
      <c r="F761" s="17"/>
      <c r="H761" s="17"/>
    </row>
    <row r="762">
      <c r="B762" s="17"/>
      <c r="C762" s="17"/>
      <c r="D762" s="17" t="s">
        <v>733</v>
      </c>
      <c r="E762" s="59"/>
      <c r="F762" s="17"/>
      <c r="H762" s="17"/>
    </row>
    <row r="763">
      <c r="B763" s="17"/>
      <c r="C763" s="17"/>
      <c r="D763" s="17" t="s">
        <v>733</v>
      </c>
      <c r="E763" s="59"/>
      <c r="F763" s="17"/>
      <c r="H763" s="17"/>
    </row>
    <row r="764">
      <c r="B764" s="17"/>
      <c r="C764" s="17"/>
      <c r="D764" s="17" t="s">
        <v>733</v>
      </c>
      <c r="E764" s="59"/>
      <c r="F764" s="17"/>
      <c r="H764" s="17"/>
    </row>
    <row r="765">
      <c r="B765" s="17"/>
      <c r="C765" s="17"/>
      <c r="D765" s="17" t="s">
        <v>733</v>
      </c>
      <c r="E765" s="59"/>
      <c r="F765" s="17"/>
      <c r="H765" s="17"/>
    </row>
    <row r="766">
      <c r="B766" s="17"/>
      <c r="C766" s="17"/>
      <c r="D766" s="17" t="s">
        <v>733</v>
      </c>
      <c r="E766" s="59"/>
      <c r="F766" s="17"/>
      <c r="H766" s="17"/>
    </row>
    <row r="767">
      <c r="B767" s="17"/>
      <c r="C767" s="17"/>
      <c r="D767" s="17" t="s">
        <v>733</v>
      </c>
      <c r="E767" s="59"/>
      <c r="F767" s="17"/>
      <c r="H767" s="17"/>
    </row>
    <row r="768">
      <c r="B768" s="17"/>
      <c r="C768" s="17"/>
      <c r="D768" s="17" t="s">
        <v>733</v>
      </c>
      <c r="E768" s="59"/>
      <c r="F768" s="17"/>
      <c r="H768" s="17"/>
    </row>
    <row r="769">
      <c r="B769" s="17"/>
      <c r="C769" s="17"/>
      <c r="D769" s="17" t="s">
        <v>733</v>
      </c>
      <c r="E769" s="59"/>
      <c r="F769" s="17"/>
      <c r="H769" s="17"/>
    </row>
    <row r="770">
      <c r="B770" s="17"/>
      <c r="C770" s="17"/>
      <c r="D770" s="17" t="s">
        <v>733</v>
      </c>
      <c r="E770" s="59"/>
      <c r="F770" s="17"/>
      <c r="H770" s="17"/>
    </row>
    <row r="771">
      <c r="B771" s="17"/>
      <c r="C771" s="17"/>
      <c r="D771" s="17" t="s">
        <v>733</v>
      </c>
      <c r="E771" s="59"/>
      <c r="F771" s="17"/>
      <c r="H771" s="17"/>
    </row>
    <row r="772">
      <c r="B772" s="17"/>
      <c r="C772" s="17"/>
      <c r="D772" s="17" t="s">
        <v>733</v>
      </c>
      <c r="E772" s="59"/>
      <c r="F772" s="17"/>
      <c r="H772" s="17"/>
    </row>
    <row r="773">
      <c r="B773" s="17"/>
      <c r="C773" s="17"/>
      <c r="D773" s="17" t="s">
        <v>733</v>
      </c>
      <c r="E773" s="59"/>
      <c r="F773" s="17"/>
      <c r="H773" s="17"/>
    </row>
    <row r="774">
      <c r="B774" s="17"/>
      <c r="C774" s="17"/>
      <c r="D774" s="17" t="s">
        <v>733</v>
      </c>
      <c r="E774" s="59"/>
      <c r="F774" s="17"/>
      <c r="H774" s="17"/>
    </row>
    <row r="775">
      <c r="B775" s="17"/>
      <c r="C775" s="17"/>
      <c r="D775" s="17" t="s">
        <v>733</v>
      </c>
      <c r="E775" s="59"/>
      <c r="F775" s="17"/>
      <c r="H775" s="17"/>
    </row>
    <row r="776">
      <c r="B776" s="17"/>
      <c r="C776" s="17"/>
      <c r="D776" s="17" t="s">
        <v>733</v>
      </c>
      <c r="E776" s="59"/>
      <c r="F776" s="17"/>
      <c r="H776" s="17"/>
    </row>
    <row r="777">
      <c r="B777" s="17"/>
      <c r="C777" s="17"/>
      <c r="D777" s="17" t="s">
        <v>733</v>
      </c>
      <c r="E777" s="59"/>
      <c r="F777" s="17"/>
      <c r="H777" s="17"/>
    </row>
    <row r="778">
      <c r="B778" s="17"/>
      <c r="C778" s="17"/>
      <c r="D778" s="17" t="s">
        <v>733</v>
      </c>
      <c r="E778" s="59"/>
      <c r="F778" s="17"/>
      <c r="H778" s="17"/>
    </row>
    <row r="779">
      <c r="B779" s="17"/>
      <c r="C779" s="17"/>
      <c r="D779" s="17" t="s">
        <v>733</v>
      </c>
      <c r="E779" s="59"/>
      <c r="F779" s="17"/>
      <c r="H779" s="17"/>
    </row>
    <row r="780">
      <c r="B780" s="17"/>
      <c r="C780" s="17"/>
      <c r="D780" s="17" t="s">
        <v>733</v>
      </c>
      <c r="E780" s="59"/>
      <c r="F780" s="17"/>
      <c r="H780" s="17"/>
    </row>
    <row r="781">
      <c r="B781" s="17"/>
      <c r="C781" s="17"/>
      <c r="D781" s="17" t="s">
        <v>733</v>
      </c>
      <c r="E781" s="59"/>
      <c r="F781" s="17"/>
      <c r="H781" s="17"/>
    </row>
    <row r="782">
      <c r="B782" s="17"/>
      <c r="C782" s="17"/>
      <c r="D782" s="17" t="s">
        <v>733</v>
      </c>
      <c r="E782" s="59"/>
      <c r="F782" s="17"/>
      <c r="H782" s="17"/>
    </row>
    <row r="783">
      <c r="B783" s="17"/>
      <c r="C783" s="17"/>
      <c r="D783" s="17" t="s">
        <v>733</v>
      </c>
      <c r="E783" s="59"/>
      <c r="F783" s="17"/>
      <c r="H783" s="17"/>
    </row>
    <row r="784">
      <c r="B784" s="17"/>
      <c r="C784" s="17"/>
      <c r="D784" s="17" t="s">
        <v>733</v>
      </c>
      <c r="E784" s="59"/>
      <c r="F784" s="17"/>
      <c r="H784" s="17"/>
    </row>
    <row r="785">
      <c r="B785" s="17"/>
      <c r="C785" s="17"/>
      <c r="D785" s="17" t="s">
        <v>733</v>
      </c>
      <c r="E785" s="59"/>
      <c r="F785" s="17"/>
      <c r="H785" s="17"/>
    </row>
    <row r="786">
      <c r="B786" s="17"/>
      <c r="C786" s="17"/>
      <c r="D786" s="17" t="s">
        <v>733</v>
      </c>
      <c r="E786" s="59"/>
      <c r="F786" s="17"/>
      <c r="H786" s="17"/>
    </row>
    <row r="787">
      <c r="B787" s="17"/>
      <c r="C787" s="17"/>
      <c r="D787" s="17" t="s">
        <v>733</v>
      </c>
      <c r="E787" s="59"/>
      <c r="F787" s="17"/>
      <c r="H787" s="17"/>
    </row>
    <row r="788">
      <c r="B788" s="17"/>
      <c r="C788" s="17"/>
      <c r="D788" s="17" t="s">
        <v>733</v>
      </c>
      <c r="E788" s="59"/>
      <c r="F788" s="17"/>
      <c r="H788" s="17"/>
    </row>
    <row r="789">
      <c r="B789" s="17"/>
      <c r="C789" s="17"/>
      <c r="D789" s="17" t="s">
        <v>733</v>
      </c>
      <c r="E789" s="59"/>
      <c r="F789" s="17"/>
      <c r="H789" s="17"/>
    </row>
    <row r="790">
      <c r="B790" s="17"/>
      <c r="C790" s="17"/>
      <c r="D790" s="17" t="s">
        <v>733</v>
      </c>
      <c r="E790" s="59"/>
      <c r="F790" s="17"/>
      <c r="H790" s="17"/>
    </row>
    <row r="791">
      <c r="B791" s="17"/>
      <c r="C791" s="17"/>
      <c r="D791" s="17" t="s">
        <v>733</v>
      </c>
      <c r="E791" s="59"/>
      <c r="F791" s="17"/>
      <c r="H791" s="17"/>
    </row>
    <row r="792">
      <c r="B792" s="17"/>
      <c r="C792" s="17"/>
      <c r="D792" s="17" t="s">
        <v>733</v>
      </c>
      <c r="E792" s="59"/>
      <c r="F792" s="17"/>
      <c r="H792" s="17"/>
    </row>
    <row r="793">
      <c r="B793" s="17"/>
      <c r="C793" s="17"/>
      <c r="D793" s="17" t="s">
        <v>733</v>
      </c>
      <c r="E793" s="59"/>
      <c r="F793" s="17"/>
      <c r="H793" s="17"/>
    </row>
    <row r="794">
      <c r="B794" s="17"/>
      <c r="C794" s="17"/>
      <c r="D794" s="17" t="s">
        <v>733</v>
      </c>
      <c r="E794" s="59"/>
      <c r="F794" s="17"/>
      <c r="H794" s="17"/>
    </row>
    <row r="795">
      <c r="B795" s="17"/>
      <c r="C795" s="17"/>
      <c r="D795" s="17" t="s">
        <v>733</v>
      </c>
      <c r="E795" s="59"/>
      <c r="F795" s="17"/>
      <c r="H795" s="17"/>
    </row>
    <row r="796">
      <c r="B796" s="17"/>
      <c r="C796" s="17"/>
      <c r="D796" s="17" t="s">
        <v>733</v>
      </c>
      <c r="E796" s="59"/>
      <c r="F796" s="17"/>
      <c r="H796" s="17"/>
    </row>
    <row r="797">
      <c r="B797" s="17"/>
      <c r="C797" s="17"/>
      <c r="D797" s="17" t="s">
        <v>733</v>
      </c>
      <c r="E797" s="59"/>
      <c r="F797" s="17"/>
      <c r="H797" s="17"/>
    </row>
    <row r="798">
      <c r="B798" s="17"/>
      <c r="C798" s="17"/>
      <c r="D798" s="17" t="s">
        <v>733</v>
      </c>
      <c r="E798" s="59"/>
      <c r="F798" s="17"/>
      <c r="H798" s="17"/>
    </row>
    <row r="799">
      <c r="B799" s="17"/>
      <c r="C799" s="17"/>
      <c r="D799" s="17" t="s">
        <v>733</v>
      </c>
      <c r="E799" s="59"/>
      <c r="F799" s="17"/>
      <c r="H799" s="17"/>
    </row>
    <row r="800">
      <c r="B800" s="17"/>
      <c r="C800" s="17"/>
      <c r="D800" s="17" t="s">
        <v>733</v>
      </c>
      <c r="E800" s="59"/>
      <c r="F800" s="17"/>
      <c r="H800" s="17"/>
    </row>
    <row r="801">
      <c r="B801" s="17"/>
      <c r="C801" s="17"/>
      <c r="D801" s="17" t="s">
        <v>733</v>
      </c>
      <c r="E801" s="59"/>
      <c r="F801" s="17"/>
      <c r="H801" s="17"/>
    </row>
    <row r="802">
      <c r="B802" s="17"/>
      <c r="C802" s="17"/>
      <c r="D802" s="17" t="s">
        <v>733</v>
      </c>
      <c r="E802" s="59"/>
      <c r="F802" s="17"/>
      <c r="H802" s="17"/>
    </row>
    <row r="803">
      <c r="B803" s="17"/>
      <c r="C803" s="17"/>
      <c r="D803" s="17" t="s">
        <v>733</v>
      </c>
      <c r="E803" s="59"/>
      <c r="F803" s="17"/>
      <c r="H803" s="17"/>
    </row>
    <row r="804">
      <c r="B804" s="17"/>
      <c r="C804" s="17"/>
      <c r="D804" s="17" t="s">
        <v>733</v>
      </c>
      <c r="E804" s="59"/>
      <c r="F804" s="17"/>
      <c r="H804" s="17"/>
    </row>
    <row r="805">
      <c r="B805" s="17"/>
      <c r="C805" s="17"/>
      <c r="D805" s="17" t="s">
        <v>733</v>
      </c>
      <c r="E805" s="59"/>
      <c r="F805" s="17"/>
      <c r="H805" s="17"/>
    </row>
    <row r="806">
      <c r="B806" s="17"/>
      <c r="C806" s="17"/>
      <c r="D806" s="17" t="s">
        <v>733</v>
      </c>
      <c r="E806" s="59"/>
      <c r="F806" s="17"/>
      <c r="H806" s="17"/>
    </row>
    <row r="807">
      <c r="B807" s="17"/>
      <c r="C807" s="17"/>
      <c r="D807" s="17" t="s">
        <v>733</v>
      </c>
      <c r="E807" s="59"/>
      <c r="F807" s="17"/>
      <c r="H807" s="17"/>
    </row>
    <row r="808">
      <c r="B808" s="17"/>
      <c r="C808" s="17"/>
      <c r="D808" s="17" t="s">
        <v>733</v>
      </c>
      <c r="E808" s="59"/>
      <c r="F808" s="17"/>
      <c r="H808" s="17"/>
    </row>
    <row r="809">
      <c r="B809" s="17"/>
      <c r="C809" s="17"/>
      <c r="D809" s="17" t="s">
        <v>733</v>
      </c>
      <c r="E809" s="59"/>
      <c r="F809" s="17"/>
      <c r="H809" s="17"/>
    </row>
    <row r="810">
      <c r="B810" s="17"/>
      <c r="C810" s="17"/>
      <c r="D810" s="17" t="s">
        <v>733</v>
      </c>
      <c r="E810" s="59"/>
      <c r="F810" s="17"/>
      <c r="H810" s="17"/>
    </row>
    <row r="811">
      <c r="B811" s="17"/>
      <c r="C811" s="17"/>
      <c r="D811" s="17" t="s">
        <v>733</v>
      </c>
      <c r="E811" s="59"/>
      <c r="F811" s="17"/>
      <c r="H811" s="17"/>
    </row>
    <row r="812">
      <c r="B812" s="17"/>
      <c r="C812" s="17"/>
      <c r="D812" s="17" t="s">
        <v>733</v>
      </c>
      <c r="E812" s="59"/>
      <c r="F812" s="17"/>
      <c r="H812" s="17"/>
    </row>
    <row r="813">
      <c r="B813" s="17"/>
      <c r="C813" s="17"/>
      <c r="D813" s="17" t="s">
        <v>733</v>
      </c>
      <c r="E813" s="59"/>
      <c r="F813" s="17"/>
      <c r="H813" s="17"/>
    </row>
    <row r="814">
      <c r="B814" s="17"/>
      <c r="C814" s="17"/>
      <c r="D814" s="17" t="s">
        <v>733</v>
      </c>
      <c r="E814" s="59"/>
      <c r="F814" s="17"/>
      <c r="H814" s="17"/>
    </row>
    <row r="815">
      <c r="B815" s="17"/>
      <c r="C815" s="17"/>
      <c r="D815" s="17" t="s">
        <v>733</v>
      </c>
      <c r="E815" s="59"/>
      <c r="F815" s="17"/>
      <c r="H815" s="17"/>
    </row>
    <row r="816">
      <c r="B816" s="17"/>
      <c r="C816" s="17"/>
      <c r="D816" s="17" t="s">
        <v>733</v>
      </c>
      <c r="E816" s="59"/>
      <c r="F816" s="17"/>
      <c r="H816" s="17"/>
    </row>
    <row r="817">
      <c r="B817" s="17"/>
      <c r="C817" s="17"/>
      <c r="D817" s="17" t="s">
        <v>733</v>
      </c>
      <c r="E817" s="59"/>
      <c r="F817" s="17"/>
      <c r="H817" s="17"/>
    </row>
    <row r="818">
      <c r="B818" s="17"/>
      <c r="C818" s="17"/>
      <c r="D818" s="17" t="s">
        <v>733</v>
      </c>
      <c r="E818" s="59"/>
      <c r="F818" s="17"/>
      <c r="H818" s="17"/>
    </row>
    <row r="819">
      <c r="B819" s="17"/>
      <c r="C819" s="17"/>
      <c r="D819" s="17" t="s">
        <v>733</v>
      </c>
      <c r="E819" s="59"/>
      <c r="F819" s="17"/>
      <c r="H819" s="17"/>
    </row>
    <row r="820">
      <c r="B820" s="17"/>
      <c r="C820" s="17"/>
      <c r="D820" s="17" t="s">
        <v>733</v>
      </c>
      <c r="E820" s="59"/>
      <c r="F820" s="17"/>
      <c r="H820" s="17"/>
    </row>
    <row r="821">
      <c r="B821" s="17"/>
      <c r="C821" s="17"/>
      <c r="D821" s="17" t="s">
        <v>733</v>
      </c>
      <c r="E821" s="59"/>
      <c r="F821" s="17"/>
      <c r="H821" s="17"/>
    </row>
    <row r="822">
      <c r="B822" s="17"/>
      <c r="C822" s="17"/>
      <c r="D822" s="17" t="s">
        <v>733</v>
      </c>
      <c r="E822" s="59"/>
      <c r="F822" s="17"/>
      <c r="H822" s="17"/>
    </row>
    <row r="823">
      <c r="B823" s="17"/>
      <c r="C823" s="17"/>
      <c r="D823" s="17" t="s">
        <v>733</v>
      </c>
      <c r="E823" s="59"/>
      <c r="F823" s="17"/>
      <c r="H823" s="17"/>
    </row>
    <row r="824">
      <c r="B824" s="17"/>
      <c r="C824" s="17"/>
      <c r="D824" s="17" t="s">
        <v>733</v>
      </c>
      <c r="E824" s="59"/>
      <c r="F824" s="17"/>
      <c r="H824" s="17"/>
    </row>
    <row r="825">
      <c r="B825" s="17"/>
      <c r="C825" s="17"/>
      <c r="D825" s="17" t="s">
        <v>733</v>
      </c>
      <c r="E825" s="59"/>
      <c r="F825" s="17"/>
      <c r="H825" s="17"/>
    </row>
    <row r="826">
      <c r="B826" s="17"/>
      <c r="C826" s="17"/>
      <c r="D826" s="17" t="s">
        <v>733</v>
      </c>
      <c r="E826" s="59"/>
      <c r="F826" s="17"/>
      <c r="H826" s="17"/>
    </row>
    <row r="827">
      <c r="B827" s="17"/>
      <c r="C827" s="17"/>
      <c r="D827" s="17" t="s">
        <v>733</v>
      </c>
      <c r="E827" s="59"/>
      <c r="F827" s="17"/>
      <c r="H827" s="17"/>
    </row>
    <row r="828">
      <c r="B828" s="17"/>
      <c r="C828" s="17"/>
      <c r="D828" s="17" t="s">
        <v>733</v>
      </c>
      <c r="E828" s="59"/>
      <c r="F828" s="17"/>
      <c r="H828" s="17"/>
    </row>
    <row r="829">
      <c r="B829" s="17"/>
      <c r="C829" s="17"/>
      <c r="D829" s="17" t="s">
        <v>733</v>
      </c>
      <c r="E829" s="59"/>
      <c r="F829" s="17"/>
      <c r="H829" s="17"/>
    </row>
    <row r="830">
      <c r="B830" s="17"/>
      <c r="C830" s="17"/>
      <c r="D830" s="17" t="s">
        <v>733</v>
      </c>
      <c r="E830" s="59"/>
      <c r="F830" s="17"/>
      <c r="H830" s="17"/>
    </row>
    <row r="831">
      <c r="B831" s="17"/>
      <c r="C831" s="17"/>
      <c r="D831" s="17" t="s">
        <v>733</v>
      </c>
      <c r="E831" s="59"/>
      <c r="F831" s="17"/>
      <c r="H831" s="17"/>
    </row>
    <row r="832">
      <c r="B832" s="17"/>
      <c r="C832" s="17"/>
      <c r="D832" s="17" t="s">
        <v>733</v>
      </c>
      <c r="E832" s="59"/>
      <c r="F832" s="17"/>
      <c r="H832" s="17"/>
    </row>
    <row r="833">
      <c r="B833" s="17"/>
      <c r="C833" s="17"/>
      <c r="D833" s="17" t="s">
        <v>733</v>
      </c>
      <c r="E833" s="59"/>
      <c r="F833" s="17"/>
      <c r="H833" s="17"/>
    </row>
    <row r="834">
      <c r="B834" s="17"/>
      <c r="C834" s="17"/>
      <c r="D834" s="17" t="s">
        <v>733</v>
      </c>
      <c r="E834" s="59"/>
      <c r="F834" s="17"/>
      <c r="H834" s="17"/>
    </row>
    <row r="835">
      <c r="B835" s="17"/>
      <c r="C835" s="17"/>
      <c r="D835" s="17" t="s">
        <v>733</v>
      </c>
      <c r="E835" s="59"/>
      <c r="F835" s="17"/>
      <c r="H835" s="17"/>
    </row>
    <row r="836">
      <c r="B836" s="17"/>
      <c r="C836" s="17"/>
      <c r="D836" s="17" t="s">
        <v>733</v>
      </c>
      <c r="E836" s="59"/>
      <c r="F836" s="17"/>
      <c r="H836" s="17"/>
    </row>
    <row r="837">
      <c r="B837" s="17"/>
      <c r="C837" s="17"/>
      <c r="D837" s="17" t="s">
        <v>733</v>
      </c>
      <c r="E837" s="59"/>
      <c r="F837" s="17"/>
      <c r="H837" s="17"/>
    </row>
    <row r="838">
      <c r="B838" s="17"/>
      <c r="C838" s="17"/>
      <c r="D838" s="17" t="s">
        <v>733</v>
      </c>
      <c r="E838" s="59"/>
      <c r="F838" s="17"/>
      <c r="H838" s="17"/>
    </row>
    <row r="839">
      <c r="B839" s="17"/>
      <c r="C839" s="17"/>
      <c r="D839" s="17" t="s">
        <v>733</v>
      </c>
      <c r="E839" s="59"/>
      <c r="F839" s="17"/>
      <c r="H839" s="17"/>
    </row>
    <row r="840">
      <c r="B840" s="17"/>
      <c r="C840" s="17"/>
      <c r="D840" s="17" t="s">
        <v>733</v>
      </c>
      <c r="E840" s="59"/>
      <c r="F840" s="17"/>
      <c r="H840" s="17"/>
    </row>
    <row r="841">
      <c r="B841" s="17"/>
      <c r="C841" s="17"/>
      <c r="D841" s="17" t="s">
        <v>733</v>
      </c>
      <c r="E841" s="59"/>
      <c r="F841" s="17"/>
      <c r="H841" s="17"/>
    </row>
    <row r="842">
      <c r="B842" s="17"/>
      <c r="C842" s="17"/>
      <c r="D842" s="17" t="s">
        <v>733</v>
      </c>
      <c r="E842" s="59"/>
      <c r="F842" s="17"/>
      <c r="H842" s="17"/>
    </row>
    <row r="843">
      <c r="B843" s="17"/>
      <c r="C843" s="17"/>
      <c r="D843" s="17" t="s">
        <v>733</v>
      </c>
      <c r="E843" s="59"/>
      <c r="F843" s="17"/>
      <c r="H843" s="17"/>
    </row>
    <row r="844">
      <c r="B844" s="17"/>
      <c r="C844" s="17"/>
      <c r="D844" s="17" t="s">
        <v>733</v>
      </c>
      <c r="E844" s="59"/>
      <c r="F844" s="17"/>
      <c r="H844" s="17"/>
    </row>
    <row r="845">
      <c r="B845" s="17"/>
      <c r="C845" s="17"/>
      <c r="D845" s="17" t="s">
        <v>733</v>
      </c>
      <c r="E845" s="59"/>
      <c r="F845" s="17"/>
      <c r="H845" s="17"/>
    </row>
    <row r="846">
      <c r="B846" s="17"/>
      <c r="C846" s="17"/>
      <c r="D846" s="17" t="s">
        <v>733</v>
      </c>
      <c r="E846" s="59"/>
      <c r="F846" s="17"/>
      <c r="H846" s="17"/>
    </row>
    <row r="847">
      <c r="B847" s="17"/>
      <c r="C847" s="17"/>
      <c r="D847" s="17" t="s">
        <v>733</v>
      </c>
      <c r="E847" s="59"/>
      <c r="F847" s="17"/>
      <c r="H847" s="17"/>
    </row>
    <row r="848">
      <c r="B848" s="17"/>
      <c r="C848" s="17"/>
      <c r="D848" s="17" t="s">
        <v>733</v>
      </c>
      <c r="E848" s="59"/>
      <c r="F848" s="17"/>
      <c r="H848" s="17"/>
    </row>
    <row r="849">
      <c r="B849" s="17"/>
      <c r="C849" s="17"/>
      <c r="D849" s="17" t="s">
        <v>733</v>
      </c>
      <c r="E849" s="59"/>
      <c r="F849" s="17"/>
      <c r="H849" s="17"/>
    </row>
    <row r="850">
      <c r="B850" s="17"/>
      <c r="C850" s="17"/>
      <c r="D850" s="17" t="s">
        <v>733</v>
      </c>
      <c r="E850" s="59"/>
      <c r="F850" s="17"/>
      <c r="H850" s="17"/>
    </row>
    <row r="851">
      <c r="B851" s="17"/>
      <c r="C851" s="17"/>
      <c r="D851" s="17" t="s">
        <v>733</v>
      </c>
      <c r="E851" s="59"/>
      <c r="F851" s="17"/>
      <c r="H851" s="17"/>
    </row>
    <row r="852">
      <c r="B852" s="17"/>
      <c r="C852" s="17"/>
      <c r="D852" s="17" t="s">
        <v>733</v>
      </c>
      <c r="E852" s="59"/>
      <c r="F852" s="17"/>
      <c r="H852" s="17"/>
    </row>
    <row r="853">
      <c r="B853" s="17"/>
      <c r="C853" s="17"/>
      <c r="D853" s="17" t="s">
        <v>733</v>
      </c>
      <c r="E853" s="59"/>
      <c r="F853" s="17"/>
      <c r="H853" s="17"/>
    </row>
    <row r="854">
      <c r="B854" s="17"/>
      <c r="C854" s="17"/>
      <c r="D854" s="17" t="s">
        <v>733</v>
      </c>
      <c r="E854" s="59"/>
      <c r="F854" s="17"/>
      <c r="H854" s="17"/>
    </row>
    <row r="855">
      <c r="B855" s="17"/>
      <c r="C855" s="17"/>
      <c r="D855" s="17" t="s">
        <v>733</v>
      </c>
      <c r="E855" s="59"/>
      <c r="F855" s="17"/>
      <c r="H855" s="17"/>
    </row>
    <row r="856">
      <c r="B856" s="17"/>
      <c r="C856" s="17"/>
      <c r="D856" s="17" t="s">
        <v>733</v>
      </c>
      <c r="E856" s="59"/>
      <c r="F856" s="17"/>
      <c r="H856" s="17"/>
    </row>
    <row r="857">
      <c r="B857" s="17"/>
      <c r="C857" s="17"/>
      <c r="D857" s="17" t="s">
        <v>733</v>
      </c>
      <c r="E857" s="59"/>
      <c r="F857" s="17"/>
      <c r="H857" s="17"/>
    </row>
    <row r="858">
      <c r="B858" s="17"/>
      <c r="C858" s="17"/>
      <c r="D858" s="17" t="s">
        <v>733</v>
      </c>
      <c r="E858" s="59"/>
      <c r="F858" s="17"/>
      <c r="H858" s="17"/>
    </row>
    <row r="859">
      <c r="B859" s="17"/>
      <c r="C859" s="17"/>
      <c r="D859" s="17" t="s">
        <v>733</v>
      </c>
      <c r="E859" s="59"/>
      <c r="F859" s="17"/>
      <c r="H859" s="17"/>
    </row>
    <row r="860">
      <c r="B860" s="17"/>
      <c r="C860" s="17"/>
      <c r="D860" s="17" t="s">
        <v>733</v>
      </c>
      <c r="E860" s="59"/>
      <c r="F860" s="17"/>
      <c r="H860" s="17"/>
    </row>
    <row r="861">
      <c r="B861" s="17"/>
      <c r="C861" s="17"/>
      <c r="D861" s="17" t="s">
        <v>733</v>
      </c>
      <c r="E861" s="59"/>
      <c r="F861" s="17"/>
      <c r="H861" s="17"/>
    </row>
    <row r="862">
      <c r="B862" s="17"/>
      <c r="C862" s="17"/>
      <c r="D862" s="17" t="s">
        <v>733</v>
      </c>
      <c r="E862" s="59"/>
      <c r="F862" s="17"/>
      <c r="H862" s="17"/>
    </row>
    <row r="863">
      <c r="B863" s="17"/>
      <c r="C863" s="17"/>
      <c r="D863" s="17" t="s">
        <v>733</v>
      </c>
      <c r="E863" s="59"/>
      <c r="F863" s="17"/>
      <c r="H863" s="17"/>
    </row>
    <row r="864">
      <c r="B864" s="17"/>
      <c r="C864" s="17"/>
      <c r="D864" s="17" t="s">
        <v>733</v>
      </c>
      <c r="E864" s="59"/>
      <c r="F864" s="17"/>
      <c r="H864" s="17"/>
    </row>
    <row r="865">
      <c r="B865" s="17"/>
      <c r="C865" s="17"/>
      <c r="D865" s="17" t="s">
        <v>733</v>
      </c>
      <c r="E865" s="59"/>
      <c r="F865" s="17"/>
      <c r="H865" s="17"/>
    </row>
    <row r="866">
      <c r="B866" s="17"/>
      <c r="C866" s="17"/>
      <c r="D866" s="17" t="s">
        <v>733</v>
      </c>
      <c r="E866" s="59"/>
      <c r="F866" s="17"/>
      <c r="H866" s="17"/>
    </row>
    <row r="867">
      <c r="B867" s="17"/>
      <c r="C867" s="17"/>
      <c r="D867" s="17" t="s">
        <v>733</v>
      </c>
      <c r="E867" s="59"/>
      <c r="F867" s="17"/>
      <c r="H867" s="17"/>
    </row>
    <row r="868">
      <c r="B868" s="17"/>
      <c r="C868" s="17"/>
      <c r="D868" s="17" t="s">
        <v>733</v>
      </c>
      <c r="E868" s="59"/>
      <c r="F868" s="17"/>
      <c r="H868" s="17"/>
    </row>
    <row r="869">
      <c r="B869" s="17"/>
      <c r="C869" s="17"/>
      <c r="D869" s="17" t="s">
        <v>733</v>
      </c>
      <c r="E869" s="59"/>
      <c r="F869" s="17"/>
      <c r="H869" s="17"/>
    </row>
    <row r="870">
      <c r="B870" s="17"/>
      <c r="C870" s="17"/>
      <c r="D870" s="17" t="s">
        <v>733</v>
      </c>
      <c r="E870" s="59"/>
      <c r="F870" s="17"/>
      <c r="H870" s="17"/>
    </row>
    <row r="871">
      <c r="B871" s="17"/>
      <c r="C871" s="17"/>
      <c r="D871" s="17" t="s">
        <v>733</v>
      </c>
      <c r="E871" s="59"/>
      <c r="F871" s="17"/>
      <c r="H871" s="17"/>
    </row>
    <row r="872">
      <c r="B872" s="17"/>
      <c r="C872" s="17"/>
      <c r="D872" s="17" t="s">
        <v>733</v>
      </c>
      <c r="E872" s="59"/>
      <c r="F872" s="17"/>
      <c r="H872" s="17"/>
    </row>
    <row r="873">
      <c r="B873" s="17"/>
      <c r="C873" s="17"/>
      <c r="D873" s="17" t="s">
        <v>733</v>
      </c>
      <c r="E873" s="59"/>
      <c r="F873" s="17"/>
      <c r="H873" s="17"/>
    </row>
    <row r="874">
      <c r="B874" s="17"/>
      <c r="C874" s="17"/>
      <c r="D874" s="17" t="s">
        <v>733</v>
      </c>
      <c r="E874" s="59"/>
      <c r="F874" s="17"/>
      <c r="H874" s="17"/>
    </row>
    <row r="875">
      <c r="B875" s="17"/>
      <c r="C875" s="17"/>
      <c r="D875" s="17" t="s">
        <v>733</v>
      </c>
      <c r="E875" s="59"/>
      <c r="F875" s="17"/>
      <c r="H875" s="17"/>
    </row>
    <row r="876">
      <c r="B876" s="17"/>
      <c r="C876" s="17"/>
      <c r="D876" s="17" t="s">
        <v>733</v>
      </c>
      <c r="E876" s="59"/>
      <c r="F876" s="17"/>
      <c r="H876" s="17"/>
    </row>
    <row r="877">
      <c r="B877" s="17"/>
      <c r="C877" s="17"/>
      <c r="D877" s="17" t="s">
        <v>733</v>
      </c>
      <c r="E877" s="59"/>
      <c r="F877" s="17"/>
      <c r="H877" s="17"/>
    </row>
    <row r="878">
      <c r="B878" s="17"/>
      <c r="C878" s="17"/>
      <c r="D878" s="17" t="s">
        <v>733</v>
      </c>
      <c r="E878" s="59"/>
      <c r="F878" s="17"/>
      <c r="H878" s="17"/>
    </row>
    <row r="879">
      <c r="B879" s="17"/>
      <c r="C879" s="17"/>
      <c r="D879" s="17" t="s">
        <v>733</v>
      </c>
      <c r="E879" s="59"/>
      <c r="F879" s="17"/>
      <c r="H879" s="17"/>
    </row>
    <row r="880">
      <c r="B880" s="17"/>
      <c r="C880" s="17"/>
      <c r="D880" s="17" t="s">
        <v>733</v>
      </c>
      <c r="E880" s="59"/>
      <c r="F880" s="17"/>
      <c r="H880" s="17"/>
    </row>
    <row r="881">
      <c r="B881" s="17"/>
      <c r="C881" s="17"/>
      <c r="D881" s="17" t="s">
        <v>733</v>
      </c>
      <c r="E881" s="59"/>
      <c r="F881" s="17"/>
      <c r="H881" s="17"/>
    </row>
    <row r="882">
      <c r="B882" s="17"/>
      <c r="C882" s="17"/>
      <c r="D882" s="17" t="s">
        <v>733</v>
      </c>
      <c r="E882" s="59"/>
      <c r="F882" s="17"/>
      <c r="H882" s="17"/>
    </row>
    <row r="883">
      <c r="B883" s="17"/>
      <c r="C883" s="17"/>
      <c r="D883" s="17" t="s">
        <v>733</v>
      </c>
      <c r="E883" s="59"/>
      <c r="F883" s="17"/>
      <c r="H883" s="17"/>
    </row>
    <row r="884">
      <c r="B884" s="17"/>
      <c r="C884" s="17"/>
      <c r="D884" s="17" t="s">
        <v>733</v>
      </c>
      <c r="E884" s="59"/>
      <c r="F884" s="17"/>
      <c r="H884" s="17"/>
    </row>
    <row r="885">
      <c r="B885" s="17"/>
      <c r="C885" s="17"/>
      <c r="D885" s="17" t="s">
        <v>733</v>
      </c>
      <c r="E885" s="59"/>
      <c r="F885" s="17"/>
      <c r="H885" s="17"/>
    </row>
    <row r="886">
      <c r="B886" s="17"/>
      <c r="C886" s="17"/>
      <c r="D886" s="17" t="s">
        <v>733</v>
      </c>
      <c r="E886" s="59"/>
      <c r="F886" s="17"/>
      <c r="H886" s="17"/>
    </row>
    <row r="887">
      <c r="B887" s="17"/>
      <c r="C887" s="17"/>
      <c r="D887" s="17" t="s">
        <v>733</v>
      </c>
      <c r="E887" s="59"/>
      <c r="F887" s="17"/>
      <c r="H887" s="17"/>
    </row>
    <row r="888">
      <c r="B888" s="17"/>
      <c r="C888" s="17"/>
      <c r="D888" s="17" t="s">
        <v>733</v>
      </c>
      <c r="E888" s="59"/>
      <c r="F888" s="17"/>
      <c r="H888" s="17"/>
    </row>
    <row r="889">
      <c r="B889" s="17"/>
      <c r="C889" s="17"/>
      <c r="D889" s="17" t="s">
        <v>733</v>
      </c>
      <c r="E889" s="59"/>
      <c r="F889" s="17"/>
      <c r="H889" s="17"/>
    </row>
    <row r="890">
      <c r="B890" s="17"/>
      <c r="C890" s="17"/>
      <c r="D890" s="17" t="s">
        <v>733</v>
      </c>
      <c r="E890" s="59"/>
      <c r="F890" s="17"/>
      <c r="H890" s="17"/>
    </row>
    <row r="891">
      <c r="B891" s="17"/>
      <c r="C891" s="17"/>
      <c r="D891" s="17" t="s">
        <v>733</v>
      </c>
      <c r="E891" s="59"/>
      <c r="F891" s="17"/>
      <c r="H891" s="17"/>
    </row>
    <row r="892">
      <c r="B892" s="17"/>
      <c r="C892" s="17"/>
      <c r="D892" s="17" t="s">
        <v>733</v>
      </c>
      <c r="E892" s="59"/>
      <c r="F892" s="17"/>
      <c r="H892" s="17"/>
    </row>
    <row r="893">
      <c r="B893" s="17"/>
      <c r="C893" s="17"/>
      <c r="D893" s="17" t="s">
        <v>733</v>
      </c>
      <c r="E893" s="59"/>
      <c r="F893" s="17"/>
      <c r="H893" s="17"/>
    </row>
    <row r="894">
      <c r="B894" s="17"/>
      <c r="C894" s="17"/>
      <c r="D894" s="17" t="s">
        <v>733</v>
      </c>
      <c r="E894" s="59"/>
      <c r="F894" s="17"/>
      <c r="H894" s="17"/>
    </row>
    <row r="895">
      <c r="B895" s="17"/>
      <c r="C895" s="17"/>
      <c r="D895" s="17" t="s">
        <v>733</v>
      </c>
      <c r="E895" s="59"/>
      <c r="F895" s="17"/>
      <c r="H895" s="17"/>
    </row>
    <row r="896">
      <c r="B896" s="17"/>
      <c r="C896" s="17"/>
      <c r="D896" s="17" t="s">
        <v>733</v>
      </c>
      <c r="E896" s="59"/>
      <c r="F896" s="17"/>
      <c r="H896" s="17"/>
    </row>
    <row r="897">
      <c r="B897" s="17"/>
      <c r="C897" s="17"/>
      <c r="D897" s="17" t="s">
        <v>733</v>
      </c>
      <c r="E897" s="59"/>
      <c r="F897" s="17"/>
      <c r="H897" s="17"/>
    </row>
    <row r="898">
      <c r="B898" s="17"/>
      <c r="C898" s="17"/>
      <c r="D898" s="17" t="s">
        <v>733</v>
      </c>
      <c r="E898" s="59"/>
      <c r="F898" s="17"/>
      <c r="H898" s="17"/>
    </row>
    <row r="899">
      <c r="B899" s="17"/>
      <c r="C899" s="17"/>
      <c r="D899" s="17" t="s">
        <v>733</v>
      </c>
      <c r="E899" s="59"/>
      <c r="F899" s="17"/>
      <c r="H899" s="17"/>
    </row>
    <row r="900">
      <c r="B900" s="17"/>
      <c r="C900" s="17"/>
      <c r="D900" s="17" t="s">
        <v>733</v>
      </c>
      <c r="E900" s="59"/>
      <c r="F900" s="17"/>
      <c r="H900" s="17"/>
    </row>
    <row r="901">
      <c r="B901" s="17"/>
      <c r="C901" s="17"/>
      <c r="D901" s="17" t="s">
        <v>733</v>
      </c>
      <c r="E901" s="59"/>
      <c r="F901" s="17"/>
      <c r="H901" s="17"/>
    </row>
    <row r="902">
      <c r="B902" s="17"/>
      <c r="C902" s="17"/>
      <c r="D902" s="17" t="s">
        <v>733</v>
      </c>
      <c r="E902" s="59"/>
      <c r="F902" s="17"/>
      <c r="H902" s="17"/>
    </row>
    <row r="903">
      <c r="B903" s="17"/>
      <c r="C903" s="17"/>
      <c r="D903" s="17" t="s">
        <v>733</v>
      </c>
      <c r="E903" s="59"/>
      <c r="F903" s="17"/>
      <c r="H903" s="17"/>
    </row>
    <row r="904">
      <c r="B904" s="17"/>
      <c r="C904" s="17"/>
      <c r="D904" s="17" t="s">
        <v>733</v>
      </c>
      <c r="E904" s="59"/>
      <c r="F904" s="17"/>
      <c r="H904" s="17"/>
    </row>
    <row r="905">
      <c r="B905" s="17"/>
      <c r="C905" s="17"/>
      <c r="D905" s="17" t="s">
        <v>733</v>
      </c>
      <c r="E905" s="59"/>
      <c r="F905" s="17"/>
      <c r="H905" s="17"/>
    </row>
    <row r="906">
      <c r="B906" s="17"/>
      <c r="C906" s="17"/>
      <c r="D906" s="17" t="s">
        <v>733</v>
      </c>
      <c r="E906" s="59"/>
      <c r="F906" s="17"/>
      <c r="H906" s="17"/>
    </row>
    <row r="907">
      <c r="B907" s="17"/>
      <c r="C907" s="17"/>
      <c r="D907" s="17" t="s">
        <v>733</v>
      </c>
      <c r="E907" s="59"/>
      <c r="F907" s="17"/>
      <c r="H907" s="17"/>
    </row>
    <row r="908">
      <c r="B908" s="17"/>
      <c r="C908" s="17"/>
      <c r="D908" s="17" t="s">
        <v>733</v>
      </c>
      <c r="E908" s="59"/>
      <c r="F908" s="17"/>
      <c r="H908" s="17"/>
    </row>
    <row r="909">
      <c r="B909" s="17"/>
      <c r="C909" s="17"/>
      <c r="D909" s="17" t="s">
        <v>733</v>
      </c>
      <c r="E909" s="59"/>
      <c r="F909" s="17"/>
      <c r="H909" s="17"/>
    </row>
    <row r="910">
      <c r="B910" s="17"/>
      <c r="C910" s="17"/>
      <c r="D910" s="17" t="s">
        <v>733</v>
      </c>
      <c r="E910" s="59"/>
      <c r="F910" s="17"/>
      <c r="H910" s="17"/>
    </row>
    <row r="911">
      <c r="B911" s="17"/>
      <c r="C911" s="17"/>
      <c r="D911" s="17" t="s">
        <v>733</v>
      </c>
      <c r="E911" s="59"/>
      <c r="F911" s="17"/>
      <c r="H911" s="17"/>
    </row>
    <row r="912">
      <c r="B912" s="17"/>
      <c r="C912" s="17"/>
      <c r="D912" s="17" t="s">
        <v>733</v>
      </c>
      <c r="E912" s="59"/>
      <c r="F912" s="17"/>
      <c r="H912" s="17"/>
    </row>
    <row r="913">
      <c r="B913" s="17"/>
      <c r="C913" s="17"/>
      <c r="D913" s="17" t="s">
        <v>733</v>
      </c>
      <c r="E913" s="59"/>
      <c r="F913" s="17"/>
      <c r="H913" s="17"/>
    </row>
    <row r="914">
      <c r="B914" s="17"/>
      <c r="C914" s="17"/>
      <c r="D914" s="17" t="s">
        <v>733</v>
      </c>
      <c r="E914" s="59"/>
      <c r="F914" s="17"/>
      <c r="H914" s="17"/>
    </row>
    <row r="915">
      <c r="B915" s="17"/>
      <c r="C915" s="17"/>
      <c r="D915" s="17" t="s">
        <v>733</v>
      </c>
      <c r="E915" s="59"/>
      <c r="F915" s="17"/>
      <c r="H915" s="17"/>
    </row>
    <row r="916">
      <c r="B916" s="17"/>
      <c r="C916" s="17"/>
      <c r="D916" s="17" t="s">
        <v>733</v>
      </c>
      <c r="E916" s="59"/>
      <c r="F916" s="17"/>
      <c r="H916" s="17"/>
    </row>
    <row r="917">
      <c r="B917" s="17"/>
      <c r="C917" s="17"/>
      <c r="D917" s="17" t="s">
        <v>733</v>
      </c>
      <c r="E917" s="59"/>
      <c r="F917" s="17"/>
      <c r="H917" s="17"/>
    </row>
    <row r="918">
      <c r="B918" s="17"/>
      <c r="C918" s="17"/>
      <c r="D918" s="17" t="s">
        <v>733</v>
      </c>
      <c r="E918" s="59"/>
      <c r="F918" s="17"/>
      <c r="H918" s="17"/>
    </row>
    <row r="919">
      <c r="B919" s="17"/>
      <c r="C919" s="17"/>
      <c r="D919" s="17" t="s">
        <v>733</v>
      </c>
      <c r="E919" s="59"/>
      <c r="F919" s="17"/>
      <c r="H919" s="17"/>
    </row>
    <row r="920">
      <c r="B920" s="17"/>
      <c r="C920" s="17"/>
      <c r="D920" s="17" t="s">
        <v>733</v>
      </c>
      <c r="E920" s="59"/>
      <c r="F920" s="17"/>
      <c r="H920" s="17"/>
    </row>
    <row r="921">
      <c r="B921" s="17"/>
      <c r="C921" s="17"/>
      <c r="D921" s="17" t="s">
        <v>733</v>
      </c>
      <c r="E921" s="59"/>
      <c r="F921" s="17"/>
      <c r="H921" s="17"/>
    </row>
    <row r="922">
      <c r="B922" s="17"/>
      <c r="C922" s="17"/>
      <c r="D922" s="17" t="s">
        <v>733</v>
      </c>
      <c r="E922" s="59"/>
      <c r="F922" s="17"/>
      <c r="H922" s="17"/>
    </row>
    <row r="923">
      <c r="B923" s="17"/>
      <c r="C923" s="17"/>
      <c r="D923" s="17" t="s">
        <v>733</v>
      </c>
      <c r="E923" s="59"/>
      <c r="F923" s="17"/>
      <c r="H923" s="17"/>
    </row>
    <row r="924">
      <c r="B924" s="17"/>
      <c r="C924" s="17"/>
      <c r="D924" s="17" t="s">
        <v>733</v>
      </c>
      <c r="E924" s="59"/>
      <c r="F924" s="17"/>
      <c r="H924" s="17"/>
    </row>
    <row r="925">
      <c r="B925" s="17"/>
      <c r="C925" s="17"/>
      <c r="D925" s="17" t="s">
        <v>733</v>
      </c>
      <c r="E925" s="59"/>
      <c r="F925" s="17"/>
      <c r="H925" s="17"/>
    </row>
    <row r="926">
      <c r="B926" s="17"/>
      <c r="C926" s="17"/>
      <c r="D926" s="17" t="s">
        <v>733</v>
      </c>
      <c r="E926" s="59"/>
      <c r="F926" s="17"/>
      <c r="H926" s="17"/>
    </row>
    <row r="927">
      <c r="B927" s="17"/>
      <c r="C927" s="17"/>
      <c r="D927" s="17" t="s">
        <v>733</v>
      </c>
      <c r="E927" s="59"/>
      <c r="F927" s="17"/>
      <c r="H927" s="17"/>
    </row>
    <row r="928">
      <c r="B928" s="17"/>
      <c r="C928" s="17"/>
      <c r="D928" s="17" t="s">
        <v>733</v>
      </c>
      <c r="E928" s="59"/>
      <c r="F928" s="17"/>
      <c r="H928" s="17"/>
    </row>
    <row r="929">
      <c r="B929" s="17"/>
      <c r="C929" s="17"/>
      <c r="D929" s="17" t="s">
        <v>733</v>
      </c>
      <c r="E929" s="59"/>
      <c r="F929" s="17"/>
      <c r="H929" s="17"/>
    </row>
    <row r="930">
      <c r="B930" s="17"/>
      <c r="C930" s="17"/>
      <c r="D930" s="17" t="s">
        <v>733</v>
      </c>
      <c r="E930" s="59"/>
      <c r="F930" s="17"/>
      <c r="H930" s="17"/>
    </row>
    <row r="931">
      <c r="B931" s="17"/>
      <c r="C931" s="17"/>
      <c r="D931" s="17" t="s">
        <v>733</v>
      </c>
      <c r="E931" s="59"/>
      <c r="F931" s="17"/>
      <c r="H931" s="17"/>
    </row>
    <row r="932">
      <c r="B932" s="17"/>
      <c r="C932" s="17"/>
      <c r="D932" s="17" t="s">
        <v>733</v>
      </c>
      <c r="E932" s="59"/>
      <c r="F932" s="17"/>
      <c r="H932" s="17"/>
    </row>
    <row r="933">
      <c r="B933" s="17"/>
      <c r="C933" s="17"/>
      <c r="D933" s="17" t="s">
        <v>733</v>
      </c>
      <c r="E933" s="59"/>
      <c r="F933" s="17"/>
      <c r="H933" s="17"/>
    </row>
    <row r="934">
      <c r="B934" s="17"/>
      <c r="C934" s="17"/>
      <c r="D934" s="17" t="s">
        <v>733</v>
      </c>
      <c r="E934" s="59"/>
      <c r="F934" s="17"/>
      <c r="H934" s="17"/>
    </row>
    <row r="935">
      <c r="B935" s="17"/>
      <c r="C935" s="17"/>
      <c r="D935" s="17" t="s">
        <v>733</v>
      </c>
      <c r="E935" s="59"/>
      <c r="F935" s="17"/>
      <c r="H935" s="17"/>
    </row>
    <row r="936">
      <c r="B936" s="17"/>
      <c r="C936" s="17"/>
      <c r="D936" s="17" t="s">
        <v>733</v>
      </c>
      <c r="E936" s="59"/>
      <c r="F936" s="17"/>
      <c r="H936" s="17"/>
    </row>
    <row r="937">
      <c r="B937" s="17"/>
      <c r="C937" s="17"/>
      <c r="D937" s="17" t="s">
        <v>733</v>
      </c>
      <c r="E937" s="59"/>
      <c r="F937" s="17"/>
      <c r="H937" s="17"/>
    </row>
    <row r="938">
      <c r="B938" s="17"/>
      <c r="C938" s="17"/>
      <c r="D938" s="17" t="s">
        <v>733</v>
      </c>
      <c r="E938" s="59"/>
      <c r="F938" s="17"/>
      <c r="H938" s="17"/>
    </row>
    <row r="939">
      <c r="B939" s="17"/>
      <c r="C939" s="17"/>
      <c r="D939" s="17" t="s">
        <v>733</v>
      </c>
      <c r="E939" s="59"/>
      <c r="F939" s="17"/>
      <c r="H939" s="17"/>
    </row>
    <row r="940">
      <c r="B940" s="17"/>
      <c r="C940" s="17"/>
      <c r="D940" s="17" t="s">
        <v>733</v>
      </c>
      <c r="E940" s="59"/>
      <c r="F940" s="17"/>
      <c r="H940" s="17"/>
    </row>
    <row r="941">
      <c r="B941" s="17"/>
      <c r="C941" s="17"/>
      <c r="D941" s="17" t="s">
        <v>733</v>
      </c>
      <c r="E941" s="59"/>
      <c r="F941" s="17"/>
      <c r="H941" s="17"/>
    </row>
    <row r="942">
      <c r="B942" s="17"/>
      <c r="C942" s="17"/>
      <c r="D942" s="17" t="s">
        <v>733</v>
      </c>
      <c r="E942" s="59"/>
      <c r="F942" s="17"/>
      <c r="H942" s="17"/>
    </row>
    <row r="943">
      <c r="B943" s="17"/>
      <c r="C943" s="17"/>
      <c r="D943" s="17" t="s">
        <v>733</v>
      </c>
      <c r="E943" s="59"/>
      <c r="F943" s="17"/>
      <c r="H943" s="17"/>
    </row>
    <row r="944">
      <c r="B944" s="17"/>
      <c r="C944" s="17"/>
      <c r="D944" s="17" t="s">
        <v>733</v>
      </c>
      <c r="E944" s="59"/>
      <c r="F944" s="17"/>
      <c r="H944" s="17"/>
    </row>
    <row r="945">
      <c r="B945" s="17"/>
      <c r="C945" s="17"/>
      <c r="D945" s="17" t="s">
        <v>733</v>
      </c>
      <c r="E945" s="59"/>
      <c r="F945" s="17"/>
      <c r="H945" s="17"/>
    </row>
    <row r="946">
      <c r="B946" s="17"/>
      <c r="C946" s="17"/>
      <c r="D946" s="17" t="s">
        <v>733</v>
      </c>
      <c r="E946" s="59"/>
      <c r="F946" s="17"/>
      <c r="H946" s="17"/>
    </row>
    <row r="947">
      <c r="B947" s="17"/>
      <c r="C947" s="17"/>
      <c r="D947" s="17" t="s">
        <v>733</v>
      </c>
      <c r="E947" s="59"/>
      <c r="F947" s="17"/>
      <c r="H947" s="17"/>
    </row>
    <row r="948">
      <c r="B948" s="17"/>
      <c r="C948" s="17"/>
      <c r="D948" s="17" t="s">
        <v>733</v>
      </c>
      <c r="E948" s="59"/>
      <c r="F948" s="17"/>
      <c r="H948" s="17"/>
    </row>
    <row r="949">
      <c r="B949" s="17"/>
      <c r="C949" s="17"/>
      <c r="D949" s="17" t="s">
        <v>733</v>
      </c>
      <c r="E949" s="59"/>
      <c r="F949" s="17"/>
      <c r="H949" s="17"/>
    </row>
    <row r="950">
      <c r="B950" s="17"/>
      <c r="C950" s="17"/>
      <c r="D950" s="17" t="s">
        <v>733</v>
      </c>
      <c r="E950" s="59"/>
      <c r="F950" s="17"/>
      <c r="H950" s="17"/>
    </row>
    <row r="951">
      <c r="B951" s="17"/>
      <c r="C951" s="17"/>
      <c r="D951" s="17" t="s">
        <v>733</v>
      </c>
      <c r="E951" s="59"/>
      <c r="F951" s="17"/>
      <c r="H951" s="17"/>
    </row>
    <row r="952">
      <c r="B952" s="17"/>
      <c r="C952" s="17"/>
      <c r="D952" s="17" t="s">
        <v>733</v>
      </c>
      <c r="E952" s="59"/>
      <c r="F952" s="17"/>
      <c r="H952" s="17"/>
    </row>
    <row r="953">
      <c r="B953" s="17"/>
      <c r="C953" s="17"/>
      <c r="D953" s="17" t="s">
        <v>733</v>
      </c>
      <c r="E953" s="59"/>
      <c r="F953" s="17"/>
      <c r="H953" s="17"/>
    </row>
    <row r="954">
      <c r="B954" s="17"/>
      <c r="C954" s="17"/>
      <c r="D954" s="17" t="s">
        <v>733</v>
      </c>
      <c r="E954" s="59"/>
      <c r="F954" s="17"/>
      <c r="H954" s="17"/>
    </row>
    <row r="955">
      <c r="B955" s="17"/>
      <c r="C955" s="17"/>
      <c r="D955" s="17" t="s">
        <v>733</v>
      </c>
      <c r="E955" s="59"/>
      <c r="F955" s="17"/>
      <c r="H955" s="17"/>
    </row>
    <row r="956">
      <c r="B956" s="17"/>
      <c r="C956" s="17"/>
      <c r="D956" s="17" t="s">
        <v>733</v>
      </c>
      <c r="E956" s="59"/>
      <c r="F956" s="17"/>
      <c r="H956" s="17"/>
    </row>
    <row r="957">
      <c r="B957" s="17"/>
      <c r="C957" s="17"/>
      <c r="D957" s="17" t="s">
        <v>733</v>
      </c>
      <c r="E957" s="59"/>
      <c r="F957" s="17"/>
      <c r="H957" s="17"/>
    </row>
    <row r="958">
      <c r="B958" s="17"/>
      <c r="C958" s="17"/>
      <c r="D958" s="17" t="s">
        <v>733</v>
      </c>
      <c r="E958" s="59"/>
      <c r="F958" s="17"/>
      <c r="H958" s="17"/>
    </row>
    <row r="959">
      <c r="B959" s="17"/>
      <c r="C959" s="17"/>
      <c r="D959" s="17" t="s">
        <v>733</v>
      </c>
      <c r="E959" s="59"/>
      <c r="F959" s="17"/>
      <c r="H959" s="17"/>
    </row>
    <row r="960">
      <c r="B960" s="17"/>
      <c r="C960" s="17"/>
      <c r="D960" s="17" t="s">
        <v>733</v>
      </c>
      <c r="E960" s="59"/>
      <c r="F960" s="17"/>
      <c r="H960" s="17"/>
    </row>
    <row r="961">
      <c r="B961" s="17"/>
      <c r="C961" s="17"/>
      <c r="D961" s="17" t="s">
        <v>733</v>
      </c>
      <c r="E961" s="59"/>
      <c r="F961" s="17"/>
      <c r="H961" s="17"/>
    </row>
    <row r="962">
      <c r="B962" s="17"/>
      <c r="C962" s="17"/>
      <c r="D962" s="17" t="s">
        <v>733</v>
      </c>
      <c r="E962" s="59"/>
      <c r="F962" s="17"/>
      <c r="H962" s="17"/>
    </row>
    <row r="963">
      <c r="B963" s="17"/>
      <c r="C963" s="17"/>
      <c r="D963" s="17" t="s">
        <v>733</v>
      </c>
      <c r="E963" s="59"/>
      <c r="F963" s="17"/>
      <c r="H963" s="17"/>
    </row>
    <row r="964">
      <c r="B964" s="17"/>
      <c r="C964" s="17"/>
      <c r="D964" s="17" t="s">
        <v>733</v>
      </c>
      <c r="E964" s="59"/>
      <c r="F964" s="17"/>
      <c r="H964" s="17"/>
    </row>
    <row r="965">
      <c r="B965" s="17"/>
      <c r="C965" s="17"/>
      <c r="D965" s="17" t="s">
        <v>733</v>
      </c>
      <c r="E965" s="59"/>
      <c r="F965" s="17"/>
      <c r="H965" s="17"/>
    </row>
    <row r="966">
      <c r="B966" s="17"/>
      <c r="C966" s="17"/>
      <c r="D966" s="17" t="s">
        <v>733</v>
      </c>
      <c r="E966" s="59"/>
      <c r="F966" s="17"/>
      <c r="H966" s="17"/>
    </row>
    <row r="967">
      <c r="B967" s="17"/>
      <c r="C967" s="17"/>
      <c r="D967" s="17" t="s">
        <v>733</v>
      </c>
      <c r="E967" s="59"/>
      <c r="F967" s="17"/>
      <c r="H967" s="17"/>
    </row>
    <row r="968">
      <c r="B968" s="17"/>
      <c r="C968" s="17"/>
      <c r="D968" s="17" t="s">
        <v>733</v>
      </c>
      <c r="E968" s="59"/>
      <c r="F968" s="17"/>
      <c r="H968" s="17"/>
    </row>
    <row r="969">
      <c r="B969" s="17"/>
      <c r="C969" s="17"/>
      <c r="D969" s="17" t="s">
        <v>733</v>
      </c>
      <c r="E969" s="59"/>
      <c r="F969" s="17"/>
      <c r="H969" s="17"/>
    </row>
    <row r="970">
      <c r="B970" s="17"/>
      <c r="C970" s="17"/>
      <c r="D970" s="17" t="s">
        <v>733</v>
      </c>
      <c r="E970" s="59"/>
      <c r="F970" s="17"/>
      <c r="H970" s="17"/>
    </row>
    <row r="971">
      <c r="B971" s="17"/>
      <c r="C971" s="17"/>
      <c r="D971" s="17" t="s">
        <v>733</v>
      </c>
      <c r="E971" s="59"/>
      <c r="F971" s="17"/>
      <c r="H971" s="17"/>
    </row>
    <row r="972">
      <c r="B972" s="17"/>
      <c r="C972" s="17"/>
      <c r="D972" s="17" t="s">
        <v>733</v>
      </c>
      <c r="E972" s="59"/>
      <c r="F972" s="17"/>
      <c r="H972" s="17"/>
    </row>
    <row r="973">
      <c r="B973" s="17"/>
      <c r="C973" s="17"/>
      <c r="D973" s="17" t="s">
        <v>733</v>
      </c>
      <c r="E973" s="59"/>
      <c r="F973" s="17"/>
      <c r="H973" s="17"/>
    </row>
    <row r="974">
      <c r="B974" s="17"/>
      <c r="C974" s="17"/>
      <c r="D974" s="17" t="s">
        <v>733</v>
      </c>
      <c r="E974" s="59"/>
      <c r="F974" s="17"/>
      <c r="H974" s="17"/>
    </row>
    <row r="975">
      <c r="B975" s="17"/>
      <c r="C975" s="17"/>
      <c r="D975" s="17" t="s">
        <v>733</v>
      </c>
      <c r="E975" s="59"/>
      <c r="F975" s="17"/>
      <c r="H975" s="17"/>
    </row>
    <row r="976">
      <c r="B976" s="17"/>
      <c r="C976" s="17"/>
      <c r="D976" s="17" t="s">
        <v>733</v>
      </c>
      <c r="E976" s="59"/>
      <c r="F976" s="17"/>
      <c r="H976" s="17"/>
    </row>
    <row r="977">
      <c r="B977" s="17"/>
      <c r="C977" s="17"/>
      <c r="D977" s="17" t="s">
        <v>733</v>
      </c>
      <c r="E977" s="59"/>
      <c r="F977" s="17"/>
      <c r="H977" s="17"/>
    </row>
    <row r="978">
      <c r="B978" s="17"/>
      <c r="C978" s="17"/>
      <c r="D978" s="17" t="s">
        <v>733</v>
      </c>
      <c r="E978" s="59"/>
      <c r="F978" s="17"/>
      <c r="H978" s="17"/>
    </row>
    <row r="979">
      <c r="B979" s="17"/>
      <c r="C979" s="17"/>
      <c r="D979" s="17" t="s">
        <v>733</v>
      </c>
      <c r="E979" s="59"/>
      <c r="F979" s="17"/>
      <c r="H979" s="17"/>
    </row>
    <row r="980">
      <c r="B980" s="17"/>
      <c r="C980" s="17"/>
      <c r="D980" s="17" t="s">
        <v>733</v>
      </c>
      <c r="E980" s="59"/>
      <c r="F980" s="17"/>
      <c r="H980" s="17"/>
    </row>
    <row r="981">
      <c r="B981" s="17"/>
      <c r="C981" s="17"/>
      <c r="D981" s="17" t="s">
        <v>733</v>
      </c>
      <c r="E981" s="59"/>
      <c r="F981" s="17"/>
      <c r="H981" s="17"/>
    </row>
    <row r="982">
      <c r="B982" s="17"/>
      <c r="C982" s="17"/>
      <c r="D982" s="17" t="s">
        <v>733</v>
      </c>
      <c r="E982" s="59"/>
      <c r="F982" s="17"/>
      <c r="H982" s="17"/>
    </row>
    <row r="983">
      <c r="B983" s="17"/>
      <c r="C983" s="17"/>
      <c r="D983" s="17" t="s">
        <v>733</v>
      </c>
      <c r="E983" s="59"/>
      <c r="F983" s="17"/>
      <c r="H983" s="17"/>
    </row>
    <row r="984">
      <c r="B984" s="17"/>
      <c r="C984" s="17"/>
      <c r="D984" s="17" t="s">
        <v>733</v>
      </c>
      <c r="E984" s="59"/>
      <c r="F984" s="17"/>
      <c r="H984" s="17"/>
    </row>
    <row r="985">
      <c r="B985" s="17"/>
      <c r="C985" s="17"/>
      <c r="D985" s="17" t="s">
        <v>733</v>
      </c>
      <c r="E985" s="59"/>
      <c r="F985" s="17"/>
      <c r="H985" s="17"/>
    </row>
    <row r="986">
      <c r="B986" s="17"/>
      <c r="C986" s="17"/>
      <c r="D986" s="17" t="s">
        <v>733</v>
      </c>
      <c r="E986" s="59"/>
      <c r="F986" s="17"/>
      <c r="H986" s="17"/>
    </row>
    <row r="987">
      <c r="B987" s="17"/>
      <c r="C987" s="17"/>
      <c r="D987" s="17" t="s">
        <v>733</v>
      </c>
      <c r="E987" s="59"/>
      <c r="F987" s="17"/>
      <c r="H987" s="17"/>
    </row>
    <row r="988">
      <c r="B988" s="17"/>
      <c r="C988" s="17"/>
      <c r="D988" s="17" t="s">
        <v>733</v>
      </c>
      <c r="E988" s="59"/>
      <c r="F988" s="17"/>
      <c r="H988" s="17"/>
    </row>
    <row r="989">
      <c r="B989" s="17"/>
      <c r="C989" s="17"/>
      <c r="D989" s="17" t="s">
        <v>733</v>
      </c>
      <c r="E989" s="59"/>
      <c r="F989" s="17"/>
      <c r="H989" s="17"/>
    </row>
    <row r="990">
      <c r="B990" s="17"/>
      <c r="C990" s="17"/>
      <c r="D990" s="17" t="s">
        <v>733</v>
      </c>
      <c r="E990" s="59"/>
      <c r="F990" s="17"/>
      <c r="H990" s="17"/>
    </row>
    <row r="991">
      <c r="B991" s="17"/>
      <c r="C991" s="17"/>
      <c r="D991" s="17" t="s">
        <v>733</v>
      </c>
      <c r="E991" s="59"/>
      <c r="F991" s="17"/>
      <c r="H991" s="17"/>
    </row>
    <row r="992">
      <c r="B992" s="17"/>
      <c r="C992" s="17"/>
      <c r="D992" s="17" t="s">
        <v>733</v>
      </c>
      <c r="E992" s="59"/>
      <c r="F992" s="17"/>
      <c r="H992" s="17"/>
    </row>
    <row r="993">
      <c r="B993" s="17"/>
      <c r="C993" s="17"/>
      <c r="D993" s="17" t="s">
        <v>733</v>
      </c>
      <c r="E993" s="59"/>
      <c r="F993" s="17"/>
      <c r="H993" s="17"/>
    </row>
    <row r="994">
      <c r="B994" s="17"/>
      <c r="C994" s="17"/>
      <c r="D994" s="17" t="s">
        <v>733</v>
      </c>
      <c r="E994" s="59"/>
      <c r="F994" s="17"/>
      <c r="H994" s="17"/>
    </row>
    <row r="995">
      <c r="B995" s="17"/>
      <c r="C995" s="17"/>
      <c r="D995" s="17" t="s">
        <v>733</v>
      </c>
      <c r="E995" s="59"/>
      <c r="F995" s="17"/>
      <c r="H995" s="17"/>
    </row>
    <row r="996">
      <c r="B996" s="17"/>
      <c r="C996" s="17"/>
      <c r="D996" s="17" t="s">
        <v>733</v>
      </c>
      <c r="E996" s="59"/>
      <c r="F996" s="17"/>
      <c r="H996" s="17"/>
    </row>
    <row r="997">
      <c r="B997" s="17"/>
      <c r="C997" s="17"/>
      <c r="D997" s="17" t="s">
        <v>733</v>
      </c>
      <c r="E997" s="59"/>
      <c r="F997" s="17"/>
      <c r="H997" s="17"/>
    </row>
    <row r="998">
      <c r="B998" s="17"/>
      <c r="C998" s="17"/>
      <c r="D998" s="17" t="s">
        <v>733</v>
      </c>
      <c r="E998" s="59"/>
      <c r="F998" s="17"/>
      <c r="H998" s="17"/>
    </row>
    <row r="999">
      <c r="B999" s="17"/>
      <c r="C999" s="17"/>
      <c r="D999" s="17" t="s">
        <v>733</v>
      </c>
      <c r="E999" s="59"/>
      <c r="F999" s="17"/>
      <c r="H999" s="17"/>
    </row>
    <row r="1000">
      <c r="B1000" s="17"/>
      <c r="C1000" s="17"/>
      <c r="D1000" s="17" t="s">
        <v>733</v>
      </c>
      <c r="E1000" s="59"/>
      <c r="F1000" s="17"/>
      <c r="H1000" s="17"/>
    </row>
    <row r="1001">
      <c r="B1001" s="17"/>
      <c r="C1001" s="17"/>
      <c r="D1001" s="17" t="s">
        <v>733</v>
      </c>
      <c r="E1001" s="59"/>
      <c r="F1001" s="17"/>
      <c r="H1001" s="17"/>
    </row>
    <row r="1002">
      <c r="B1002" s="17"/>
      <c r="C1002" s="17"/>
      <c r="D1002" s="17" t="s">
        <v>733</v>
      </c>
      <c r="E1002" s="59"/>
      <c r="F1002" s="17"/>
      <c r="H1002" s="17"/>
    </row>
    <row r="1003">
      <c r="B1003" s="17"/>
      <c r="C1003" s="17"/>
      <c r="D1003" s="17" t="s">
        <v>733</v>
      </c>
      <c r="E1003" s="59"/>
      <c r="F1003" s="17"/>
      <c r="H1003" s="17"/>
    </row>
    <row r="1004">
      <c r="B1004" s="17"/>
      <c r="C1004" s="17"/>
      <c r="D1004" s="17" t="s">
        <v>733</v>
      </c>
      <c r="E1004" s="59"/>
      <c r="F1004" s="17"/>
      <c r="H1004" s="17"/>
    </row>
    <row r="1005">
      <c r="B1005" s="17"/>
      <c r="C1005" s="17"/>
      <c r="D1005" s="17" t="s">
        <v>733</v>
      </c>
      <c r="E1005" s="59"/>
      <c r="F1005" s="17"/>
      <c r="H1005" s="17"/>
    </row>
    <row r="1006">
      <c r="B1006" s="17"/>
      <c r="C1006" s="17"/>
      <c r="D1006" s="17" t="s">
        <v>733</v>
      </c>
      <c r="E1006" s="59"/>
      <c r="F1006" s="17"/>
      <c r="H1006" s="17"/>
    </row>
    <row r="1007">
      <c r="B1007" s="17"/>
      <c r="C1007" s="17"/>
      <c r="D1007" s="17" t="s">
        <v>733</v>
      </c>
      <c r="E1007" s="59"/>
      <c r="F1007" s="17"/>
      <c r="H1007" s="17"/>
      <c r="I1007" s="13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1467.748652</v>
      </c>
    </row>
    <row r="2">
      <c r="A2" s="21" t="str">
        <f>IFERROR(__xludf.DUMMYFUNCTION("QUERY(Pedidos!A2:E1000, ""SELECT A, D, (E/2) WHERE lower(B) CONTAINS 'pedro'"",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IFERROR(__xludf.DUMMYFUNCTION("""COMPUTED_VALUE"""),46205.732028148144)</f>
        <v>46205.73203</v>
      </c>
      <c r="B3" s="197">
        <f>IFERROR(__xludf.DUMMYFUNCTION("""COMPUTED_VALUE"""),1684.0)</f>
        <v>1684</v>
      </c>
      <c r="C3" s="21">
        <f>IFERROR(__xludf.DUMMYFUNCTION("""COMPUTED_VALUE"""),216.25134831582997)</f>
        <v>216.2513483</v>
      </c>
      <c r="D3" s="21">
        <v>1467.74865168417</v>
      </c>
      <c r="E3" s="122"/>
    </row>
    <row r="4">
      <c r="D4" s="21" t="s">
        <v>733</v>
      </c>
      <c r="E4" s="122"/>
    </row>
    <row r="5">
      <c r="D5" s="21" t="s">
        <v>733</v>
      </c>
    </row>
    <row r="6">
      <c r="D6" s="21" t="s">
        <v>733</v>
      </c>
    </row>
    <row r="7">
      <c r="D7" s="21" t="s">
        <v>733</v>
      </c>
    </row>
    <row r="8">
      <c r="D8" s="21" t="s">
        <v>733</v>
      </c>
    </row>
    <row r="9">
      <c r="D9" s="21" t="s">
        <v>733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-0.002454999998</v>
      </c>
    </row>
    <row r="2">
      <c r="A2" s="21" t="str">
        <f>IFERROR(__xludf.DUMMYFUNCTION("QUERY(Pedidos!A2:E1000, ""SELECT A, D, (E/2) WHERE lower(B) CONTAINS 'charly distri'"",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IFERROR(__xludf.DUMMYFUNCTION("""COMPUTED_VALUE"""),46065.586095694445)</f>
        <v>46065.5861</v>
      </c>
      <c r="B3" s="197">
        <f>IFERROR(__xludf.DUMMYFUNCTION("""COMPUTED_VALUE"""),6534.0)</f>
        <v>6534</v>
      </c>
      <c r="C3" s="21">
        <f>IFERROR(__xludf.DUMMYFUNCTION("""COMPUTED_VALUE"""),800.289)</f>
        <v>800.289</v>
      </c>
      <c r="D3" s="21">
        <v>5733.711</v>
      </c>
      <c r="E3" s="122">
        <v>46098.0</v>
      </c>
      <c r="F3" s="4">
        <v>7000.0</v>
      </c>
    </row>
    <row r="4">
      <c r="A4" s="135">
        <f>IFERROR(__xludf.DUMMYFUNCTION("""COMPUTED_VALUE"""),46093.0)</f>
        <v>46093</v>
      </c>
      <c r="B4" s="197">
        <f>IFERROR(__xludf.DUMMYFUNCTION("""COMPUTED_VALUE"""),890.0)</f>
        <v>890</v>
      </c>
      <c r="C4" s="21">
        <f>IFERROR(__xludf.DUMMYFUNCTION("""COMPUTED_VALUE"""),102.69)</f>
        <v>102.69</v>
      </c>
      <c r="D4" s="21">
        <v>787.31</v>
      </c>
      <c r="E4" s="122">
        <v>46153.0</v>
      </c>
      <c r="F4" s="4">
        <v>5000.0</v>
      </c>
      <c r="J4" s="4" t="s">
        <v>1401</v>
      </c>
    </row>
    <row r="5">
      <c r="A5" s="135">
        <f>IFERROR(__xludf.DUMMYFUNCTION("""COMPUTED_VALUE"""),46097.50213896991)</f>
        <v>46097.50214</v>
      </c>
      <c r="B5" s="197">
        <f>IFERROR(__xludf.DUMMYFUNCTION("""COMPUTED_VALUE"""),6048.0)</f>
        <v>6048</v>
      </c>
      <c r="C5" s="21">
        <f>IFERROR(__xludf.DUMMYFUNCTION("""COMPUTED_VALUE"""),897.4970000000001)</f>
        <v>897.497</v>
      </c>
      <c r="D5" s="21">
        <v>5150.503</v>
      </c>
      <c r="E5" s="122">
        <v>46225.0</v>
      </c>
      <c r="F5" s="4">
        <v>1700.0</v>
      </c>
    </row>
    <row r="6">
      <c r="A6" s="135">
        <f>IFERROR(__xludf.DUMMYFUNCTION("""COMPUTED_VALUE"""),46098.58466619213)</f>
        <v>46098.58467</v>
      </c>
      <c r="B6" s="197">
        <f>IFERROR(__xludf.DUMMYFUNCTION("""COMPUTED_VALUE"""),3922.0)</f>
        <v>3922</v>
      </c>
      <c r="C6" s="21">
        <f>IFERROR(__xludf.DUMMYFUNCTION("""COMPUTED_VALUE"""),448.16157999999996)</f>
        <v>448.16158</v>
      </c>
      <c r="D6" s="21">
        <v>3473.83842</v>
      </c>
      <c r="E6" s="122">
        <v>46228.0</v>
      </c>
      <c r="F6" s="4">
        <v>3620.0</v>
      </c>
      <c r="J6" s="4" t="s">
        <v>1402</v>
      </c>
    </row>
    <row r="7">
      <c r="A7" s="135">
        <f>IFERROR(__xludf.DUMMYFUNCTION("""COMPUTED_VALUE"""),46228.41644241898)</f>
        <v>46228.41644</v>
      </c>
      <c r="B7" s="197">
        <f>IFERROR(__xludf.DUMMYFUNCTION("""COMPUTED_VALUE"""),4055.0)</f>
        <v>4055</v>
      </c>
      <c r="C7" s="21">
        <f>IFERROR(__xludf.DUMMYFUNCTION("""COMPUTED_VALUE"""),434.844875)</f>
        <v>434.844875</v>
      </c>
      <c r="D7" s="21">
        <v>3620.155125</v>
      </c>
      <c r="E7" s="203">
        <v>46280.56985756944</v>
      </c>
      <c r="F7" s="205">
        <v>1445.52</v>
      </c>
      <c r="K7" s="4" t="s">
        <v>1403</v>
      </c>
    </row>
    <row r="8">
      <c r="D8" s="21" t="s">
        <v>733</v>
      </c>
    </row>
    <row r="9">
      <c r="D9" s="21" t="s">
        <v>733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11" max="11" width="70.63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3477</v>
      </c>
      <c r="K1" s="4" t="s">
        <v>1409</v>
      </c>
    </row>
    <row r="2">
      <c r="A2" s="21" t="str">
        <f>IFERROR(__xludf.DUMMYFUNCTION("QUERY(Pedidos!A2:E1000, ""SELECT A, D, (E/0) WHERE lower(B) CONTAINS 'facu lp'"",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IFERROR(__xludf.DUMMYFUNCTION("""COMPUTED_VALUE"""),46066.45211443287)</f>
        <v>46066.45211</v>
      </c>
      <c r="B3" s="197">
        <f>IFERROR(__xludf.DUMMYFUNCTION("""COMPUTED_VALUE"""),700.0)</f>
        <v>700</v>
      </c>
      <c r="C3" s="21"/>
      <c r="D3" s="21">
        <v>700.0</v>
      </c>
      <c r="E3" s="122">
        <v>46066.0</v>
      </c>
      <c r="F3" s="4">
        <v>300.0</v>
      </c>
    </row>
    <row r="4">
      <c r="A4" s="135">
        <f>IFERROR(__xludf.DUMMYFUNCTION("""COMPUTED_VALUE"""),46066.48658791667)</f>
        <v>46066.48659</v>
      </c>
      <c r="B4" s="197">
        <f>IFERROR(__xludf.DUMMYFUNCTION("""COMPUTED_VALUE"""),70.0)</f>
        <v>70</v>
      </c>
      <c r="C4" s="21"/>
      <c r="D4" s="21">
        <v>70.0</v>
      </c>
      <c r="E4" s="122">
        <v>46070.0</v>
      </c>
      <c r="F4" s="4">
        <v>500.0</v>
      </c>
    </row>
    <row r="5">
      <c r="A5" s="135">
        <f>IFERROR(__xludf.DUMMYFUNCTION("""COMPUTED_VALUE"""),46073.563214456015)</f>
        <v>46073.56321</v>
      </c>
      <c r="B5" s="197">
        <f>IFERROR(__xludf.DUMMYFUNCTION("""COMPUTED_VALUE"""),295.0)</f>
        <v>295</v>
      </c>
      <c r="C5" s="21"/>
      <c r="D5" s="21">
        <v>295.0</v>
      </c>
      <c r="E5" s="122">
        <v>46085.0</v>
      </c>
      <c r="F5" s="4">
        <v>300.0</v>
      </c>
      <c r="H5" s="4">
        <v>424500.0</v>
      </c>
      <c r="I5" s="21">
        <f>H5/F5</f>
        <v>1415</v>
      </c>
    </row>
    <row r="6">
      <c r="A6" s="135">
        <f>IFERROR(__xludf.DUMMYFUNCTION("""COMPUTED_VALUE"""),46077.42361723379)</f>
        <v>46077.42362</v>
      </c>
      <c r="B6" s="197">
        <f>IFERROR(__xludf.DUMMYFUNCTION("""COMPUTED_VALUE"""),1750.0)</f>
        <v>1750</v>
      </c>
      <c r="C6" s="21"/>
      <c r="D6" s="21">
        <v>1750.0</v>
      </c>
      <c r="E6" s="122">
        <v>46094.0</v>
      </c>
      <c r="F6" s="4">
        <v>300.0</v>
      </c>
      <c r="K6" s="19" t="s">
        <v>1411</v>
      </c>
    </row>
    <row r="7">
      <c r="A7" s="135"/>
      <c r="B7" s="197">
        <f>IFERROR(__xludf.DUMMYFUNCTION("""COMPUTED_VALUE"""),725.0)</f>
        <v>725</v>
      </c>
      <c r="C7" s="21"/>
      <c r="D7" s="21">
        <v>725.0</v>
      </c>
      <c r="E7" s="122">
        <v>46106.0</v>
      </c>
      <c r="F7" s="4">
        <v>500.0</v>
      </c>
      <c r="H7" s="4">
        <v>702500.0</v>
      </c>
      <c r="I7" s="4">
        <v>1405.0</v>
      </c>
    </row>
    <row r="8">
      <c r="A8" s="135">
        <f>IFERROR(__xludf.DUMMYFUNCTION("""COMPUTED_VALUE"""),46094.39025872685)</f>
        <v>46094.39026</v>
      </c>
      <c r="B8" s="197">
        <f>IFERROR(__xludf.DUMMYFUNCTION("""COMPUTED_VALUE"""),1767.0)</f>
        <v>1767</v>
      </c>
      <c r="C8" s="21"/>
      <c r="D8" s="21">
        <v>1767.0</v>
      </c>
      <c r="E8" s="122">
        <v>46112.0</v>
      </c>
      <c r="F8" s="4">
        <v>500.0</v>
      </c>
      <c r="H8" s="4">
        <v>705000.0</v>
      </c>
      <c r="I8" s="4">
        <v>1415.0</v>
      </c>
    </row>
    <row r="9">
      <c r="A9" s="135">
        <f>IFERROR(__xludf.DUMMYFUNCTION("""COMPUTED_VALUE"""),46094.39536949074)</f>
        <v>46094.39537</v>
      </c>
      <c r="B9" s="197">
        <f>IFERROR(__xludf.DUMMYFUNCTION("""COMPUTED_VALUE"""),200.0)</f>
        <v>200</v>
      </c>
      <c r="C9" s="21"/>
      <c r="D9" s="21">
        <v>200.0</v>
      </c>
      <c r="E9" s="122">
        <v>46133.0</v>
      </c>
      <c r="F9" s="4">
        <v>500.0</v>
      </c>
      <c r="H9" s="4">
        <v>695000.0</v>
      </c>
      <c r="I9" s="4">
        <v>1415.0</v>
      </c>
    </row>
    <row r="10">
      <c r="A10" s="135">
        <f>IFERROR(__xludf.DUMMYFUNCTION("""COMPUTED_VALUE"""),46099.84272181713)</f>
        <v>46099.84272</v>
      </c>
      <c r="B10" s="197">
        <f>IFERROR(__xludf.DUMMYFUNCTION("""COMPUTED_VALUE"""),680.0)</f>
        <v>680</v>
      </c>
      <c r="C10" s="21"/>
      <c r="D10" s="21">
        <v>680.0</v>
      </c>
      <c r="E10" s="122">
        <v>46148.0</v>
      </c>
      <c r="F10" s="4">
        <v>358.0</v>
      </c>
      <c r="H10" s="4">
        <v>500000.0</v>
      </c>
    </row>
    <row r="11">
      <c r="A11" s="135">
        <f>IFERROR(__xludf.DUMMYFUNCTION("""COMPUTED_VALUE"""),46113.3673287963)</f>
        <v>46113.36733</v>
      </c>
      <c r="B11" s="197">
        <f>IFERROR(__xludf.DUMMYFUNCTION("""COMPUTED_VALUE"""),480.0)</f>
        <v>480</v>
      </c>
      <c r="C11" s="21"/>
      <c r="D11" s="21">
        <v>480.0</v>
      </c>
      <c r="E11" s="122">
        <v>46150.0</v>
      </c>
      <c r="F11" s="4">
        <v>321.0</v>
      </c>
      <c r="H11" s="4">
        <v>450000.0</v>
      </c>
    </row>
    <row r="12">
      <c r="A12" s="135">
        <f>IFERROR(__xludf.DUMMYFUNCTION("""COMPUTED_VALUE"""),46142.97240875)</f>
        <v>46142.97241</v>
      </c>
      <c r="B12" s="197">
        <f>IFERROR(__xludf.DUMMYFUNCTION("""COMPUTED_VALUE"""),50.0)</f>
        <v>50</v>
      </c>
      <c r="C12" s="21"/>
      <c r="D12" s="21">
        <v>50.0</v>
      </c>
      <c r="E12" s="122">
        <v>46163.0</v>
      </c>
      <c r="F12" s="4">
        <v>300.0</v>
      </c>
      <c r="H12" s="4">
        <v>465000.0</v>
      </c>
    </row>
    <row r="13">
      <c r="A13" s="135">
        <f>IFERROR(__xludf.DUMMYFUNCTION("""COMPUTED_VALUE"""),46157.53089638888)</f>
        <v>46157.5309</v>
      </c>
      <c r="B13" s="197">
        <f>IFERROR(__xludf.DUMMYFUNCTION("""COMPUTED_VALUE"""),605.0)</f>
        <v>605</v>
      </c>
      <c r="C13" s="21"/>
      <c r="D13" s="21">
        <v>605.0</v>
      </c>
      <c r="E13" s="122">
        <v>46194.0</v>
      </c>
      <c r="F13" s="4">
        <v>400.0</v>
      </c>
      <c r="H13" s="4">
        <v>568000.0</v>
      </c>
    </row>
    <row r="14">
      <c r="A14" s="135">
        <f>IFERROR(__xludf.DUMMYFUNCTION("""COMPUTED_VALUE"""),46161.53586685185)</f>
        <v>46161.53587</v>
      </c>
      <c r="B14" s="197">
        <f>IFERROR(__xludf.DUMMYFUNCTION("""COMPUTED_VALUE"""),240.0)</f>
        <v>240</v>
      </c>
      <c r="C14" s="21"/>
      <c r="D14" s="21">
        <v>240.0</v>
      </c>
    </row>
    <row r="15">
      <c r="A15" s="135">
        <f>IFERROR(__xludf.DUMMYFUNCTION("""COMPUTED_VALUE"""),46184.71363414352)</f>
        <v>46184.71363</v>
      </c>
      <c r="B15" s="197">
        <f>IFERROR(__xludf.DUMMYFUNCTION("""COMPUTED_VALUE"""),194.0)</f>
        <v>194</v>
      </c>
      <c r="C15" s="21"/>
      <c r="D15" s="21">
        <v>194.0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68.65995318</v>
      </c>
    </row>
    <row r="2">
      <c r="A2" s="21" t="str">
        <f>IFERROR(__xludf.DUMMYFUNCTION("QUERY(Pedidos!A2:E1000, ""SELECT A, D, (E/2) WHERE lower(B) CONTAINS 'agus honney'"",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IFERROR(__xludf.DUMMYFUNCTION("""COMPUTED_VALUE"""),46073.35723768519)</f>
        <v>46073.35724</v>
      </c>
      <c r="B3" s="197">
        <f>IFERROR(__xludf.DUMMYFUNCTION("""COMPUTED_VALUE"""),214.0)</f>
        <v>214</v>
      </c>
      <c r="C3" s="21">
        <f>IFERROR(__xludf.DUMMYFUNCTION("""COMPUTED_VALUE"""),34.656000000000006)</f>
        <v>34.656</v>
      </c>
      <c r="D3" s="21">
        <v>179.344</v>
      </c>
      <c r="E3" s="122">
        <v>46077.0</v>
      </c>
      <c r="F3" s="4">
        <v>214.0</v>
      </c>
    </row>
    <row r="4">
      <c r="A4" s="135">
        <f>IFERROR(__xludf.DUMMYFUNCTION("""COMPUTED_VALUE"""),46078.00643018518)</f>
        <v>46078.00643</v>
      </c>
      <c r="B4" s="197">
        <f>IFERROR(__xludf.DUMMYFUNCTION("""COMPUTED_VALUE"""),300.0)</f>
        <v>300</v>
      </c>
      <c r="C4" s="21">
        <f>IFERROR(__xludf.DUMMYFUNCTION("""COMPUTED_VALUE"""),29.805)</f>
        <v>29.805</v>
      </c>
      <c r="D4" s="21">
        <v>270.195</v>
      </c>
      <c r="E4" s="122">
        <v>46078.0</v>
      </c>
      <c r="F4" s="4">
        <v>300.0</v>
      </c>
    </row>
    <row r="5">
      <c r="A5" s="135">
        <f>IFERROR(__xludf.DUMMYFUNCTION("""COMPUTED_VALUE"""),46080.70734325231)</f>
        <v>46080.70734</v>
      </c>
      <c r="B5" s="197">
        <f>IFERROR(__xludf.DUMMYFUNCTION("""COMPUTED_VALUE"""),120.0)</f>
        <v>120</v>
      </c>
      <c r="C5" s="21">
        <f>IFERROR(__xludf.DUMMYFUNCTION("""COMPUTED_VALUE"""),15.418999999999997)</f>
        <v>15.419</v>
      </c>
      <c r="D5" s="21">
        <v>104.581</v>
      </c>
      <c r="E5" s="122">
        <v>46080.0</v>
      </c>
      <c r="F5" s="4">
        <v>120.0</v>
      </c>
    </row>
    <row r="6">
      <c r="A6" s="135">
        <f>IFERROR(__xludf.DUMMYFUNCTION("""COMPUTED_VALUE"""),46083.52029925926)</f>
        <v>46083.5203</v>
      </c>
      <c r="B6" s="197">
        <f>IFERROR(__xludf.DUMMYFUNCTION("""COMPUTED_VALUE"""),102.0)</f>
        <v>102</v>
      </c>
      <c r="C6" s="21">
        <f>IFERROR(__xludf.DUMMYFUNCTION("""COMPUTED_VALUE"""),8.388000000000003)</f>
        <v>8.388</v>
      </c>
      <c r="D6" s="21">
        <v>93.612</v>
      </c>
      <c r="E6" s="226">
        <v>46093.0</v>
      </c>
      <c r="F6" s="4">
        <v>102.0</v>
      </c>
    </row>
    <row r="7">
      <c r="A7" s="135">
        <f>IFERROR(__xludf.DUMMYFUNCTION("""COMPUTED_VALUE"""),46112.6378921412)</f>
        <v>46112.63789</v>
      </c>
      <c r="B7" s="197">
        <f>IFERROR(__xludf.DUMMYFUNCTION("""COMPUTED_VALUE"""),630.0)</f>
        <v>630</v>
      </c>
      <c r="C7" s="21">
        <f>IFERROR(__xludf.DUMMYFUNCTION("""COMPUTED_VALUE"""),72.57500000000002)</f>
        <v>72.575</v>
      </c>
      <c r="D7" s="21">
        <v>557.425</v>
      </c>
      <c r="E7" s="122">
        <v>46112.0</v>
      </c>
      <c r="F7" s="4">
        <v>236.0</v>
      </c>
      <c r="G7" s="4">
        <v>335335.0</v>
      </c>
    </row>
    <row r="8">
      <c r="A8" s="135">
        <f>IFERROR(__xludf.DUMMYFUNCTION("""COMPUTED_VALUE"""),46115.50622765046)</f>
        <v>46115.50623</v>
      </c>
      <c r="B8" s="197">
        <f>IFERROR(__xludf.DUMMYFUNCTION("""COMPUTED_VALUE"""),401.0)</f>
        <v>401</v>
      </c>
      <c r="C8" s="21">
        <f>IFERROR(__xludf.DUMMYFUNCTION("""COMPUTED_VALUE"""),42.432)</f>
        <v>42.432</v>
      </c>
      <c r="D8" s="21">
        <v>358.568</v>
      </c>
      <c r="E8" s="122">
        <v>46112.0</v>
      </c>
      <c r="F8" s="4">
        <v>295.0</v>
      </c>
      <c r="G8" s="4">
        <v>418680.0</v>
      </c>
    </row>
    <row r="9">
      <c r="A9" s="135">
        <f>IFERROR(__xludf.DUMMYFUNCTION("""COMPUTED_VALUE"""),46115.5404390625)</f>
        <v>46115.54044</v>
      </c>
      <c r="B9" s="197">
        <f>IFERROR(__xludf.DUMMYFUNCTION("""COMPUTED_VALUE"""),50.0)</f>
        <v>50</v>
      </c>
      <c r="C9" s="21">
        <f>IFERROR(__xludf.DUMMYFUNCTION("""COMPUTED_VALUE"""),5.329999999999998)</f>
        <v>5.33</v>
      </c>
      <c r="D9" s="21">
        <v>44.67</v>
      </c>
      <c r="E9" s="122">
        <v>46115.0</v>
      </c>
      <c r="F9" s="4">
        <v>341.4</v>
      </c>
      <c r="G9" s="4">
        <v>379667.0</v>
      </c>
    </row>
    <row r="10">
      <c r="A10" s="135">
        <f>IFERROR(__xludf.DUMMYFUNCTION("""COMPUTED_VALUE"""),46122.48950604167)</f>
        <v>46122.48951</v>
      </c>
      <c r="B10" s="197">
        <f>IFERROR(__xludf.DUMMYFUNCTION("""COMPUTED_VALUE"""),220.0)</f>
        <v>220</v>
      </c>
      <c r="C10" s="21">
        <f>IFERROR(__xludf.DUMMYFUNCTION("""COMPUTED_VALUE"""),30.260000000000005)</f>
        <v>30.26</v>
      </c>
      <c r="D10" s="21">
        <v>189.74</v>
      </c>
      <c r="E10" s="122">
        <v>46129.0</v>
      </c>
      <c r="F10" s="4">
        <v>189.74</v>
      </c>
      <c r="G10" s="4">
        <v>268483.0</v>
      </c>
    </row>
    <row r="11">
      <c r="A11" s="135">
        <f>IFERROR(__xludf.DUMMYFUNCTION("""COMPUTED_VALUE"""),46147.36818777778)</f>
        <v>46147.36819</v>
      </c>
      <c r="B11" s="197">
        <f>IFERROR(__xludf.DUMMYFUNCTION("""COMPUTED_VALUE"""),57.0)</f>
        <v>57</v>
      </c>
      <c r="C11" s="21">
        <f>IFERROR(__xludf.DUMMYFUNCTION("""COMPUTED_VALUE"""),10.29)</f>
        <v>10.29</v>
      </c>
      <c r="D11" s="21">
        <v>46.71</v>
      </c>
      <c r="E11" s="122">
        <v>46147.0</v>
      </c>
      <c r="F11" s="4">
        <v>46.71</v>
      </c>
      <c r="G11" s="4">
        <v>65600.0</v>
      </c>
    </row>
    <row r="12">
      <c r="A12" s="135">
        <f>IFERROR(__xludf.DUMMYFUNCTION("""COMPUTED_VALUE"""),46170.44907133102)</f>
        <v>46170.44907</v>
      </c>
      <c r="B12" s="197">
        <f>IFERROR(__xludf.DUMMYFUNCTION("""COMPUTED_VALUE"""),1130.5)</f>
        <v>1130.5</v>
      </c>
      <c r="C12" s="21">
        <f>IFERROR(__xludf.DUMMYFUNCTION("""COMPUTED_VALUE"""),138.913)</f>
        <v>138.913</v>
      </c>
      <c r="D12" s="21">
        <v>991.587</v>
      </c>
      <c r="E12" s="122">
        <v>46170.0</v>
      </c>
      <c r="F12" s="4">
        <v>991.58</v>
      </c>
      <c r="G12" s="4">
        <v>991588.0</v>
      </c>
    </row>
    <row r="13">
      <c r="A13" s="135">
        <f>IFERROR(__xludf.DUMMYFUNCTION("""COMPUTED_VALUE"""),46184.45560317129)</f>
        <v>46184.4556</v>
      </c>
      <c r="B13" s="197">
        <f>IFERROR(__xludf.DUMMYFUNCTION("""COMPUTED_VALUE"""),610.0)</f>
        <v>610</v>
      </c>
      <c r="C13" s="21">
        <f>IFERROR(__xludf.DUMMYFUNCTION("""COMPUTED_VALUE"""),104.67039000000001)</f>
        <v>104.67039</v>
      </c>
      <c r="D13" s="21">
        <v>505.32961</v>
      </c>
      <c r="E13" s="122">
        <v>46174.0</v>
      </c>
      <c r="F13" s="4">
        <v>293.0</v>
      </c>
      <c r="G13" s="4">
        <v>419442.0</v>
      </c>
    </row>
    <row r="14">
      <c r="A14" s="135">
        <f>IFERROR(__xludf.DUMMYFUNCTION("""COMPUTED_VALUE"""),46192.47812678241)</f>
        <v>46192.47813</v>
      </c>
      <c r="B14" s="197">
        <f>IFERROR(__xludf.DUMMYFUNCTION("""COMPUTED_VALUE"""),285.0)</f>
        <v>285</v>
      </c>
      <c r="C14" s="21">
        <f>IFERROR(__xludf.DUMMYFUNCTION("""COMPUTED_VALUE"""),50.260000000000005)</f>
        <v>50.26</v>
      </c>
      <c r="D14" s="21">
        <v>234.74</v>
      </c>
      <c r="E14" s="122">
        <v>46184.0</v>
      </c>
      <c r="F14" s="4">
        <v>110.0</v>
      </c>
      <c r="G14" s="4">
        <v>159500.0</v>
      </c>
    </row>
    <row r="15">
      <c r="A15" s="135">
        <f>IFERROR(__xludf.DUMMYFUNCTION("""COMPUTED_VALUE"""),46196.89307288194)</f>
        <v>46196.89307</v>
      </c>
      <c r="B15" s="197">
        <f>IFERROR(__xludf.DUMMYFUNCTION("""COMPUTED_VALUE"""),332.0)</f>
        <v>332</v>
      </c>
      <c r="C15" s="21">
        <f>IFERROR(__xludf.DUMMYFUNCTION("""COMPUTED_VALUE"""),35.41165681824555)</f>
        <v>35.41165682</v>
      </c>
      <c r="D15" s="21">
        <v>296.58834318175445</v>
      </c>
      <c r="E15" s="122">
        <v>46184.0</v>
      </c>
      <c r="F15" s="4">
        <v>110.0</v>
      </c>
      <c r="G15" s="4">
        <v>159500.0</v>
      </c>
    </row>
    <row r="16">
      <c r="D16" s="21" t="s">
        <v>733</v>
      </c>
      <c r="E16" s="122">
        <v>46192.0</v>
      </c>
      <c r="F16" s="4">
        <v>255.0</v>
      </c>
      <c r="G16" s="4">
        <v>370400.0</v>
      </c>
    </row>
    <row r="17">
      <c r="D17" s="21" t="s">
        <v>733</v>
      </c>
      <c r="E17" s="122">
        <v>46197.0</v>
      </c>
      <c r="F17" s="4">
        <v>200.0</v>
      </c>
      <c r="H17" s="4" t="s">
        <v>1422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2551.5</v>
      </c>
      <c r="K1" s="4" t="s">
        <v>1414</v>
      </c>
    </row>
    <row r="2">
      <c r="A2" s="21" t="str">
        <f>IFERROR(__xludf.DUMMYFUNCTION("QUERY(Pedidos!A2:E1000, ""SELECT A, D, (E/0) WHERE lower(B) CONTAINS 'marshal lean'"",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  <c r="G2" s="4" t="s">
        <v>1415</v>
      </c>
      <c r="H2" s="4" t="s">
        <v>1157</v>
      </c>
    </row>
    <row r="3">
      <c r="A3" s="135">
        <f>IFERROR(__xludf.DUMMYFUNCTION("""COMPUTED_VALUE"""),46066.69084402778)</f>
        <v>46066.69084</v>
      </c>
      <c r="B3" s="197">
        <f>IFERROR(__xludf.DUMMYFUNCTION("""COMPUTED_VALUE"""),1855.0)</f>
        <v>1855</v>
      </c>
      <c r="C3" s="21"/>
      <c r="D3" s="21">
        <v>1855.0</v>
      </c>
      <c r="E3" s="122">
        <v>46098.0</v>
      </c>
      <c r="F3" s="4">
        <v>800.0</v>
      </c>
    </row>
    <row r="4">
      <c r="A4" s="135">
        <f>IFERROR(__xludf.DUMMYFUNCTION("""COMPUTED_VALUE"""),46077.64660891204)</f>
        <v>46077.64661</v>
      </c>
      <c r="B4" s="197">
        <f>IFERROR(__xludf.DUMMYFUNCTION("""COMPUTED_VALUE"""),1410.0)</f>
        <v>1410</v>
      </c>
      <c r="C4" s="21"/>
      <c r="D4" s="21">
        <v>1410.0</v>
      </c>
      <c r="E4" s="122">
        <v>46098.0</v>
      </c>
      <c r="F4" s="4">
        <v>870.0</v>
      </c>
      <c r="G4" s="4">
        <v>1244000.0</v>
      </c>
      <c r="H4" s="4">
        <v>1430.0</v>
      </c>
    </row>
    <row r="5">
      <c r="A5" s="135">
        <f>IFERROR(__xludf.DUMMYFUNCTION("""COMPUTED_VALUE"""),46081.6443337963)</f>
        <v>46081.64433</v>
      </c>
      <c r="B5" s="197">
        <f>IFERROR(__xludf.DUMMYFUNCTION("""COMPUTED_VALUE"""),430.0)</f>
        <v>430</v>
      </c>
      <c r="C5" s="21"/>
      <c r="D5" s="21">
        <v>430.0</v>
      </c>
      <c r="E5" s="122">
        <v>46107.0</v>
      </c>
      <c r="F5" s="4">
        <v>100.0</v>
      </c>
      <c r="K5" s="4" t="s">
        <v>1222</v>
      </c>
    </row>
    <row r="6">
      <c r="A6" s="135">
        <f>IFERROR(__xludf.DUMMYFUNCTION("""COMPUTED_VALUE"""),46098.61810814815)</f>
        <v>46098.61811</v>
      </c>
      <c r="B6" s="197">
        <f>IFERROR(__xludf.DUMMYFUNCTION("""COMPUTED_VALUE"""),1858.0)</f>
        <v>1858</v>
      </c>
      <c r="C6" s="21"/>
      <c r="D6" s="21">
        <v>1858.0</v>
      </c>
      <c r="E6" s="122">
        <v>46108.0</v>
      </c>
      <c r="F6" s="4">
        <v>1100.0</v>
      </c>
      <c r="K6" s="4" t="s">
        <v>1222</v>
      </c>
    </row>
    <row r="7">
      <c r="A7" s="135">
        <f>IFERROR(__xludf.DUMMYFUNCTION("""COMPUTED_VALUE"""),46112.68195954861)</f>
        <v>46112.68196</v>
      </c>
      <c r="B7" s="197">
        <f>IFERROR(__xludf.DUMMYFUNCTION("""COMPUTED_VALUE"""),460.0)</f>
        <v>460</v>
      </c>
      <c r="C7" s="21"/>
      <c r="D7" s="21">
        <v>460.0</v>
      </c>
      <c r="E7" s="122">
        <v>46108.0</v>
      </c>
      <c r="F7" s="4">
        <v>400.0</v>
      </c>
      <c r="G7" s="4">
        <v>566000.0</v>
      </c>
    </row>
    <row r="8">
      <c r="A8" s="135">
        <f>IFERROR(__xludf.DUMMYFUNCTION("""COMPUTED_VALUE"""),46112.68247824074)</f>
        <v>46112.68248</v>
      </c>
      <c r="B8" s="197">
        <f>IFERROR(__xludf.DUMMYFUNCTION("""COMPUTED_VALUE"""),80.0)</f>
        <v>80</v>
      </c>
      <c r="C8" s="21"/>
      <c r="D8" s="21">
        <v>80.0</v>
      </c>
      <c r="E8" s="122">
        <v>46113.0</v>
      </c>
      <c r="F8" s="4">
        <v>500.0</v>
      </c>
      <c r="G8" s="4">
        <v>700000.0</v>
      </c>
    </row>
    <row r="9">
      <c r="A9" s="135">
        <f>IFERROR(__xludf.DUMMYFUNCTION("""COMPUTED_VALUE"""),46113.54717881944)</f>
        <v>46113.54718</v>
      </c>
      <c r="B9" s="197">
        <f>IFERROR(__xludf.DUMMYFUNCTION("""COMPUTED_VALUE"""),1973.0)</f>
        <v>1973</v>
      </c>
      <c r="C9" s="21"/>
      <c r="D9" s="21">
        <v>1973.0</v>
      </c>
      <c r="E9" s="122">
        <v>46113.0</v>
      </c>
      <c r="F9" s="4">
        <v>300.0</v>
      </c>
      <c r="K9" s="4" t="s">
        <v>1222</v>
      </c>
    </row>
    <row r="10">
      <c r="A10" s="135">
        <f>IFERROR(__xludf.DUMMYFUNCTION("""COMPUTED_VALUE"""),46122.72316917824)</f>
        <v>46122.72317</v>
      </c>
      <c r="B10" s="197">
        <f>IFERROR(__xludf.DUMMYFUNCTION("""COMPUTED_VALUE"""),1007.0)</f>
        <v>1007</v>
      </c>
      <c r="C10" s="21"/>
      <c r="D10" s="21">
        <v>1007.0</v>
      </c>
      <c r="E10" s="122">
        <v>46130.0</v>
      </c>
      <c r="F10" s="4">
        <v>700.0</v>
      </c>
      <c r="K10" s="4" t="s">
        <v>1222</v>
      </c>
    </row>
    <row r="11">
      <c r="A11" s="135">
        <f>IFERROR(__xludf.DUMMYFUNCTION("""COMPUTED_VALUE"""),46130.444627777775)</f>
        <v>46130.44463</v>
      </c>
      <c r="B11" s="197">
        <f>IFERROR(__xludf.DUMMYFUNCTION("""COMPUTED_VALUE"""),895.0)</f>
        <v>895</v>
      </c>
      <c r="C11" s="21"/>
      <c r="D11" s="21">
        <v>895.0</v>
      </c>
      <c r="E11" s="122">
        <v>46136.0</v>
      </c>
      <c r="F11" s="4">
        <v>1600.0</v>
      </c>
      <c r="K11" s="4" t="s">
        <v>1222</v>
      </c>
    </row>
    <row r="12">
      <c r="A12" s="135">
        <f>IFERROR(__xludf.DUMMYFUNCTION("""COMPUTED_VALUE"""),46136.974764756946)</f>
        <v>46136.97476</v>
      </c>
      <c r="B12" s="197">
        <f>IFERROR(__xludf.DUMMYFUNCTION("""COMPUTED_VALUE"""),1654.0)</f>
        <v>1654</v>
      </c>
      <c r="C12" s="21"/>
      <c r="D12" s="21">
        <v>1654.0</v>
      </c>
      <c r="E12" s="122">
        <v>46154.0</v>
      </c>
      <c r="F12" s="4">
        <v>1200.0</v>
      </c>
      <c r="K12" s="4" t="s">
        <v>1222</v>
      </c>
    </row>
    <row r="13">
      <c r="A13" s="135">
        <f>IFERROR(__xludf.DUMMYFUNCTION("""COMPUTED_VALUE"""),46146.639216759264)</f>
        <v>46146.63922</v>
      </c>
      <c r="B13" s="197">
        <f>IFERROR(__xludf.DUMMYFUNCTION("""COMPUTED_VALUE"""),760.0)</f>
        <v>760</v>
      </c>
      <c r="C13" s="21"/>
      <c r="D13" s="21">
        <v>760.0</v>
      </c>
      <c r="E13" s="122">
        <v>46164.0</v>
      </c>
      <c r="F13" s="4">
        <v>1600.0</v>
      </c>
      <c r="K13" s="4" t="s">
        <v>1222</v>
      </c>
    </row>
    <row r="14">
      <c r="A14" s="135">
        <f>IFERROR(__xludf.DUMMYFUNCTION("""COMPUTED_VALUE"""),46154.67779767361)</f>
        <v>46154.6778</v>
      </c>
      <c r="B14" s="197">
        <f>IFERROR(__xludf.DUMMYFUNCTION("""COMPUTED_VALUE"""),781.5)</f>
        <v>781.5</v>
      </c>
      <c r="C14" s="21"/>
      <c r="D14" s="21">
        <v>781.5</v>
      </c>
      <c r="E14" s="122">
        <v>46164.0</v>
      </c>
      <c r="F14" s="4">
        <v>20.0</v>
      </c>
    </row>
    <row r="15">
      <c r="A15" s="135">
        <f>IFERROR(__xludf.DUMMYFUNCTION("""COMPUTED_VALUE"""),46164.677052708335)</f>
        <v>46164.67705</v>
      </c>
      <c r="B15" s="197">
        <f>IFERROR(__xludf.DUMMYFUNCTION("""COMPUTED_VALUE"""),2150.0)</f>
        <v>2150</v>
      </c>
      <c r="C15" s="21"/>
      <c r="D15" s="21">
        <v>2150.0</v>
      </c>
      <c r="E15" s="122">
        <v>46183.0</v>
      </c>
      <c r="F15" s="4">
        <v>1220.0</v>
      </c>
      <c r="K15" s="4" t="s">
        <v>1222</v>
      </c>
    </row>
    <row r="16">
      <c r="A16" s="135">
        <f>IFERROR(__xludf.DUMMYFUNCTION("""COMPUTED_VALUE"""),46171.580637060186)</f>
        <v>46171.58064</v>
      </c>
      <c r="B16" s="197">
        <f>IFERROR(__xludf.DUMMYFUNCTION("""COMPUTED_VALUE"""),1184.0)</f>
        <v>1184</v>
      </c>
      <c r="C16" s="21"/>
      <c r="D16" s="21">
        <v>1184.0</v>
      </c>
      <c r="E16" s="122">
        <v>46191.0</v>
      </c>
      <c r="F16" s="4">
        <v>1300.0</v>
      </c>
      <c r="K16" s="4" t="s">
        <v>1285</v>
      </c>
    </row>
    <row r="17">
      <c r="A17" s="135">
        <f>IFERROR(__xludf.DUMMYFUNCTION("""COMPUTED_VALUE"""),46183.99001662037)</f>
        <v>46183.99002</v>
      </c>
      <c r="B17" s="197">
        <f>IFERROR(__xludf.DUMMYFUNCTION("""COMPUTED_VALUE"""),910.0)</f>
        <v>910</v>
      </c>
      <c r="C17" s="21"/>
      <c r="D17" s="21">
        <v>910.0</v>
      </c>
      <c r="E17" s="122">
        <v>46206.0</v>
      </c>
      <c r="F17" s="4">
        <v>263.0</v>
      </c>
      <c r="G17" s="4">
        <v>400000.0</v>
      </c>
    </row>
    <row r="18">
      <c r="A18" s="135">
        <f>IFERROR(__xludf.DUMMYFUNCTION("""COMPUTED_VALUE"""),46191.66817881945)</f>
        <v>46191.66818</v>
      </c>
      <c r="B18" s="197">
        <f>IFERROR(__xludf.DUMMYFUNCTION("""COMPUTED_VALUE"""),410.0)</f>
        <v>410</v>
      </c>
      <c r="C18" s="21"/>
      <c r="D18" s="21">
        <v>410.0</v>
      </c>
      <c r="E18" s="122">
        <v>46207.0</v>
      </c>
      <c r="F18" s="4">
        <v>240.0</v>
      </c>
      <c r="G18" s="4">
        <v>364800.0</v>
      </c>
    </row>
    <row r="19">
      <c r="A19" s="135">
        <f>IFERROR(__xludf.DUMMYFUNCTION("""COMPUTED_VALUE"""),46210.79241748843)</f>
        <v>46210.79242</v>
      </c>
      <c r="B19" s="197">
        <f>IFERROR(__xludf.DUMMYFUNCTION("""COMPUTED_VALUE"""),1225.0)</f>
        <v>1225</v>
      </c>
      <c r="C19" s="21"/>
      <c r="D19" s="21">
        <v>1225.0</v>
      </c>
      <c r="E19" s="122">
        <v>46208.0</v>
      </c>
      <c r="F19" s="4">
        <v>345.0</v>
      </c>
      <c r="G19" s="4">
        <v>520950.0</v>
      </c>
    </row>
    <row r="20">
      <c r="A20" s="135">
        <f>IFERROR(__xludf.DUMMYFUNCTION("""COMPUTED_VALUE"""),46210.79332670139)</f>
        <v>46210.79333</v>
      </c>
      <c r="B20" s="197">
        <f>IFERROR(__xludf.DUMMYFUNCTION("""COMPUTED_VALUE"""),222.0)</f>
        <v>222</v>
      </c>
      <c r="C20" s="21"/>
      <c r="D20" s="21">
        <v>222.0</v>
      </c>
      <c r="E20" s="122">
        <v>46216.0</v>
      </c>
      <c r="F20" s="4">
        <v>240.0</v>
      </c>
      <c r="G20" s="4">
        <v>366000.0</v>
      </c>
    </row>
    <row r="21">
      <c r="A21" s="135">
        <f>IFERROR(__xludf.DUMMYFUNCTION("""COMPUTED_VALUE"""),46224.493222303245)</f>
        <v>46224.49322</v>
      </c>
      <c r="B21" s="197">
        <f>IFERROR(__xludf.DUMMYFUNCTION("""COMPUTED_VALUE"""),755.0)</f>
        <v>755</v>
      </c>
      <c r="C21" s="21"/>
      <c r="D21" s="21">
        <v>755.0</v>
      </c>
      <c r="E21" s="122">
        <v>46219.0</v>
      </c>
      <c r="F21" s="4">
        <v>3170.0</v>
      </c>
      <c r="K21" s="4" t="s">
        <v>1222</v>
      </c>
    </row>
    <row r="22">
      <c r="D22" s="21" t="s">
        <v>733</v>
      </c>
      <c r="E22" s="122">
        <v>46219.0</v>
      </c>
      <c r="F22" s="4">
        <v>830.0</v>
      </c>
      <c r="G22" s="4">
        <v>1265750.0</v>
      </c>
    </row>
    <row r="23">
      <c r="D23" s="21" t="s">
        <v>733</v>
      </c>
      <c r="E23" s="122">
        <v>46237.0</v>
      </c>
      <c r="F23" s="4">
        <v>60.0</v>
      </c>
    </row>
    <row r="24">
      <c r="D24" s="21" t="s">
        <v>733</v>
      </c>
      <c r="E24" s="122">
        <v>46239.0</v>
      </c>
      <c r="F24" s="4">
        <v>300.0</v>
      </c>
      <c r="G24" s="4">
        <v>462000.0</v>
      </c>
      <c r="K24" s="4" t="s">
        <v>1416</v>
      </c>
    </row>
    <row r="25">
      <c r="D25" s="21" t="s">
        <v>733</v>
      </c>
      <c r="E25" s="122">
        <v>46261.0</v>
      </c>
      <c r="F25" s="4">
        <v>10.0</v>
      </c>
    </row>
    <row r="26">
      <c r="D26" s="21" t="s">
        <v>733</v>
      </c>
      <c r="E26" s="122">
        <v>46261.0</v>
      </c>
      <c r="F26" s="4">
        <v>110.0</v>
      </c>
      <c r="K26" s="4" t="s">
        <v>1417</v>
      </c>
    </row>
    <row r="27">
      <c r="D27" s="21" t="s">
        <v>733</v>
      </c>
      <c r="E27" s="122">
        <v>46287.0</v>
      </c>
      <c r="F27" s="4">
        <v>190.0</v>
      </c>
      <c r="K27" s="4" t="s">
        <v>1418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482</v>
      </c>
    </row>
    <row r="2">
      <c r="A2" s="21" t="str">
        <f>IFERROR(__xludf.DUMMYFUNCTION("QUERY(Pedidos!A2:E1000, ""SELECT A, D, (E/0) WHERE lower(B) CONTAINS 'ale ong'"",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IFERROR(__xludf.DUMMYFUNCTION("""COMPUTED_VALUE"""),46085.38190596065)</f>
        <v>46085.38191</v>
      </c>
      <c r="B3" s="197">
        <f>IFERROR(__xludf.DUMMYFUNCTION("""COMPUTED_VALUE"""),1309.0)</f>
        <v>1309</v>
      </c>
      <c r="C3" s="21"/>
      <c r="D3" s="21">
        <v>1309.0</v>
      </c>
      <c r="E3" s="122">
        <v>46097.0</v>
      </c>
      <c r="F3" s="4">
        <v>842.0</v>
      </c>
      <c r="H3" s="4">
        <v>1200000.0</v>
      </c>
      <c r="I3" s="4">
        <v>1425.0</v>
      </c>
    </row>
    <row r="4">
      <c r="A4" s="135">
        <f>IFERROR(__xludf.DUMMYFUNCTION("""COMPUTED_VALUE"""),46085.387696423604)</f>
        <v>46085.3877</v>
      </c>
      <c r="B4" s="197">
        <f>IFERROR(__xludf.DUMMYFUNCTION("""COMPUTED_VALUE"""),37.0)</f>
        <v>37</v>
      </c>
      <c r="C4" s="21"/>
      <c r="D4" s="21">
        <v>37.0</v>
      </c>
      <c r="E4" s="122">
        <v>46099.0</v>
      </c>
      <c r="F4" s="4">
        <v>524.0</v>
      </c>
      <c r="H4" s="4">
        <v>752400.0</v>
      </c>
      <c r="I4" s="4">
        <v>1425.0</v>
      </c>
    </row>
    <row r="5">
      <c r="A5" s="135">
        <f>IFERROR(__xludf.DUMMYFUNCTION("""COMPUTED_VALUE"""),46124.94814658565)</f>
        <v>46124.94815</v>
      </c>
      <c r="B5" s="197">
        <f>IFERROR(__xludf.DUMMYFUNCTION("""COMPUTED_VALUE"""),1080.0)</f>
        <v>1080</v>
      </c>
      <c r="C5" s="21"/>
      <c r="D5" s="21">
        <v>1080.0</v>
      </c>
      <c r="E5" s="122">
        <v>46123.0</v>
      </c>
      <c r="F5" s="4">
        <v>251.0</v>
      </c>
      <c r="H5" s="4">
        <v>350000.0</v>
      </c>
      <c r="I5" s="4">
        <v>1390.0</v>
      </c>
    </row>
    <row r="6">
      <c r="A6" s="135">
        <f>IFERROR(__xludf.DUMMYFUNCTION("""COMPUTED_VALUE"""),46134.540712013884)</f>
        <v>46134.54071</v>
      </c>
      <c r="B6" s="197">
        <f>IFERROR(__xludf.DUMMYFUNCTION("""COMPUTED_VALUE"""),550.0)</f>
        <v>550</v>
      </c>
      <c r="C6" s="21"/>
      <c r="D6" s="21">
        <v>550.0</v>
      </c>
      <c r="E6" s="122">
        <v>46123.0</v>
      </c>
      <c r="F6" s="4">
        <v>302.0</v>
      </c>
      <c r="H6" s="4">
        <v>420000.0</v>
      </c>
      <c r="I6" s="4">
        <v>1390.0</v>
      </c>
    </row>
    <row r="7">
      <c r="A7" s="135">
        <f>IFERROR(__xludf.DUMMYFUNCTION("""COMPUTED_VALUE"""),46239.8355009838)</f>
        <v>46239.8355</v>
      </c>
      <c r="B7" s="197">
        <f>IFERROR(__xludf.DUMMYFUNCTION("""COMPUTED_VALUE"""),482.0)</f>
        <v>482</v>
      </c>
      <c r="C7" s="21"/>
      <c r="D7" s="21">
        <v>482.0</v>
      </c>
      <c r="E7" s="122">
        <v>46146.0</v>
      </c>
      <c r="F7" s="4">
        <v>1057.0</v>
      </c>
      <c r="H7" s="4">
        <v>1485085.0</v>
      </c>
      <c r="I7" s="4">
        <v>1390.0</v>
      </c>
    </row>
    <row r="8">
      <c r="D8" s="21" t="s">
        <v>733</v>
      </c>
    </row>
    <row r="9">
      <c r="D9" s="21" t="s">
        <v>733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2083.026612</v>
      </c>
    </row>
    <row r="2">
      <c r="A2" s="21" t="str">
        <f>IFERROR(__xludf.DUMMYFUNCTION("QUERY(Pedidos!A2:E1000, ""SELECT A, D, (E/2) WHERE lower(B) CONTAINS 'coco salta'"",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  <c r="H2" s="4" t="s">
        <v>1157</v>
      </c>
    </row>
    <row r="3">
      <c r="A3" s="135">
        <f>IFERROR(__xludf.DUMMYFUNCTION("""COMPUTED_VALUE"""),46065.572970092595)</f>
        <v>46065.57297</v>
      </c>
      <c r="B3" s="197">
        <f>IFERROR(__xludf.DUMMYFUNCTION("""COMPUTED_VALUE"""),440.0)</f>
        <v>440</v>
      </c>
      <c r="C3" s="21">
        <f>IFERROR(__xludf.DUMMYFUNCTION("""COMPUTED_VALUE"""),52.58399999999999)</f>
        <v>52.584</v>
      </c>
      <c r="D3" s="21">
        <v>387.416</v>
      </c>
      <c r="E3" s="122">
        <v>46121.0</v>
      </c>
      <c r="F3" s="4">
        <v>500.0</v>
      </c>
      <c r="G3" s="4">
        <v>710000.0</v>
      </c>
      <c r="H3" s="21">
        <f>G3/F3</f>
        <v>1420</v>
      </c>
    </row>
    <row r="4">
      <c r="A4" s="135">
        <f>IFERROR(__xludf.DUMMYFUNCTION("""COMPUTED_VALUE"""),46094.39509277778)</f>
        <v>46094.39509</v>
      </c>
      <c r="B4" s="197">
        <f>IFERROR(__xludf.DUMMYFUNCTION("""COMPUTED_VALUE"""),2868.0)</f>
        <v>2868</v>
      </c>
      <c r="C4" s="21">
        <f>IFERROR(__xludf.DUMMYFUNCTION("""COMPUTED_VALUE"""),402.93408756199864)</f>
        <v>402.9340876</v>
      </c>
      <c r="D4" s="21">
        <v>2465.0659124380013</v>
      </c>
      <c r="E4" s="122">
        <v>46122.0</v>
      </c>
      <c r="F4" s="4">
        <v>400.0</v>
      </c>
      <c r="G4" s="4">
        <v>568000.0</v>
      </c>
      <c r="H4" s="4">
        <v>1420.0</v>
      </c>
    </row>
    <row r="5">
      <c r="A5" s="135">
        <f>IFERROR(__xludf.DUMMYFUNCTION("""COMPUTED_VALUE"""),46099.63228344907)</f>
        <v>46099.63228</v>
      </c>
      <c r="B5" s="197">
        <f>IFERROR(__xludf.DUMMYFUNCTION("""COMPUTED_VALUE"""),920.0)</f>
        <v>920</v>
      </c>
      <c r="C5" s="21">
        <f>IFERROR(__xludf.DUMMYFUNCTION("""COMPUTED_VALUE"""),112.43128999999998)</f>
        <v>112.43129</v>
      </c>
      <c r="D5" s="21">
        <v>807.56871</v>
      </c>
      <c r="E5" s="122">
        <v>46150.0</v>
      </c>
      <c r="F5" s="4">
        <v>400.0</v>
      </c>
    </row>
    <row r="6">
      <c r="A6" s="135">
        <f>IFERROR(__xludf.DUMMYFUNCTION("""COMPUTED_VALUE"""),46100.455824467586)</f>
        <v>46100.45582</v>
      </c>
      <c r="B6" s="197">
        <f>IFERROR(__xludf.DUMMYFUNCTION("""COMPUTED_VALUE"""),75.0)</f>
        <v>75</v>
      </c>
      <c r="C6" s="21">
        <f>IFERROR(__xludf.DUMMYFUNCTION("""COMPUTED_VALUE"""),8.527000000000001)</f>
        <v>8.527</v>
      </c>
      <c r="D6" s="21">
        <v>66.473</v>
      </c>
      <c r="E6" s="122">
        <v>46154.0</v>
      </c>
      <c r="F6" s="4">
        <v>1800.0</v>
      </c>
    </row>
    <row r="7">
      <c r="A7" s="135">
        <f>IFERROR(__xludf.DUMMYFUNCTION("""COMPUTED_VALUE"""),46210.69943743056)</f>
        <v>46210.69944</v>
      </c>
      <c r="B7" s="197">
        <f>IFERROR(__xludf.DUMMYFUNCTION("""COMPUTED_VALUE"""),2016.0)</f>
        <v>2016</v>
      </c>
      <c r="C7" s="21">
        <f>IFERROR(__xludf.DUMMYFUNCTION("""COMPUTED_VALUE"""),228.429)</f>
        <v>228.429</v>
      </c>
      <c r="D7" s="21">
        <v>1787.571</v>
      </c>
      <c r="E7" s="122">
        <v>46213.0</v>
      </c>
      <c r="F7" s="4">
        <v>1200.0</v>
      </c>
      <c r="J7" s="4" t="s">
        <v>1425</v>
      </c>
    </row>
    <row r="8">
      <c r="A8" s="135">
        <f>IFERROR(__xludf.DUMMYFUNCTION("""COMPUTED_VALUE"""),46210.70009377315)</f>
        <v>46210.70009</v>
      </c>
      <c r="B8" s="197">
        <f>IFERROR(__xludf.DUMMYFUNCTION("""COMPUTED_VALUE"""),30.0)</f>
        <v>30</v>
      </c>
      <c r="C8" s="21">
        <f>IFERROR(__xludf.DUMMYFUNCTION("""COMPUTED_VALUE"""),6.324999999999999)</f>
        <v>6.325</v>
      </c>
      <c r="D8" s="21">
        <v>23.675</v>
      </c>
      <c r="E8" s="122">
        <v>46279.0</v>
      </c>
      <c r="F8" s="4">
        <v>1900.0</v>
      </c>
      <c r="J8" s="4" t="s">
        <v>1426</v>
      </c>
    </row>
    <row r="9">
      <c r="A9" s="135">
        <f>IFERROR(__xludf.DUMMYFUNCTION("""COMPUTED_VALUE"""),46210.71191604167)</f>
        <v>46210.71192</v>
      </c>
      <c r="B9" s="197">
        <f>IFERROR(__xludf.DUMMYFUNCTION("""COMPUTED_VALUE"""),170.0)</f>
        <v>170</v>
      </c>
      <c r="C9" s="21">
        <f>IFERROR(__xludf.DUMMYFUNCTION("""COMPUTED_VALUE"""),32.19)</f>
        <v>32.19</v>
      </c>
      <c r="D9" s="21">
        <v>137.81</v>
      </c>
      <c r="E9" s="228">
        <v>46280.0</v>
      </c>
      <c r="F9" s="229">
        <v>-843.42</v>
      </c>
      <c r="G9" s="230"/>
      <c r="H9" s="230"/>
      <c r="I9" s="230"/>
      <c r="J9" s="229" t="s">
        <v>1427</v>
      </c>
      <c r="K9" s="230"/>
      <c r="L9" s="230"/>
    </row>
    <row r="10">
      <c r="A10" s="135">
        <f>IFERROR(__xludf.DUMMYFUNCTION("""COMPUTED_VALUE"""),46283.81863849537)</f>
        <v>46283.81864</v>
      </c>
      <c r="B10" s="197">
        <f>IFERROR(__xludf.DUMMYFUNCTION("""COMPUTED_VALUE"""),2012.0)</f>
        <v>2012</v>
      </c>
      <c r="C10" s="21">
        <f>IFERROR(__xludf.DUMMYFUNCTION("""COMPUTED_VALUE"""),247.97300999999996)</f>
        <v>247.97301</v>
      </c>
      <c r="D10" s="21">
        <v>1764.02699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1428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733</v>
      </c>
    </row>
    <row r="2">
      <c r="A2" s="21" t="str">
        <f>IFERROR(__xludf.DUMMYFUNCTION("QUERY(Pedidos!A2:E1000, ""SELECT A, D, (E/0) WHERE lower(B) CONTAINS 'nahu la comarca'"",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IFERROR(__xludf.DUMMYFUNCTION("""COMPUTED_VALUE"""),46080.84406765046)</f>
        <v>46080.84407</v>
      </c>
      <c r="B3" s="197">
        <f>IFERROR(__xludf.DUMMYFUNCTION("""COMPUTED_VALUE"""),1270.0)</f>
        <v>1270</v>
      </c>
      <c r="C3" s="21"/>
      <c r="D3" s="21">
        <v>1270.0</v>
      </c>
      <c r="E3" s="122">
        <v>46086.0</v>
      </c>
      <c r="F3" s="4">
        <v>500.0</v>
      </c>
      <c r="J3" s="4" t="s">
        <v>1429</v>
      </c>
    </row>
    <row r="4">
      <c r="A4" s="135">
        <f>IFERROR(__xludf.DUMMYFUNCTION("""COMPUTED_VALUE"""),46080.84743357639)</f>
        <v>46080.84743</v>
      </c>
      <c r="B4" s="197">
        <f>IFERROR(__xludf.DUMMYFUNCTION("""COMPUTED_VALUE"""),172.0)</f>
        <v>172</v>
      </c>
      <c r="C4" s="21"/>
      <c r="D4" s="21">
        <v>172.0</v>
      </c>
      <c r="E4" s="122">
        <v>46114.0</v>
      </c>
      <c r="F4" s="4">
        <v>1000.0</v>
      </c>
      <c r="J4" s="4" t="s">
        <v>1430</v>
      </c>
    </row>
    <row r="5">
      <c r="A5" s="135">
        <f>IFERROR(__xludf.DUMMYFUNCTION("""COMPUTED_VALUE"""),46085.85309575232)</f>
        <v>46085.8531</v>
      </c>
      <c r="B5" s="197">
        <f>IFERROR(__xludf.DUMMYFUNCTION("""COMPUTED_VALUE"""),628.0)</f>
        <v>628</v>
      </c>
      <c r="C5" s="21"/>
      <c r="D5" s="21">
        <v>628.0</v>
      </c>
      <c r="E5" s="122">
        <v>46114.0</v>
      </c>
      <c r="F5" s="4">
        <v>342.0</v>
      </c>
      <c r="J5" s="4" t="s">
        <v>1430</v>
      </c>
    </row>
    <row r="6">
      <c r="A6" s="135">
        <f>IFERROR(__xludf.DUMMYFUNCTION("""COMPUTED_VALUE"""),46114.68181039352)</f>
        <v>46114.68181</v>
      </c>
      <c r="B6" s="197">
        <f>IFERROR(__xludf.DUMMYFUNCTION("""COMPUTED_VALUE"""),1040.0)</f>
        <v>1040</v>
      </c>
      <c r="C6" s="21"/>
      <c r="D6" s="21">
        <v>1040.0</v>
      </c>
      <c r="E6" s="122">
        <v>46163.0</v>
      </c>
      <c r="F6" s="4">
        <v>1000.0</v>
      </c>
      <c r="J6" s="4" t="s">
        <v>1430</v>
      </c>
    </row>
    <row r="7">
      <c r="A7" s="135">
        <f>IFERROR(__xludf.DUMMYFUNCTION("""COMPUTED_VALUE"""),46114.683501793974)</f>
        <v>46114.6835</v>
      </c>
      <c r="B7" s="197">
        <f>IFERROR(__xludf.DUMMYFUNCTION("""COMPUTED_VALUE"""),28.0)</f>
        <v>28</v>
      </c>
      <c r="C7" s="21"/>
      <c r="D7" s="21">
        <v>28.0</v>
      </c>
      <c r="E7" s="122">
        <v>46185.0</v>
      </c>
      <c r="F7" s="4">
        <v>1000.0</v>
      </c>
      <c r="J7" s="4" t="s">
        <v>1431</v>
      </c>
    </row>
    <row r="8">
      <c r="A8" s="135">
        <f>IFERROR(__xludf.DUMMYFUNCTION("""COMPUTED_VALUE"""),46163.50088971065)</f>
        <v>46163.50089</v>
      </c>
      <c r="B8" s="197">
        <f>IFERROR(__xludf.DUMMYFUNCTION("""COMPUTED_VALUE"""),3001.0)</f>
        <v>3001</v>
      </c>
      <c r="C8" s="21"/>
      <c r="D8" s="21">
        <v>3001.0</v>
      </c>
      <c r="E8" s="122">
        <v>46185.0</v>
      </c>
      <c r="F8" s="4">
        <v>166.0</v>
      </c>
      <c r="J8" s="4" t="s">
        <v>1431</v>
      </c>
    </row>
    <row r="9">
      <c r="A9" s="135">
        <f>IFERROR(__xludf.DUMMYFUNCTION("""COMPUTED_VALUE"""),46216.47186788195)</f>
        <v>46216.47187</v>
      </c>
      <c r="B9" s="197">
        <f>IFERROR(__xludf.DUMMYFUNCTION("""COMPUTED_VALUE"""),400.0)</f>
        <v>400</v>
      </c>
      <c r="C9" s="21"/>
      <c r="D9" s="21">
        <v>400.0</v>
      </c>
      <c r="E9" s="122">
        <v>46185.0</v>
      </c>
      <c r="F9" s="4">
        <v>190.0</v>
      </c>
      <c r="J9" s="4" t="s">
        <v>1432</v>
      </c>
    </row>
    <row r="10">
      <c r="D10" s="21" t="s">
        <v>733</v>
      </c>
      <c r="E10" s="122">
        <v>46216.0</v>
      </c>
      <c r="F10" s="4">
        <v>160.0</v>
      </c>
    </row>
    <row r="11">
      <c r="D11" s="21" t="s">
        <v>733</v>
      </c>
      <c r="E11" s="122">
        <v>46216.0</v>
      </c>
      <c r="F11" s="4">
        <v>500.0</v>
      </c>
      <c r="J11" s="4" t="s">
        <v>1433</v>
      </c>
    </row>
    <row r="12">
      <c r="D12" s="21" t="s">
        <v>733</v>
      </c>
      <c r="E12" s="122">
        <v>46253.0</v>
      </c>
      <c r="F12" s="4">
        <v>948.0</v>
      </c>
      <c r="J12" s="4" t="s">
        <v>1285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  <c r="E55" s="4">
        <v>4.0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9" t="s">
        <v>1176</v>
      </c>
      <c r="I1" s="61">
        <f>SUM(D2:D1000) - SUM(F2:F1000)</f>
        <v>1315</v>
      </c>
    </row>
    <row r="2">
      <c r="A2" s="21" t="str">
        <f>IFERROR(__xludf.DUMMYFUNCTION("QUERY(Pedidos!A2:E1000, ""SELECT A, D, (E/0) WHERE lower(B) CONTAINS 'leloir ong'"",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  <c r="H2" s="12"/>
    </row>
    <row r="3">
      <c r="A3" s="135">
        <f>IFERROR(__xludf.DUMMYFUNCTION("""COMPUTED_VALUE"""),46065.55909001157)</f>
        <v>46065.55909</v>
      </c>
      <c r="B3" s="197">
        <f>IFERROR(__xludf.DUMMYFUNCTION("""COMPUTED_VALUE"""),1315.0)</f>
        <v>1315</v>
      </c>
      <c r="C3" s="21"/>
      <c r="D3" s="21">
        <v>1315.0</v>
      </c>
      <c r="E3" s="122">
        <v>46085.0</v>
      </c>
      <c r="F3" s="4">
        <v>480.0</v>
      </c>
      <c r="H3" s="7">
        <v>732720.0</v>
      </c>
      <c r="I3" s="12">
        <f t="shared" ref="I3:I4" si="1">H3/F3</f>
        <v>1526.5</v>
      </c>
    </row>
    <row r="4">
      <c r="A4" s="135">
        <f>IFERROR(__xludf.DUMMYFUNCTION("""COMPUTED_VALUE"""),46080.81749991898)</f>
        <v>46080.8175</v>
      </c>
      <c r="B4" s="197">
        <f>IFERROR(__xludf.DUMMYFUNCTION("""COMPUTED_VALUE"""),450.0)</f>
        <v>450</v>
      </c>
      <c r="C4" s="21"/>
      <c r="D4" s="21">
        <v>450.0</v>
      </c>
      <c r="E4" s="122">
        <v>46132.0</v>
      </c>
      <c r="F4" s="4">
        <v>390.0</v>
      </c>
      <c r="H4" s="7">
        <v>552000.0</v>
      </c>
      <c r="I4" s="12">
        <f t="shared" si="1"/>
        <v>1415.384615</v>
      </c>
    </row>
    <row r="5">
      <c r="A5" s="135">
        <f>IFERROR(__xludf.DUMMYFUNCTION("""COMPUTED_VALUE"""),46084.519517002314)</f>
        <v>46084.51952</v>
      </c>
      <c r="B5" s="197">
        <f>IFERROR(__xludf.DUMMYFUNCTION("""COMPUTED_VALUE"""),30.0)</f>
        <v>30</v>
      </c>
      <c r="C5" s="21"/>
      <c r="D5" s="21">
        <v>30.0</v>
      </c>
      <c r="E5" s="122">
        <v>46263.0</v>
      </c>
      <c r="F5" s="4">
        <v>1100.0</v>
      </c>
      <c r="G5" s="4">
        <v>1710300.0</v>
      </c>
      <c r="H5" s="7" t="s">
        <v>1434</v>
      </c>
      <c r="I5" s="4" t="s">
        <v>1435</v>
      </c>
    </row>
    <row r="6">
      <c r="A6" s="135">
        <f>IFERROR(__xludf.DUMMYFUNCTION("""COMPUTED_VALUE"""),46127.448699155095)</f>
        <v>46127.4487</v>
      </c>
      <c r="B6" s="197">
        <f>IFERROR(__xludf.DUMMYFUNCTION("""COMPUTED_VALUE"""),390.0)</f>
        <v>390</v>
      </c>
      <c r="C6" s="21"/>
      <c r="D6" s="21">
        <v>390.0</v>
      </c>
      <c r="H6" s="12"/>
    </row>
    <row r="7">
      <c r="A7" s="135">
        <f>IFERROR(__xludf.DUMMYFUNCTION("""COMPUTED_VALUE"""),46263.39644988426)</f>
        <v>46263.39645</v>
      </c>
      <c r="B7" s="197">
        <f>IFERROR(__xludf.DUMMYFUNCTION("""COMPUTED_VALUE"""),1060.0)</f>
        <v>1060</v>
      </c>
      <c r="C7" s="21"/>
      <c r="D7" s="21">
        <v>1060.0</v>
      </c>
      <c r="H7" s="12"/>
    </row>
    <row r="8">
      <c r="A8" s="135">
        <f>IFERROR(__xludf.DUMMYFUNCTION("""COMPUTED_VALUE"""),46263.403012222225)</f>
        <v>46263.40301</v>
      </c>
      <c r="B8" s="197">
        <f>IFERROR(__xludf.DUMMYFUNCTION("""COMPUTED_VALUE"""),40.0)</f>
        <v>40</v>
      </c>
      <c r="C8" s="21"/>
      <c r="D8" s="21">
        <v>40.0</v>
      </c>
      <c r="H8" s="12"/>
    </row>
    <row r="9">
      <c r="D9" s="21" t="s">
        <v>733</v>
      </c>
      <c r="H9" s="12"/>
    </row>
    <row r="10">
      <c r="D10" s="21" t="s">
        <v>733</v>
      </c>
      <c r="H10" s="12"/>
    </row>
    <row r="11">
      <c r="D11" s="21" t="s">
        <v>733</v>
      </c>
      <c r="H11" s="12"/>
    </row>
    <row r="12">
      <c r="D12" s="21" t="s">
        <v>733</v>
      </c>
      <c r="H12" s="12"/>
    </row>
    <row r="13">
      <c r="D13" s="21" t="s">
        <v>733</v>
      </c>
      <c r="H13" s="12"/>
    </row>
    <row r="14">
      <c r="D14" s="21" t="s">
        <v>733</v>
      </c>
      <c r="H14" s="12"/>
    </row>
    <row r="15">
      <c r="D15" s="21" t="s">
        <v>733</v>
      </c>
      <c r="H15" s="12"/>
    </row>
    <row r="16">
      <c r="D16" s="21" t="s">
        <v>733</v>
      </c>
      <c r="H16" s="12"/>
    </row>
    <row r="17">
      <c r="D17" s="21" t="s">
        <v>733</v>
      </c>
      <c r="H17" s="12"/>
    </row>
    <row r="18">
      <c r="D18" s="21" t="s">
        <v>733</v>
      </c>
      <c r="H18" s="12"/>
    </row>
    <row r="19">
      <c r="D19" s="21" t="s">
        <v>733</v>
      </c>
      <c r="H19" s="12"/>
    </row>
    <row r="20">
      <c r="D20" s="21" t="s">
        <v>733</v>
      </c>
      <c r="H20" s="12"/>
    </row>
    <row r="21">
      <c r="D21" s="21" t="s">
        <v>733</v>
      </c>
      <c r="H21" s="12"/>
    </row>
    <row r="22">
      <c r="D22" s="21" t="s">
        <v>733</v>
      </c>
      <c r="H22" s="12"/>
    </row>
    <row r="23">
      <c r="D23" s="21" t="s">
        <v>733</v>
      </c>
      <c r="H23" s="12"/>
    </row>
    <row r="24">
      <c r="D24" s="21" t="s">
        <v>733</v>
      </c>
      <c r="H24" s="12"/>
    </row>
    <row r="25">
      <c r="D25" s="21" t="s">
        <v>733</v>
      </c>
      <c r="H25" s="12"/>
    </row>
    <row r="26">
      <c r="D26" s="21" t="s">
        <v>733</v>
      </c>
      <c r="H26" s="12"/>
    </row>
    <row r="27">
      <c r="D27" s="21" t="s">
        <v>733</v>
      </c>
      <c r="H27" s="12"/>
    </row>
    <row r="28">
      <c r="D28" s="21" t="s">
        <v>733</v>
      </c>
      <c r="H28" s="12"/>
    </row>
    <row r="29">
      <c r="D29" s="21" t="s">
        <v>733</v>
      </c>
      <c r="H29" s="12"/>
    </row>
    <row r="30">
      <c r="D30" s="21" t="s">
        <v>733</v>
      </c>
      <c r="H30" s="12"/>
    </row>
    <row r="31">
      <c r="D31" s="21" t="s">
        <v>733</v>
      </c>
      <c r="H31" s="12"/>
    </row>
    <row r="32">
      <c r="D32" s="21" t="s">
        <v>733</v>
      </c>
      <c r="H32" s="12"/>
    </row>
    <row r="33">
      <c r="D33" s="21" t="s">
        <v>733</v>
      </c>
      <c r="H33" s="12"/>
    </row>
    <row r="34">
      <c r="D34" s="21" t="s">
        <v>733</v>
      </c>
      <c r="H34" s="12"/>
    </row>
    <row r="35">
      <c r="D35" s="21" t="s">
        <v>733</v>
      </c>
      <c r="H35" s="12"/>
    </row>
    <row r="36">
      <c r="D36" s="21" t="s">
        <v>733</v>
      </c>
      <c r="H36" s="12"/>
    </row>
    <row r="37">
      <c r="D37" s="21" t="s">
        <v>733</v>
      </c>
      <c r="H37" s="12"/>
    </row>
    <row r="38">
      <c r="D38" s="21" t="s">
        <v>733</v>
      </c>
      <c r="H38" s="12"/>
    </row>
    <row r="39">
      <c r="D39" s="21" t="s">
        <v>733</v>
      </c>
      <c r="H39" s="12"/>
    </row>
    <row r="40">
      <c r="D40" s="21" t="s">
        <v>733</v>
      </c>
      <c r="H40" s="12"/>
    </row>
    <row r="41">
      <c r="D41" s="21" t="s">
        <v>733</v>
      </c>
      <c r="H41" s="12"/>
    </row>
    <row r="42">
      <c r="D42" s="21" t="s">
        <v>733</v>
      </c>
      <c r="H42" s="12"/>
    </row>
    <row r="43">
      <c r="D43" s="21" t="s">
        <v>733</v>
      </c>
      <c r="H43" s="12"/>
    </row>
    <row r="44">
      <c r="D44" s="21" t="s">
        <v>733</v>
      </c>
      <c r="H44" s="12"/>
    </row>
    <row r="45">
      <c r="D45" s="21" t="s">
        <v>733</v>
      </c>
      <c r="H45" s="12"/>
    </row>
    <row r="46">
      <c r="D46" s="21" t="s">
        <v>733</v>
      </c>
      <c r="H46" s="12"/>
    </row>
    <row r="47">
      <c r="D47" s="21" t="s">
        <v>733</v>
      </c>
      <c r="H47" s="12"/>
    </row>
    <row r="48">
      <c r="D48" s="21" t="s">
        <v>733</v>
      </c>
      <c r="H48" s="12"/>
    </row>
    <row r="49">
      <c r="D49" s="21" t="s">
        <v>733</v>
      </c>
      <c r="H49" s="12"/>
    </row>
    <row r="50">
      <c r="D50" s="21" t="s">
        <v>733</v>
      </c>
      <c r="H50" s="12"/>
    </row>
    <row r="51">
      <c r="D51" s="21" t="s">
        <v>733</v>
      </c>
      <c r="H51" s="12"/>
    </row>
    <row r="52">
      <c r="D52" s="21" t="s">
        <v>733</v>
      </c>
      <c r="H52" s="12"/>
    </row>
    <row r="53">
      <c r="D53" s="21" t="s">
        <v>733</v>
      </c>
      <c r="H53" s="12"/>
    </row>
    <row r="54">
      <c r="D54" s="21" t="s">
        <v>733</v>
      </c>
      <c r="H54" s="12"/>
    </row>
    <row r="55">
      <c r="D55" s="21" t="s">
        <v>733</v>
      </c>
      <c r="H55" s="12"/>
    </row>
    <row r="56">
      <c r="D56" s="21" t="s">
        <v>733</v>
      </c>
      <c r="H56" s="12"/>
    </row>
    <row r="57">
      <c r="D57" s="21" t="s">
        <v>733</v>
      </c>
      <c r="H57" s="12"/>
    </row>
    <row r="58">
      <c r="D58" s="21" t="s">
        <v>733</v>
      </c>
      <c r="H58" s="12"/>
    </row>
    <row r="59">
      <c r="D59" s="21" t="s">
        <v>733</v>
      </c>
      <c r="H59" s="12"/>
    </row>
    <row r="60">
      <c r="D60" s="21" t="s">
        <v>733</v>
      </c>
      <c r="H60" s="12"/>
    </row>
    <row r="61">
      <c r="D61" s="21" t="s">
        <v>733</v>
      </c>
      <c r="H61" s="12"/>
    </row>
    <row r="62">
      <c r="D62" s="21" t="s">
        <v>733</v>
      </c>
      <c r="H62" s="12"/>
    </row>
    <row r="63">
      <c r="D63" s="21" t="s">
        <v>733</v>
      </c>
      <c r="H63" s="12"/>
    </row>
    <row r="64">
      <c r="D64" s="21" t="s">
        <v>733</v>
      </c>
      <c r="H64" s="12"/>
    </row>
    <row r="65">
      <c r="D65" s="21" t="s">
        <v>733</v>
      </c>
      <c r="H65" s="12"/>
    </row>
    <row r="66">
      <c r="D66" s="21" t="s">
        <v>733</v>
      </c>
      <c r="H66" s="12"/>
    </row>
    <row r="67">
      <c r="D67" s="21" t="s">
        <v>733</v>
      </c>
      <c r="H67" s="12"/>
    </row>
    <row r="68">
      <c r="D68" s="21" t="s">
        <v>733</v>
      </c>
      <c r="H68" s="12"/>
    </row>
    <row r="69">
      <c r="D69" s="21" t="s">
        <v>733</v>
      </c>
      <c r="H69" s="12"/>
    </row>
    <row r="70">
      <c r="D70" s="21" t="s">
        <v>733</v>
      </c>
      <c r="H70" s="12"/>
    </row>
    <row r="71">
      <c r="D71" s="21" t="s">
        <v>733</v>
      </c>
      <c r="H71" s="12"/>
    </row>
    <row r="72">
      <c r="D72" s="21" t="s">
        <v>733</v>
      </c>
      <c r="H72" s="12"/>
    </row>
    <row r="73">
      <c r="D73" s="21" t="s">
        <v>733</v>
      </c>
      <c r="H73" s="12"/>
    </row>
    <row r="74">
      <c r="D74" s="21" t="s">
        <v>733</v>
      </c>
      <c r="H74" s="12"/>
    </row>
    <row r="75">
      <c r="D75" s="21" t="s">
        <v>733</v>
      </c>
      <c r="H75" s="12"/>
    </row>
    <row r="76">
      <c r="D76" s="21" t="s">
        <v>733</v>
      </c>
      <c r="H76" s="12"/>
    </row>
    <row r="77">
      <c r="D77" s="21" t="s">
        <v>733</v>
      </c>
      <c r="H77" s="12"/>
    </row>
    <row r="78">
      <c r="D78" s="21" t="s">
        <v>733</v>
      </c>
      <c r="H78" s="12"/>
    </row>
    <row r="79">
      <c r="D79" s="21" t="s">
        <v>733</v>
      </c>
      <c r="H79" s="12"/>
    </row>
    <row r="80">
      <c r="D80" s="21" t="s">
        <v>733</v>
      </c>
      <c r="H80" s="12"/>
    </row>
    <row r="81">
      <c r="D81" s="21" t="s">
        <v>733</v>
      </c>
      <c r="H81" s="12"/>
    </row>
    <row r="82">
      <c r="D82" s="21" t="s">
        <v>733</v>
      </c>
      <c r="H82" s="12"/>
    </row>
    <row r="83">
      <c r="D83" s="21" t="s">
        <v>733</v>
      </c>
      <c r="H83" s="12"/>
    </row>
    <row r="84">
      <c r="D84" s="21" t="s">
        <v>733</v>
      </c>
      <c r="H84" s="12"/>
    </row>
    <row r="85">
      <c r="D85" s="21" t="s">
        <v>733</v>
      </c>
      <c r="H85" s="12"/>
    </row>
    <row r="86">
      <c r="D86" s="21" t="s">
        <v>733</v>
      </c>
      <c r="H86" s="12"/>
    </row>
    <row r="87">
      <c r="D87" s="21" t="s">
        <v>733</v>
      </c>
      <c r="H87" s="12"/>
    </row>
    <row r="88">
      <c r="D88" s="21" t="s">
        <v>733</v>
      </c>
      <c r="H88" s="12"/>
    </row>
    <row r="89">
      <c r="D89" s="21" t="s">
        <v>733</v>
      </c>
      <c r="H89" s="12"/>
    </row>
    <row r="90">
      <c r="D90" s="21" t="s">
        <v>733</v>
      </c>
      <c r="H90" s="12"/>
    </row>
    <row r="91">
      <c r="D91" s="21" t="s">
        <v>733</v>
      </c>
      <c r="H91" s="12"/>
    </row>
    <row r="92">
      <c r="D92" s="21" t="s">
        <v>733</v>
      </c>
      <c r="H92" s="12"/>
    </row>
    <row r="93">
      <c r="D93" s="21" t="s">
        <v>733</v>
      </c>
      <c r="H93" s="12"/>
    </row>
    <row r="94">
      <c r="D94" s="21" t="s">
        <v>733</v>
      </c>
      <c r="H94" s="12"/>
    </row>
    <row r="95">
      <c r="D95" s="21" t="s">
        <v>733</v>
      </c>
      <c r="H95" s="12"/>
    </row>
    <row r="96">
      <c r="D96" s="21" t="s">
        <v>733</v>
      </c>
      <c r="H96" s="12"/>
    </row>
    <row r="97">
      <c r="D97" s="21" t="s">
        <v>733</v>
      </c>
      <c r="H97" s="12"/>
    </row>
    <row r="98">
      <c r="D98" s="21" t="s">
        <v>733</v>
      </c>
      <c r="H98" s="12"/>
    </row>
    <row r="99">
      <c r="D99" s="21" t="s">
        <v>733</v>
      </c>
      <c r="H99" s="12"/>
    </row>
    <row r="100">
      <c r="D100" s="21" t="s">
        <v>733</v>
      </c>
      <c r="H100" s="12"/>
    </row>
    <row r="101">
      <c r="D101" s="21" t="s">
        <v>733</v>
      </c>
      <c r="H101" s="12"/>
    </row>
    <row r="102">
      <c r="D102" s="21" t="s">
        <v>733</v>
      </c>
      <c r="H102" s="12"/>
    </row>
    <row r="103">
      <c r="D103" s="21" t="s">
        <v>733</v>
      </c>
      <c r="H103" s="12"/>
    </row>
    <row r="104">
      <c r="D104" s="21" t="s">
        <v>733</v>
      </c>
      <c r="H104" s="12"/>
    </row>
    <row r="105">
      <c r="D105" s="21" t="s">
        <v>733</v>
      </c>
      <c r="H105" s="12"/>
    </row>
    <row r="106">
      <c r="D106" s="21" t="s">
        <v>733</v>
      </c>
      <c r="H106" s="12"/>
    </row>
    <row r="107">
      <c r="D107" s="21" t="s">
        <v>733</v>
      </c>
      <c r="H107" s="12"/>
    </row>
    <row r="108">
      <c r="D108" s="21" t="s">
        <v>733</v>
      </c>
      <c r="H108" s="12"/>
    </row>
    <row r="109">
      <c r="D109" s="21" t="s">
        <v>733</v>
      </c>
      <c r="H109" s="12"/>
    </row>
    <row r="110">
      <c r="D110" s="21" t="s">
        <v>733</v>
      </c>
      <c r="H110" s="12"/>
    </row>
    <row r="111">
      <c r="D111" s="21" t="s">
        <v>733</v>
      </c>
      <c r="H111" s="12"/>
    </row>
    <row r="112">
      <c r="D112" s="21" t="s">
        <v>733</v>
      </c>
      <c r="H112" s="12"/>
    </row>
    <row r="113">
      <c r="D113" s="21" t="s">
        <v>733</v>
      </c>
      <c r="H113" s="12"/>
    </row>
    <row r="114">
      <c r="D114" s="21" t="s">
        <v>733</v>
      </c>
      <c r="H114" s="12"/>
    </row>
    <row r="115">
      <c r="D115" s="21" t="s">
        <v>733</v>
      </c>
      <c r="H115" s="12"/>
    </row>
    <row r="116">
      <c r="D116" s="21" t="s">
        <v>733</v>
      </c>
      <c r="H116" s="12"/>
    </row>
    <row r="117">
      <c r="D117" s="21" t="s">
        <v>733</v>
      </c>
      <c r="H117" s="12"/>
    </row>
    <row r="118">
      <c r="D118" s="21" t="s">
        <v>733</v>
      </c>
      <c r="H118" s="12"/>
    </row>
    <row r="119">
      <c r="D119" s="21" t="s">
        <v>733</v>
      </c>
      <c r="H119" s="12"/>
    </row>
    <row r="120">
      <c r="D120" s="21" t="s">
        <v>733</v>
      </c>
      <c r="H120" s="12"/>
    </row>
    <row r="121">
      <c r="D121" s="21" t="s">
        <v>733</v>
      </c>
      <c r="H121" s="12"/>
    </row>
    <row r="122">
      <c r="D122" s="21" t="s">
        <v>733</v>
      </c>
      <c r="H122" s="12"/>
    </row>
    <row r="123">
      <c r="D123" s="21" t="s">
        <v>733</v>
      </c>
      <c r="H123" s="12"/>
    </row>
    <row r="124">
      <c r="D124" s="21" t="s">
        <v>733</v>
      </c>
      <c r="H124" s="12"/>
    </row>
    <row r="125">
      <c r="D125" s="21" t="s">
        <v>733</v>
      </c>
      <c r="H125" s="12"/>
    </row>
    <row r="126">
      <c r="D126" s="21" t="s">
        <v>733</v>
      </c>
      <c r="H126" s="12"/>
    </row>
    <row r="127">
      <c r="D127" s="21" t="s">
        <v>733</v>
      </c>
      <c r="H127" s="12"/>
    </row>
    <row r="128">
      <c r="D128" s="21" t="s">
        <v>733</v>
      </c>
      <c r="H128" s="12"/>
    </row>
    <row r="129">
      <c r="D129" s="21" t="s">
        <v>733</v>
      </c>
      <c r="H129" s="12"/>
    </row>
    <row r="130">
      <c r="D130" s="21" t="s">
        <v>733</v>
      </c>
      <c r="H130" s="12"/>
    </row>
    <row r="131">
      <c r="D131" s="21" t="s">
        <v>733</v>
      </c>
      <c r="H131" s="12"/>
    </row>
    <row r="132">
      <c r="D132" s="21" t="s">
        <v>733</v>
      </c>
      <c r="H132" s="12"/>
    </row>
    <row r="133">
      <c r="D133" s="21" t="s">
        <v>733</v>
      </c>
      <c r="H133" s="12"/>
    </row>
    <row r="134">
      <c r="D134" s="21" t="s">
        <v>733</v>
      </c>
      <c r="H134" s="12"/>
    </row>
    <row r="135">
      <c r="D135" s="21" t="s">
        <v>733</v>
      </c>
      <c r="H135" s="12"/>
    </row>
    <row r="136">
      <c r="D136" s="21" t="s">
        <v>733</v>
      </c>
      <c r="H136" s="12"/>
    </row>
    <row r="137">
      <c r="D137" s="21" t="s">
        <v>733</v>
      </c>
      <c r="H137" s="12"/>
    </row>
    <row r="138">
      <c r="D138" s="21" t="s">
        <v>733</v>
      </c>
      <c r="H138" s="12"/>
    </row>
    <row r="139">
      <c r="D139" s="21" t="s">
        <v>733</v>
      </c>
      <c r="H139" s="12"/>
    </row>
    <row r="140">
      <c r="D140" s="21" t="s">
        <v>733</v>
      </c>
      <c r="H140" s="12"/>
    </row>
    <row r="141">
      <c r="D141" s="21" t="s">
        <v>733</v>
      </c>
      <c r="H141" s="12"/>
    </row>
    <row r="142">
      <c r="D142" s="21" t="s">
        <v>733</v>
      </c>
      <c r="H142" s="12"/>
    </row>
    <row r="143">
      <c r="D143" s="21" t="s">
        <v>733</v>
      </c>
      <c r="H143" s="12"/>
    </row>
    <row r="144">
      <c r="D144" s="21" t="s">
        <v>733</v>
      </c>
      <c r="H144" s="12"/>
    </row>
    <row r="145">
      <c r="D145" s="21" t="s">
        <v>733</v>
      </c>
      <c r="H145" s="12"/>
    </row>
    <row r="146">
      <c r="D146" s="21" t="s">
        <v>733</v>
      </c>
      <c r="H146" s="12"/>
    </row>
    <row r="147">
      <c r="D147" s="21" t="s">
        <v>733</v>
      </c>
      <c r="H147" s="12"/>
    </row>
    <row r="148">
      <c r="D148" s="21" t="s">
        <v>733</v>
      </c>
      <c r="H148" s="12"/>
    </row>
    <row r="149">
      <c r="D149" s="21" t="s">
        <v>733</v>
      </c>
      <c r="H149" s="12"/>
    </row>
    <row r="150">
      <c r="D150" s="21" t="s">
        <v>733</v>
      </c>
      <c r="H150" s="12"/>
    </row>
    <row r="151">
      <c r="D151" s="21" t="s">
        <v>733</v>
      </c>
      <c r="H151" s="12"/>
    </row>
    <row r="152">
      <c r="D152" s="21" t="s">
        <v>733</v>
      </c>
      <c r="H152" s="12"/>
    </row>
    <row r="153">
      <c r="D153" s="21" t="s">
        <v>733</v>
      </c>
      <c r="H153" s="12"/>
    </row>
    <row r="154">
      <c r="D154" s="21" t="s">
        <v>733</v>
      </c>
      <c r="H154" s="12"/>
    </row>
    <row r="155">
      <c r="D155" s="21" t="s">
        <v>733</v>
      </c>
      <c r="H155" s="12"/>
    </row>
    <row r="156">
      <c r="D156" s="21" t="s">
        <v>733</v>
      </c>
      <c r="H156" s="12"/>
    </row>
    <row r="157">
      <c r="D157" s="21" t="s">
        <v>733</v>
      </c>
      <c r="H157" s="12"/>
    </row>
    <row r="158">
      <c r="D158" s="21" t="s">
        <v>733</v>
      </c>
      <c r="H158" s="12"/>
    </row>
    <row r="159">
      <c r="D159" s="21" t="s">
        <v>733</v>
      </c>
      <c r="H159" s="12"/>
    </row>
    <row r="160">
      <c r="D160" s="21" t="s">
        <v>733</v>
      </c>
      <c r="H160" s="12"/>
    </row>
    <row r="161">
      <c r="D161" s="21" t="s">
        <v>733</v>
      </c>
      <c r="H161" s="12"/>
    </row>
    <row r="162">
      <c r="D162" s="21" t="s">
        <v>733</v>
      </c>
      <c r="H162" s="12"/>
    </row>
    <row r="163">
      <c r="D163" s="21" t="s">
        <v>733</v>
      </c>
      <c r="H163" s="12"/>
    </row>
    <row r="164">
      <c r="D164" s="21" t="s">
        <v>733</v>
      </c>
      <c r="H164" s="12"/>
    </row>
    <row r="165">
      <c r="D165" s="21" t="s">
        <v>733</v>
      </c>
      <c r="H165" s="12"/>
    </row>
    <row r="166">
      <c r="D166" s="21" t="s">
        <v>733</v>
      </c>
      <c r="H166" s="12"/>
    </row>
    <row r="167">
      <c r="D167" s="21" t="s">
        <v>733</v>
      </c>
      <c r="H167" s="12"/>
    </row>
    <row r="168">
      <c r="D168" s="21" t="s">
        <v>733</v>
      </c>
      <c r="H168" s="12"/>
    </row>
    <row r="169">
      <c r="D169" s="21" t="s">
        <v>733</v>
      </c>
      <c r="H169" s="12"/>
    </row>
    <row r="170">
      <c r="D170" s="21" t="s">
        <v>733</v>
      </c>
      <c r="H170" s="12"/>
    </row>
    <row r="171">
      <c r="D171" s="21" t="s">
        <v>733</v>
      </c>
      <c r="H171" s="12"/>
    </row>
    <row r="172">
      <c r="D172" s="21" t="s">
        <v>733</v>
      </c>
      <c r="H172" s="12"/>
    </row>
    <row r="173">
      <c r="D173" s="21" t="s">
        <v>733</v>
      </c>
      <c r="H173" s="12"/>
    </row>
    <row r="174">
      <c r="D174" s="21" t="s">
        <v>733</v>
      </c>
      <c r="H174" s="12"/>
    </row>
    <row r="175">
      <c r="D175" s="21" t="s">
        <v>733</v>
      </c>
      <c r="H175" s="12"/>
    </row>
    <row r="176">
      <c r="D176" s="21" t="s">
        <v>733</v>
      </c>
      <c r="H176" s="12"/>
    </row>
    <row r="177">
      <c r="D177" s="21" t="s">
        <v>733</v>
      </c>
      <c r="H177" s="12"/>
    </row>
    <row r="178">
      <c r="D178" s="21" t="s">
        <v>733</v>
      </c>
      <c r="H178" s="12"/>
    </row>
    <row r="179">
      <c r="D179" s="21" t="s">
        <v>733</v>
      </c>
      <c r="H179" s="12"/>
    </row>
    <row r="180">
      <c r="D180" s="21" t="s">
        <v>733</v>
      </c>
      <c r="H180" s="12"/>
    </row>
    <row r="181">
      <c r="D181" s="21" t="s">
        <v>733</v>
      </c>
      <c r="H181" s="12"/>
    </row>
    <row r="182">
      <c r="D182" s="21" t="s">
        <v>733</v>
      </c>
      <c r="H182" s="12"/>
    </row>
    <row r="183">
      <c r="D183" s="21" t="s">
        <v>733</v>
      </c>
      <c r="H183" s="12"/>
    </row>
    <row r="184">
      <c r="D184" s="21" t="s">
        <v>733</v>
      </c>
      <c r="H184" s="12"/>
    </row>
    <row r="185">
      <c r="D185" s="21" t="s">
        <v>733</v>
      </c>
      <c r="H185" s="12"/>
    </row>
    <row r="186">
      <c r="D186" s="21" t="s">
        <v>733</v>
      </c>
      <c r="H186" s="12"/>
    </row>
    <row r="187">
      <c r="D187" s="21" t="s">
        <v>733</v>
      </c>
      <c r="H187" s="12"/>
    </row>
    <row r="188">
      <c r="D188" s="21" t="s">
        <v>733</v>
      </c>
      <c r="H188" s="12"/>
    </row>
    <row r="189">
      <c r="D189" s="21" t="s">
        <v>733</v>
      </c>
      <c r="H189" s="12"/>
    </row>
    <row r="190">
      <c r="D190" s="21" t="s">
        <v>733</v>
      </c>
      <c r="H190" s="12"/>
    </row>
    <row r="191">
      <c r="D191" s="21" t="s">
        <v>733</v>
      </c>
      <c r="H191" s="12"/>
    </row>
    <row r="192">
      <c r="D192" s="21" t="s">
        <v>733</v>
      </c>
      <c r="H192" s="12"/>
    </row>
    <row r="193">
      <c r="D193" s="21" t="s">
        <v>733</v>
      </c>
      <c r="H193" s="12"/>
    </row>
    <row r="194">
      <c r="D194" s="21" t="s">
        <v>733</v>
      </c>
      <c r="H194" s="12"/>
    </row>
    <row r="195">
      <c r="D195" s="21" t="s">
        <v>733</v>
      </c>
      <c r="H195" s="12"/>
    </row>
    <row r="196">
      <c r="D196" s="21" t="s">
        <v>733</v>
      </c>
      <c r="H196" s="12"/>
    </row>
    <row r="197">
      <c r="D197" s="21" t="s">
        <v>733</v>
      </c>
      <c r="H197" s="12"/>
    </row>
    <row r="198">
      <c r="D198" s="21" t="s">
        <v>733</v>
      </c>
      <c r="H198" s="12"/>
    </row>
    <row r="199">
      <c r="D199" s="21" t="s">
        <v>733</v>
      </c>
      <c r="H199" s="12"/>
    </row>
    <row r="200">
      <c r="D200" s="21" t="s">
        <v>733</v>
      </c>
      <c r="H200" s="12"/>
    </row>
    <row r="201">
      <c r="D201" s="21" t="s">
        <v>733</v>
      </c>
      <c r="H201" s="12"/>
    </row>
    <row r="202">
      <c r="D202" s="21" t="s">
        <v>733</v>
      </c>
      <c r="H202" s="12"/>
    </row>
    <row r="203">
      <c r="D203" s="21" t="s">
        <v>733</v>
      </c>
      <c r="H203" s="12"/>
    </row>
    <row r="204">
      <c r="D204" s="21" t="s">
        <v>733</v>
      </c>
      <c r="H204" s="12"/>
    </row>
    <row r="205">
      <c r="D205" s="21" t="s">
        <v>733</v>
      </c>
      <c r="H205" s="12"/>
    </row>
    <row r="206">
      <c r="D206" s="21" t="s">
        <v>733</v>
      </c>
      <c r="H206" s="12"/>
    </row>
    <row r="207">
      <c r="D207" s="21" t="s">
        <v>733</v>
      </c>
      <c r="H207" s="12"/>
    </row>
    <row r="208">
      <c r="D208" s="21" t="s">
        <v>733</v>
      </c>
      <c r="H208" s="12"/>
    </row>
    <row r="209">
      <c r="D209" s="21" t="s">
        <v>733</v>
      </c>
      <c r="H209" s="12"/>
    </row>
    <row r="210">
      <c r="D210" s="21" t="s">
        <v>733</v>
      </c>
      <c r="H210" s="12"/>
    </row>
    <row r="211">
      <c r="D211" s="21" t="s">
        <v>733</v>
      </c>
      <c r="H211" s="12"/>
    </row>
    <row r="212">
      <c r="D212" s="21" t="s">
        <v>733</v>
      </c>
      <c r="H212" s="12"/>
    </row>
    <row r="213">
      <c r="D213" s="21" t="s">
        <v>733</v>
      </c>
      <c r="H213" s="12"/>
    </row>
    <row r="214">
      <c r="D214" s="21" t="s">
        <v>733</v>
      </c>
      <c r="H214" s="12"/>
    </row>
    <row r="215">
      <c r="D215" s="21" t="s">
        <v>733</v>
      </c>
      <c r="H215" s="12"/>
    </row>
    <row r="216">
      <c r="D216" s="21" t="s">
        <v>733</v>
      </c>
      <c r="H216" s="12"/>
    </row>
    <row r="217">
      <c r="D217" s="21" t="s">
        <v>733</v>
      </c>
      <c r="H217" s="12"/>
    </row>
    <row r="218">
      <c r="D218" s="21" t="s">
        <v>733</v>
      </c>
      <c r="H218" s="12"/>
    </row>
    <row r="219">
      <c r="D219" s="21" t="s">
        <v>733</v>
      </c>
      <c r="H219" s="12"/>
    </row>
    <row r="220">
      <c r="D220" s="21" t="s">
        <v>733</v>
      </c>
      <c r="H220" s="12"/>
    </row>
    <row r="221">
      <c r="D221" s="21" t="s">
        <v>733</v>
      </c>
      <c r="H221" s="12"/>
    </row>
    <row r="222">
      <c r="D222" s="21" t="s">
        <v>733</v>
      </c>
      <c r="H222" s="12"/>
    </row>
    <row r="223">
      <c r="D223" s="21" t="s">
        <v>733</v>
      </c>
      <c r="H223" s="12"/>
    </row>
    <row r="224">
      <c r="D224" s="21" t="s">
        <v>733</v>
      </c>
      <c r="H224" s="12"/>
    </row>
    <row r="225">
      <c r="D225" s="21" t="s">
        <v>733</v>
      </c>
      <c r="H225" s="12"/>
    </row>
    <row r="226">
      <c r="D226" s="21" t="s">
        <v>733</v>
      </c>
      <c r="H226" s="12"/>
    </row>
    <row r="227">
      <c r="D227" s="21" t="s">
        <v>733</v>
      </c>
      <c r="H227" s="12"/>
    </row>
    <row r="228">
      <c r="D228" s="21" t="s">
        <v>733</v>
      </c>
      <c r="H228" s="12"/>
    </row>
    <row r="229">
      <c r="D229" s="21" t="s">
        <v>733</v>
      </c>
      <c r="H229" s="12"/>
    </row>
    <row r="230">
      <c r="D230" s="21" t="s">
        <v>733</v>
      </c>
      <c r="H230" s="12"/>
    </row>
    <row r="231">
      <c r="D231" s="21" t="s">
        <v>733</v>
      </c>
      <c r="H231" s="12"/>
    </row>
    <row r="232">
      <c r="D232" s="21" t="s">
        <v>733</v>
      </c>
      <c r="H232" s="12"/>
    </row>
    <row r="233">
      <c r="D233" s="21" t="s">
        <v>733</v>
      </c>
      <c r="H233" s="12"/>
    </row>
    <row r="234">
      <c r="D234" s="21" t="s">
        <v>733</v>
      </c>
      <c r="H234" s="12"/>
    </row>
    <row r="235">
      <c r="D235" s="21" t="s">
        <v>733</v>
      </c>
      <c r="H235" s="12"/>
    </row>
    <row r="236">
      <c r="D236" s="21" t="s">
        <v>733</v>
      </c>
      <c r="H236" s="12"/>
    </row>
    <row r="237">
      <c r="D237" s="21" t="s">
        <v>733</v>
      </c>
      <c r="H237" s="12"/>
    </row>
    <row r="238">
      <c r="D238" s="21" t="s">
        <v>733</v>
      </c>
      <c r="H238" s="12"/>
    </row>
    <row r="239">
      <c r="D239" s="21" t="s">
        <v>733</v>
      </c>
      <c r="H239" s="12"/>
    </row>
    <row r="240">
      <c r="D240" s="21" t="s">
        <v>733</v>
      </c>
      <c r="H240" s="12"/>
    </row>
    <row r="241">
      <c r="D241" s="21" t="s">
        <v>733</v>
      </c>
      <c r="H241" s="12"/>
    </row>
    <row r="242">
      <c r="D242" s="21" t="s">
        <v>733</v>
      </c>
      <c r="H242" s="12"/>
    </row>
    <row r="243">
      <c r="D243" s="21" t="s">
        <v>733</v>
      </c>
      <c r="H243" s="12"/>
    </row>
    <row r="244">
      <c r="D244" s="21" t="s">
        <v>733</v>
      </c>
      <c r="H244" s="12"/>
    </row>
    <row r="245">
      <c r="D245" s="21" t="s">
        <v>733</v>
      </c>
      <c r="H245" s="12"/>
    </row>
    <row r="246">
      <c r="D246" s="21" t="s">
        <v>733</v>
      </c>
      <c r="H246" s="12"/>
    </row>
    <row r="247">
      <c r="D247" s="21" t="s">
        <v>733</v>
      </c>
      <c r="H247" s="12"/>
    </row>
    <row r="248">
      <c r="D248" s="21" t="s">
        <v>733</v>
      </c>
      <c r="H248" s="12"/>
    </row>
    <row r="249">
      <c r="D249" s="21" t="s">
        <v>733</v>
      </c>
      <c r="H249" s="12"/>
    </row>
    <row r="250">
      <c r="D250" s="21" t="s">
        <v>733</v>
      </c>
      <c r="H250" s="12"/>
    </row>
    <row r="251">
      <c r="D251" s="21" t="s">
        <v>733</v>
      </c>
      <c r="H251" s="12"/>
    </row>
    <row r="252">
      <c r="D252" s="21" t="s">
        <v>733</v>
      </c>
      <c r="H252" s="12"/>
    </row>
    <row r="253">
      <c r="D253" s="21" t="s">
        <v>733</v>
      </c>
      <c r="H253" s="12"/>
    </row>
    <row r="254">
      <c r="D254" s="21" t="s">
        <v>733</v>
      </c>
      <c r="H254" s="12"/>
    </row>
    <row r="255">
      <c r="D255" s="21" t="s">
        <v>733</v>
      </c>
      <c r="H255" s="12"/>
    </row>
    <row r="256">
      <c r="D256" s="21" t="s">
        <v>733</v>
      </c>
      <c r="H256" s="12"/>
    </row>
    <row r="257">
      <c r="D257" s="21" t="s">
        <v>733</v>
      </c>
      <c r="H257" s="12"/>
    </row>
    <row r="258">
      <c r="D258" s="21" t="s">
        <v>733</v>
      </c>
      <c r="H258" s="12"/>
    </row>
    <row r="259">
      <c r="D259" s="21" t="s">
        <v>733</v>
      </c>
      <c r="H259" s="12"/>
    </row>
    <row r="260">
      <c r="D260" s="21" t="s">
        <v>733</v>
      </c>
      <c r="H260" s="12"/>
    </row>
    <row r="261">
      <c r="D261" s="21" t="s">
        <v>733</v>
      </c>
      <c r="H261" s="12"/>
    </row>
    <row r="262">
      <c r="D262" s="21" t="s">
        <v>733</v>
      </c>
      <c r="H262" s="12"/>
    </row>
    <row r="263">
      <c r="D263" s="21" t="s">
        <v>733</v>
      </c>
      <c r="H263" s="12"/>
    </row>
    <row r="264">
      <c r="D264" s="21" t="s">
        <v>733</v>
      </c>
      <c r="H264" s="12"/>
    </row>
    <row r="265">
      <c r="D265" s="21" t="s">
        <v>733</v>
      </c>
      <c r="H265" s="12"/>
    </row>
    <row r="266">
      <c r="D266" s="21" t="s">
        <v>733</v>
      </c>
      <c r="H266" s="12"/>
    </row>
    <row r="267">
      <c r="D267" s="21" t="s">
        <v>733</v>
      </c>
      <c r="H267" s="12"/>
    </row>
    <row r="268">
      <c r="D268" s="21" t="s">
        <v>733</v>
      </c>
      <c r="H268" s="12"/>
    </row>
    <row r="269">
      <c r="D269" s="21" t="s">
        <v>733</v>
      </c>
      <c r="H269" s="12"/>
    </row>
    <row r="270">
      <c r="D270" s="21" t="s">
        <v>733</v>
      </c>
      <c r="H270" s="12"/>
    </row>
    <row r="271">
      <c r="D271" s="21" t="s">
        <v>733</v>
      </c>
      <c r="H271" s="12"/>
    </row>
    <row r="272">
      <c r="D272" s="21" t="s">
        <v>733</v>
      </c>
      <c r="H272" s="12"/>
    </row>
    <row r="273">
      <c r="D273" s="21" t="s">
        <v>733</v>
      </c>
      <c r="H273" s="12"/>
    </row>
    <row r="274">
      <c r="D274" s="21" t="s">
        <v>733</v>
      </c>
      <c r="H274" s="12"/>
    </row>
    <row r="275">
      <c r="D275" s="21" t="s">
        <v>733</v>
      </c>
      <c r="H275" s="12"/>
    </row>
    <row r="276">
      <c r="D276" s="21" t="s">
        <v>733</v>
      </c>
      <c r="H276" s="12"/>
    </row>
    <row r="277">
      <c r="D277" s="21" t="s">
        <v>733</v>
      </c>
      <c r="H277" s="12"/>
    </row>
    <row r="278">
      <c r="D278" s="21" t="s">
        <v>733</v>
      </c>
      <c r="H278" s="12"/>
    </row>
    <row r="279">
      <c r="D279" s="21" t="s">
        <v>733</v>
      </c>
      <c r="H279" s="12"/>
    </row>
    <row r="280">
      <c r="D280" s="21" t="s">
        <v>733</v>
      </c>
      <c r="H280" s="12"/>
    </row>
    <row r="281">
      <c r="D281" s="21" t="s">
        <v>733</v>
      </c>
      <c r="H281" s="12"/>
    </row>
    <row r="282">
      <c r="D282" s="21" t="s">
        <v>733</v>
      </c>
      <c r="H282" s="12"/>
    </row>
    <row r="283">
      <c r="D283" s="21" t="s">
        <v>733</v>
      </c>
      <c r="H283" s="12"/>
    </row>
    <row r="284">
      <c r="D284" s="21" t="s">
        <v>733</v>
      </c>
      <c r="H284" s="12"/>
    </row>
    <row r="285">
      <c r="D285" s="21" t="s">
        <v>733</v>
      </c>
      <c r="H285" s="12"/>
    </row>
    <row r="286">
      <c r="D286" s="21" t="s">
        <v>733</v>
      </c>
      <c r="H286" s="12"/>
    </row>
    <row r="287">
      <c r="D287" s="21" t="s">
        <v>733</v>
      </c>
      <c r="H287" s="12"/>
    </row>
    <row r="288">
      <c r="D288" s="21" t="s">
        <v>733</v>
      </c>
      <c r="H288" s="12"/>
    </row>
    <row r="289">
      <c r="D289" s="21" t="s">
        <v>733</v>
      </c>
      <c r="H289" s="12"/>
    </row>
    <row r="290">
      <c r="D290" s="21" t="s">
        <v>733</v>
      </c>
      <c r="H290" s="12"/>
    </row>
    <row r="291">
      <c r="D291" s="21" t="s">
        <v>733</v>
      </c>
      <c r="H291" s="12"/>
    </row>
    <row r="292">
      <c r="D292" s="21" t="s">
        <v>733</v>
      </c>
      <c r="H292" s="12"/>
    </row>
    <row r="293">
      <c r="D293" s="21" t="s">
        <v>733</v>
      </c>
      <c r="H293" s="12"/>
    </row>
    <row r="294">
      <c r="D294" s="21" t="s">
        <v>733</v>
      </c>
      <c r="H294" s="12"/>
    </row>
    <row r="295">
      <c r="D295" s="21" t="s">
        <v>733</v>
      </c>
      <c r="H295" s="12"/>
    </row>
    <row r="296">
      <c r="D296" s="21" t="s">
        <v>733</v>
      </c>
      <c r="H296" s="12"/>
    </row>
    <row r="297">
      <c r="D297" s="21" t="s">
        <v>733</v>
      </c>
      <c r="H297" s="12"/>
    </row>
    <row r="298">
      <c r="D298" s="21" t="s">
        <v>733</v>
      </c>
      <c r="H298" s="12"/>
    </row>
    <row r="299">
      <c r="D299" s="21" t="s">
        <v>733</v>
      </c>
      <c r="H299" s="12"/>
    </row>
    <row r="300">
      <c r="D300" s="21" t="s">
        <v>733</v>
      </c>
      <c r="H300" s="12"/>
    </row>
    <row r="301">
      <c r="D301" s="21" t="s">
        <v>733</v>
      </c>
      <c r="H301" s="12"/>
    </row>
    <row r="302">
      <c r="D302" s="21" t="s">
        <v>733</v>
      </c>
      <c r="H302" s="12"/>
    </row>
    <row r="303">
      <c r="D303" s="21" t="s">
        <v>733</v>
      </c>
      <c r="H303" s="12"/>
    </row>
    <row r="304">
      <c r="D304" s="21" t="s">
        <v>733</v>
      </c>
      <c r="H304" s="12"/>
    </row>
    <row r="305">
      <c r="D305" s="21" t="s">
        <v>733</v>
      </c>
      <c r="H305" s="12"/>
    </row>
    <row r="306">
      <c r="D306" s="21" t="s">
        <v>733</v>
      </c>
      <c r="H306" s="12"/>
    </row>
    <row r="307">
      <c r="D307" s="21" t="s">
        <v>733</v>
      </c>
      <c r="H307" s="12"/>
    </row>
    <row r="308">
      <c r="D308" s="21" t="s">
        <v>733</v>
      </c>
      <c r="H308" s="12"/>
    </row>
    <row r="309">
      <c r="D309" s="21" t="s">
        <v>733</v>
      </c>
      <c r="H309" s="12"/>
    </row>
    <row r="310">
      <c r="D310" s="21" t="s">
        <v>733</v>
      </c>
      <c r="H310" s="12"/>
    </row>
    <row r="311">
      <c r="D311" s="21" t="s">
        <v>733</v>
      </c>
      <c r="H311" s="12"/>
    </row>
    <row r="312">
      <c r="D312" s="21" t="s">
        <v>733</v>
      </c>
      <c r="H312" s="12"/>
    </row>
    <row r="313">
      <c r="D313" s="21" t="s">
        <v>733</v>
      </c>
      <c r="H313" s="12"/>
    </row>
    <row r="314">
      <c r="D314" s="21" t="s">
        <v>733</v>
      </c>
      <c r="H314" s="12"/>
    </row>
    <row r="315">
      <c r="D315" s="21" t="s">
        <v>733</v>
      </c>
      <c r="H315" s="12"/>
    </row>
    <row r="316">
      <c r="D316" s="21" t="s">
        <v>733</v>
      </c>
      <c r="H316" s="12"/>
    </row>
    <row r="317">
      <c r="D317" s="21" t="s">
        <v>733</v>
      </c>
      <c r="H317" s="12"/>
    </row>
    <row r="318">
      <c r="D318" s="21" t="s">
        <v>733</v>
      </c>
      <c r="H318" s="12"/>
    </row>
    <row r="319">
      <c r="D319" s="21" t="s">
        <v>733</v>
      </c>
      <c r="H319" s="12"/>
    </row>
    <row r="320">
      <c r="D320" s="21" t="s">
        <v>733</v>
      </c>
      <c r="H320" s="12"/>
    </row>
    <row r="321">
      <c r="D321" s="21" t="s">
        <v>733</v>
      </c>
      <c r="H321" s="12"/>
    </row>
    <row r="322">
      <c r="D322" s="21" t="s">
        <v>733</v>
      </c>
      <c r="H322" s="12"/>
    </row>
    <row r="323">
      <c r="D323" s="21" t="s">
        <v>733</v>
      </c>
      <c r="H323" s="12"/>
    </row>
    <row r="324">
      <c r="D324" s="21" t="s">
        <v>733</v>
      </c>
      <c r="H324" s="12"/>
    </row>
    <row r="325">
      <c r="D325" s="21" t="s">
        <v>733</v>
      </c>
      <c r="H325" s="12"/>
    </row>
    <row r="326">
      <c r="D326" s="21" t="s">
        <v>733</v>
      </c>
      <c r="H326" s="12"/>
    </row>
    <row r="327">
      <c r="D327" s="21" t="s">
        <v>733</v>
      </c>
      <c r="H327" s="12"/>
    </row>
    <row r="328">
      <c r="D328" s="21" t="s">
        <v>733</v>
      </c>
      <c r="H328" s="12"/>
    </row>
    <row r="329">
      <c r="D329" s="21" t="s">
        <v>733</v>
      </c>
      <c r="H329" s="12"/>
    </row>
    <row r="330">
      <c r="D330" s="21" t="s">
        <v>733</v>
      </c>
      <c r="H330" s="12"/>
    </row>
    <row r="331">
      <c r="D331" s="21" t="s">
        <v>733</v>
      </c>
      <c r="H331" s="12"/>
    </row>
    <row r="332">
      <c r="D332" s="21" t="s">
        <v>733</v>
      </c>
      <c r="H332" s="12"/>
    </row>
    <row r="333">
      <c r="D333" s="21" t="s">
        <v>733</v>
      </c>
      <c r="H333" s="12"/>
    </row>
    <row r="334">
      <c r="D334" s="21" t="s">
        <v>733</v>
      </c>
      <c r="H334" s="12"/>
    </row>
    <row r="335">
      <c r="D335" s="21" t="s">
        <v>733</v>
      </c>
      <c r="H335" s="12"/>
    </row>
    <row r="336">
      <c r="D336" s="21" t="s">
        <v>733</v>
      </c>
      <c r="H336" s="12"/>
    </row>
    <row r="337">
      <c r="D337" s="21" t="s">
        <v>733</v>
      </c>
      <c r="H337" s="12"/>
    </row>
    <row r="338">
      <c r="D338" s="21" t="s">
        <v>733</v>
      </c>
      <c r="H338" s="12"/>
    </row>
    <row r="339">
      <c r="D339" s="21" t="s">
        <v>733</v>
      </c>
      <c r="H339" s="12"/>
    </row>
    <row r="340">
      <c r="D340" s="21" t="s">
        <v>733</v>
      </c>
      <c r="H340" s="12"/>
    </row>
    <row r="341">
      <c r="D341" s="21" t="s">
        <v>733</v>
      </c>
      <c r="H341" s="12"/>
    </row>
    <row r="342">
      <c r="D342" s="21" t="s">
        <v>733</v>
      </c>
      <c r="H342" s="12"/>
    </row>
    <row r="343">
      <c r="D343" s="21" t="s">
        <v>733</v>
      </c>
      <c r="H343" s="12"/>
    </row>
    <row r="344">
      <c r="D344" s="21" t="s">
        <v>733</v>
      </c>
      <c r="H344" s="12"/>
    </row>
    <row r="345">
      <c r="D345" s="21" t="s">
        <v>733</v>
      </c>
      <c r="H345" s="12"/>
    </row>
    <row r="346">
      <c r="D346" s="21" t="s">
        <v>733</v>
      </c>
      <c r="H346" s="12"/>
    </row>
    <row r="347">
      <c r="D347" s="21" t="s">
        <v>733</v>
      </c>
      <c r="H347" s="12"/>
    </row>
    <row r="348">
      <c r="D348" s="21" t="s">
        <v>733</v>
      </c>
      <c r="H348" s="12"/>
    </row>
    <row r="349">
      <c r="D349" s="21" t="s">
        <v>733</v>
      </c>
      <c r="H349" s="12"/>
    </row>
    <row r="350">
      <c r="D350" s="21" t="s">
        <v>733</v>
      </c>
      <c r="H350" s="12"/>
    </row>
    <row r="351">
      <c r="D351" s="21" t="s">
        <v>733</v>
      </c>
      <c r="H351" s="12"/>
    </row>
    <row r="352">
      <c r="D352" s="21" t="s">
        <v>733</v>
      </c>
      <c r="H352" s="12"/>
    </row>
    <row r="353">
      <c r="D353" s="21" t="s">
        <v>733</v>
      </c>
      <c r="H353" s="12"/>
    </row>
    <row r="354">
      <c r="D354" s="21" t="s">
        <v>733</v>
      </c>
      <c r="H354" s="12"/>
    </row>
    <row r="355">
      <c r="D355" s="21" t="s">
        <v>733</v>
      </c>
      <c r="H355" s="12"/>
    </row>
    <row r="356">
      <c r="D356" s="21" t="s">
        <v>733</v>
      </c>
      <c r="H356" s="12"/>
    </row>
    <row r="357">
      <c r="D357" s="21" t="s">
        <v>733</v>
      </c>
      <c r="H357" s="12"/>
    </row>
    <row r="358">
      <c r="D358" s="21" t="s">
        <v>733</v>
      </c>
      <c r="H358" s="12"/>
    </row>
    <row r="359">
      <c r="D359" s="21" t="s">
        <v>733</v>
      </c>
      <c r="H359" s="12"/>
    </row>
    <row r="360">
      <c r="D360" s="21" t="s">
        <v>733</v>
      </c>
      <c r="H360" s="12"/>
    </row>
    <row r="361">
      <c r="D361" s="21" t="s">
        <v>733</v>
      </c>
      <c r="H361" s="12"/>
    </row>
    <row r="362">
      <c r="D362" s="21" t="s">
        <v>733</v>
      </c>
      <c r="H362" s="12"/>
    </row>
    <row r="363">
      <c r="D363" s="21" t="s">
        <v>733</v>
      </c>
      <c r="H363" s="12"/>
    </row>
    <row r="364">
      <c r="D364" s="21" t="s">
        <v>733</v>
      </c>
      <c r="H364" s="12"/>
    </row>
    <row r="365">
      <c r="D365" s="21" t="s">
        <v>733</v>
      </c>
      <c r="H365" s="12"/>
    </row>
    <row r="366">
      <c r="D366" s="21" t="s">
        <v>733</v>
      </c>
      <c r="H366" s="12"/>
    </row>
    <row r="367">
      <c r="D367" s="21" t="s">
        <v>733</v>
      </c>
      <c r="H367" s="12"/>
    </row>
    <row r="368">
      <c r="D368" s="21" t="s">
        <v>733</v>
      </c>
      <c r="H368" s="12"/>
    </row>
    <row r="369">
      <c r="D369" s="21" t="s">
        <v>733</v>
      </c>
      <c r="H369" s="12"/>
    </row>
    <row r="370">
      <c r="D370" s="21" t="s">
        <v>733</v>
      </c>
      <c r="H370" s="12"/>
    </row>
    <row r="371">
      <c r="D371" s="21" t="s">
        <v>733</v>
      </c>
      <c r="H371" s="12"/>
    </row>
    <row r="372">
      <c r="D372" s="21" t="s">
        <v>733</v>
      </c>
      <c r="H372" s="12"/>
    </row>
    <row r="373">
      <c r="D373" s="21" t="s">
        <v>733</v>
      </c>
      <c r="H373" s="12"/>
    </row>
    <row r="374">
      <c r="D374" s="21" t="s">
        <v>733</v>
      </c>
      <c r="H374" s="12"/>
    </row>
    <row r="375">
      <c r="D375" s="21" t="s">
        <v>733</v>
      </c>
      <c r="H375" s="12"/>
    </row>
    <row r="376">
      <c r="D376" s="21" t="s">
        <v>733</v>
      </c>
      <c r="H376" s="12"/>
    </row>
    <row r="377">
      <c r="D377" s="21" t="s">
        <v>733</v>
      </c>
      <c r="H377" s="12"/>
    </row>
    <row r="378">
      <c r="D378" s="21" t="s">
        <v>733</v>
      </c>
      <c r="H378" s="12"/>
    </row>
    <row r="379">
      <c r="D379" s="21" t="s">
        <v>733</v>
      </c>
      <c r="H379" s="12"/>
    </row>
    <row r="380">
      <c r="D380" s="21" t="s">
        <v>733</v>
      </c>
      <c r="H380" s="12"/>
    </row>
    <row r="381">
      <c r="D381" s="21" t="s">
        <v>733</v>
      </c>
      <c r="H381" s="12"/>
    </row>
    <row r="382">
      <c r="D382" s="21" t="s">
        <v>733</v>
      </c>
      <c r="H382" s="12"/>
    </row>
    <row r="383">
      <c r="D383" s="21" t="s">
        <v>733</v>
      </c>
      <c r="H383" s="12"/>
    </row>
    <row r="384">
      <c r="D384" s="21" t="s">
        <v>733</v>
      </c>
      <c r="H384" s="12"/>
    </row>
    <row r="385">
      <c r="D385" s="21" t="s">
        <v>733</v>
      </c>
      <c r="H385" s="12"/>
    </row>
    <row r="386">
      <c r="D386" s="21" t="s">
        <v>733</v>
      </c>
      <c r="H386" s="12"/>
    </row>
    <row r="387">
      <c r="D387" s="21" t="s">
        <v>733</v>
      </c>
      <c r="H387" s="12"/>
    </row>
    <row r="388">
      <c r="D388" s="21" t="s">
        <v>733</v>
      </c>
      <c r="H388" s="12"/>
    </row>
    <row r="389">
      <c r="D389" s="21" t="s">
        <v>733</v>
      </c>
      <c r="H389" s="12"/>
    </row>
    <row r="390">
      <c r="D390" s="21" t="s">
        <v>733</v>
      </c>
      <c r="H390" s="12"/>
    </row>
    <row r="391">
      <c r="D391" s="21" t="s">
        <v>733</v>
      </c>
      <c r="H391" s="12"/>
    </row>
    <row r="392">
      <c r="D392" s="21" t="s">
        <v>733</v>
      </c>
      <c r="H392" s="12"/>
    </row>
    <row r="393">
      <c r="D393" s="21" t="s">
        <v>733</v>
      </c>
      <c r="H393" s="12"/>
    </row>
    <row r="394">
      <c r="D394" s="21" t="s">
        <v>733</v>
      </c>
      <c r="H394" s="12"/>
    </row>
    <row r="395">
      <c r="D395" s="21" t="s">
        <v>733</v>
      </c>
      <c r="H395" s="12"/>
    </row>
    <row r="396">
      <c r="D396" s="21" t="s">
        <v>733</v>
      </c>
      <c r="H396" s="12"/>
    </row>
    <row r="397">
      <c r="D397" s="21" t="s">
        <v>733</v>
      </c>
      <c r="H397" s="12"/>
    </row>
    <row r="398">
      <c r="D398" s="21" t="s">
        <v>733</v>
      </c>
      <c r="H398" s="12"/>
    </row>
    <row r="399">
      <c r="D399" s="21" t="s">
        <v>733</v>
      </c>
      <c r="H399" s="12"/>
    </row>
    <row r="400">
      <c r="D400" s="21" t="s">
        <v>733</v>
      </c>
      <c r="H400" s="12"/>
    </row>
    <row r="401">
      <c r="D401" s="21" t="s">
        <v>733</v>
      </c>
      <c r="H401" s="12"/>
    </row>
    <row r="402">
      <c r="D402" s="21" t="s">
        <v>733</v>
      </c>
      <c r="H402" s="12"/>
    </row>
    <row r="403">
      <c r="D403" s="21" t="s">
        <v>733</v>
      </c>
      <c r="H403" s="12"/>
    </row>
    <row r="404">
      <c r="D404" s="21" t="s">
        <v>733</v>
      </c>
      <c r="H404" s="12"/>
    </row>
    <row r="405">
      <c r="D405" s="21" t="s">
        <v>733</v>
      </c>
      <c r="H405" s="12"/>
    </row>
    <row r="406">
      <c r="D406" s="21" t="s">
        <v>733</v>
      </c>
      <c r="H406" s="12"/>
    </row>
    <row r="407">
      <c r="D407" s="21" t="s">
        <v>733</v>
      </c>
      <c r="H407" s="12"/>
    </row>
    <row r="408">
      <c r="D408" s="21" t="s">
        <v>733</v>
      </c>
      <c r="H408" s="12"/>
    </row>
    <row r="409">
      <c r="D409" s="21" t="s">
        <v>733</v>
      </c>
      <c r="H409" s="12"/>
    </row>
    <row r="410">
      <c r="D410" s="21" t="s">
        <v>733</v>
      </c>
      <c r="H410" s="12"/>
    </row>
    <row r="411">
      <c r="D411" s="21" t="s">
        <v>733</v>
      </c>
      <c r="H411" s="12"/>
    </row>
    <row r="412">
      <c r="D412" s="21" t="s">
        <v>733</v>
      </c>
      <c r="H412" s="12"/>
    </row>
    <row r="413">
      <c r="D413" s="21" t="s">
        <v>733</v>
      </c>
      <c r="H413" s="12"/>
    </row>
    <row r="414">
      <c r="D414" s="21" t="s">
        <v>733</v>
      </c>
      <c r="H414" s="12"/>
    </row>
    <row r="415">
      <c r="D415" s="21" t="s">
        <v>733</v>
      </c>
      <c r="H415" s="12"/>
    </row>
    <row r="416">
      <c r="D416" s="21" t="s">
        <v>733</v>
      </c>
      <c r="H416" s="12"/>
    </row>
    <row r="417">
      <c r="D417" s="21" t="s">
        <v>733</v>
      </c>
      <c r="H417" s="12"/>
    </row>
    <row r="418">
      <c r="D418" s="21" t="s">
        <v>733</v>
      </c>
      <c r="H418" s="12"/>
    </row>
    <row r="419">
      <c r="D419" s="21" t="s">
        <v>733</v>
      </c>
      <c r="H419" s="12"/>
    </row>
    <row r="420">
      <c r="D420" s="21" t="s">
        <v>733</v>
      </c>
      <c r="H420" s="12"/>
    </row>
    <row r="421">
      <c r="D421" s="21" t="s">
        <v>733</v>
      </c>
      <c r="H421" s="12"/>
    </row>
    <row r="422">
      <c r="D422" s="21" t="s">
        <v>733</v>
      </c>
      <c r="H422" s="12"/>
    </row>
    <row r="423">
      <c r="D423" s="21" t="s">
        <v>733</v>
      </c>
      <c r="H423" s="12"/>
    </row>
    <row r="424">
      <c r="D424" s="21" t="s">
        <v>733</v>
      </c>
      <c r="H424" s="12"/>
    </row>
    <row r="425">
      <c r="D425" s="21" t="s">
        <v>733</v>
      </c>
      <c r="H425" s="12"/>
    </row>
    <row r="426">
      <c r="D426" s="21" t="s">
        <v>733</v>
      </c>
      <c r="H426" s="12"/>
    </row>
    <row r="427">
      <c r="D427" s="21" t="s">
        <v>733</v>
      </c>
      <c r="H427" s="12"/>
    </row>
    <row r="428">
      <c r="D428" s="21" t="s">
        <v>733</v>
      </c>
      <c r="H428" s="12"/>
    </row>
    <row r="429">
      <c r="D429" s="21" t="s">
        <v>733</v>
      </c>
      <c r="H429" s="12"/>
    </row>
    <row r="430">
      <c r="D430" s="21" t="s">
        <v>733</v>
      </c>
      <c r="H430" s="12"/>
    </row>
    <row r="431">
      <c r="D431" s="21" t="s">
        <v>733</v>
      </c>
      <c r="H431" s="12"/>
    </row>
    <row r="432">
      <c r="D432" s="21" t="s">
        <v>733</v>
      </c>
      <c r="H432" s="12"/>
    </row>
    <row r="433">
      <c r="D433" s="21" t="s">
        <v>733</v>
      </c>
      <c r="H433" s="12"/>
    </row>
    <row r="434">
      <c r="D434" s="21" t="s">
        <v>733</v>
      </c>
      <c r="H434" s="12"/>
    </row>
    <row r="435">
      <c r="D435" s="21" t="s">
        <v>733</v>
      </c>
      <c r="H435" s="12"/>
    </row>
    <row r="436">
      <c r="D436" s="21" t="s">
        <v>733</v>
      </c>
      <c r="H436" s="12"/>
    </row>
    <row r="437">
      <c r="D437" s="21" t="s">
        <v>733</v>
      </c>
      <c r="H437" s="12"/>
    </row>
    <row r="438">
      <c r="D438" s="21" t="s">
        <v>733</v>
      </c>
      <c r="H438" s="12"/>
    </row>
    <row r="439">
      <c r="D439" s="21" t="s">
        <v>733</v>
      </c>
      <c r="H439" s="12"/>
    </row>
    <row r="440">
      <c r="D440" s="21" t="s">
        <v>733</v>
      </c>
      <c r="H440" s="12"/>
    </row>
    <row r="441">
      <c r="D441" s="21" t="s">
        <v>733</v>
      </c>
      <c r="H441" s="12"/>
    </row>
    <row r="442">
      <c r="D442" s="21" t="s">
        <v>733</v>
      </c>
      <c r="H442" s="12"/>
    </row>
    <row r="443">
      <c r="D443" s="21" t="s">
        <v>733</v>
      </c>
      <c r="H443" s="12"/>
    </row>
    <row r="444">
      <c r="D444" s="21" t="s">
        <v>733</v>
      </c>
      <c r="H444" s="12"/>
    </row>
    <row r="445">
      <c r="D445" s="21" t="s">
        <v>733</v>
      </c>
      <c r="H445" s="12"/>
    </row>
    <row r="446">
      <c r="D446" s="21" t="s">
        <v>733</v>
      </c>
      <c r="H446" s="12"/>
    </row>
    <row r="447">
      <c r="D447" s="21" t="s">
        <v>733</v>
      </c>
      <c r="H447" s="12"/>
    </row>
    <row r="448">
      <c r="D448" s="21" t="s">
        <v>733</v>
      </c>
      <c r="H448" s="12"/>
    </row>
    <row r="449">
      <c r="D449" s="21" t="s">
        <v>733</v>
      </c>
      <c r="H449" s="12"/>
    </row>
    <row r="450">
      <c r="D450" s="21" t="s">
        <v>733</v>
      </c>
      <c r="H450" s="12"/>
    </row>
    <row r="451">
      <c r="D451" s="21" t="s">
        <v>733</v>
      </c>
      <c r="H451" s="12"/>
    </row>
    <row r="452">
      <c r="D452" s="21" t="s">
        <v>733</v>
      </c>
      <c r="H452" s="12"/>
    </row>
    <row r="453">
      <c r="D453" s="21" t="s">
        <v>733</v>
      </c>
      <c r="H453" s="12"/>
    </row>
    <row r="454">
      <c r="D454" s="21" t="s">
        <v>733</v>
      </c>
      <c r="H454" s="12"/>
    </row>
    <row r="455">
      <c r="D455" s="21" t="s">
        <v>733</v>
      </c>
      <c r="H455" s="12"/>
    </row>
    <row r="456">
      <c r="D456" s="21" t="s">
        <v>733</v>
      </c>
      <c r="H456" s="12"/>
    </row>
    <row r="457">
      <c r="D457" s="21" t="s">
        <v>733</v>
      </c>
      <c r="H457" s="12"/>
    </row>
    <row r="458">
      <c r="D458" s="21" t="s">
        <v>733</v>
      </c>
      <c r="H458" s="12"/>
    </row>
    <row r="459">
      <c r="D459" s="21" t="s">
        <v>733</v>
      </c>
      <c r="H459" s="12"/>
    </row>
    <row r="460">
      <c r="D460" s="21" t="s">
        <v>733</v>
      </c>
      <c r="H460" s="12"/>
    </row>
    <row r="461">
      <c r="D461" s="21" t="s">
        <v>733</v>
      </c>
      <c r="H461" s="12"/>
    </row>
    <row r="462">
      <c r="D462" s="21" t="s">
        <v>733</v>
      </c>
      <c r="H462" s="12"/>
    </row>
    <row r="463">
      <c r="D463" s="21" t="s">
        <v>733</v>
      </c>
      <c r="H463" s="12"/>
    </row>
    <row r="464">
      <c r="D464" s="21" t="s">
        <v>733</v>
      </c>
      <c r="H464" s="12"/>
    </row>
    <row r="465">
      <c r="D465" s="21" t="s">
        <v>733</v>
      </c>
      <c r="H465" s="12"/>
    </row>
    <row r="466">
      <c r="D466" s="21" t="s">
        <v>733</v>
      </c>
      <c r="H466" s="12"/>
    </row>
    <row r="467">
      <c r="D467" s="21" t="s">
        <v>733</v>
      </c>
      <c r="H467" s="12"/>
    </row>
    <row r="468">
      <c r="D468" s="21" t="s">
        <v>733</v>
      </c>
      <c r="H468" s="12"/>
    </row>
    <row r="469">
      <c r="D469" s="21" t="s">
        <v>733</v>
      </c>
      <c r="H469" s="12"/>
    </row>
    <row r="470">
      <c r="D470" s="21" t="s">
        <v>733</v>
      </c>
      <c r="H470" s="12"/>
    </row>
    <row r="471">
      <c r="D471" s="21" t="s">
        <v>733</v>
      </c>
      <c r="H471" s="12"/>
    </row>
    <row r="472">
      <c r="D472" s="21" t="s">
        <v>733</v>
      </c>
      <c r="H472" s="12"/>
    </row>
    <row r="473">
      <c r="D473" s="21" t="s">
        <v>733</v>
      </c>
      <c r="H473" s="12"/>
    </row>
    <row r="474">
      <c r="D474" s="21" t="s">
        <v>733</v>
      </c>
      <c r="H474" s="12"/>
    </row>
    <row r="475">
      <c r="D475" s="21" t="s">
        <v>733</v>
      </c>
      <c r="H475" s="12"/>
    </row>
    <row r="476">
      <c r="D476" s="21" t="s">
        <v>733</v>
      </c>
      <c r="H476" s="12"/>
    </row>
    <row r="477">
      <c r="D477" s="21" t="s">
        <v>733</v>
      </c>
      <c r="H477" s="12"/>
    </row>
    <row r="478">
      <c r="D478" s="21" t="s">
        <v>733</v>
      </c>
      <c r="H478" s="12"/>
    </row>
    <row r="479">
      <c r="D479" s="21" t="s">
        <v>733</v>
      </c>
      <c r="H479" s="12"/>
    </row>
    <row r="480">
      <c r="D480" s="21" t="s">
        <v>733</v>
      </c>
      <c r="H480" s="12"/>
    </row>
    <row r="481">
      <c r="D481" s="21" t="s">
        <v>733</v>
      </c>
      <c r="H481" s="12"/>
    </row>
    <row r="482">
      <c r="D482" s="21" t="s">
        <v>733</v>
      </c>
      <c r="H482" s="12"/>
    </row>
    <row r="483">
      <c r="D483" s="21" t="s">
        <v>733</v>
      </c>
      <c r="H483" s="12"/>
    </row>
    <row r="484">
      <c r="D484" s="21" t="s">
        <v>733</v>
      </c>
      <c r="H484" s="12"/>
    </row>
    <row r="485">
      <c r="D485" s="21" t="s">
        <v>733</v>
      </c>
      <c r="H485" s="12"/>
    </row>
    <row r="486">
      <c r="D486" s="21" t="s">
        <v>733</v>
      </c>
      <c r="H486" s="12"/>
    </row>
    <row r="487">
      <c r="D487" s="21" t="s">
        <v>733</v>
      </c>
      <c r="H487" s="12"/>
    </row>
    <row r="488">
      <c r="D488" s="21" t="s">
        <v>733</v>
      </c>
      <c r="H488" s="12"/>
    </row>
    <row r="489">
      <c r="D489" s="21" t="s">
        <v>733</v>
      </c>
      <c r="H489" s="12"/>
    </row>
    <row r="490">
      <c r="D490" s="21" t="s">
        <v>733</v>
      </c>
      <c r="H490" s="12"/>
    </row>
    <row r="491">
      <c r="D491" s="21" t="s">
        <v>733</v>
      </c>
      <c r="H491" s="12"/>
    </row>
    <row r="492">
      <c r="D492" s="21" t="s">
        <v>733</v>
      </c>
      <c r="H492" s="12"/>
    </row>
    <row r="493">
      <c r="D493" s="21" t="s">
        <v>733</v>
      </c>
      <c r="H493" s="12"/>
    </row>
    <row r="494">
      <c r="D494" s="21" t="s">
        <v>733</v>
      </c>
      <c r="H494" s="12"/>
    </row>
    <row r="495">
      <c r="D495" s="21" t="s">
        <v>733</v>
      </c>
      <c r="H495" s="12"/>
    </row>
    <row r="496">
      <c r="D496" s="21" t="s">
        <v>733</v>
      </c>
      <c r="H496" s="12"/>
    </row>
    <row r="497">
      <c r="D497" s="21" t="s">
        <v>733</v>
      </c>
      <c r="H497" s="12"/>
    </row>
    <row r="498">
      <c r="D498" s="21" t="s">
        <v>733</v>
      </c>
      <c r="H498" s="12"/>
    </row>
    <row r="499">
      <c r="D499" s="21" t="s">
        <v>733</v>
      </c>
      <c r="H499" s="12"/>
    </row>
    <row r="500">
      <c r="D500" s="21" t="s">
        <v>733</v>
      </c>
      <c r="H500" s="12"/>
    </row>
    <row r="501">
      <c r="D501" s="21" t="s">
        <v>733</v>
      </c>
      <c r="H501" s="12"/>
    </row>
    <row r="502">
      <c r="D502" s="21" t="s">
        <v>733</v>
      </c>
      <c r="H502" s="12"/>
    </row>
    <row r="503">
      <c r="D503" s="21" t="s">
        <v>733</v>
      </c>
      <c r="H503" s="12"/>
    </row>
    <row r="504">
      <c r="D504" s="21" t="s">
        <v>733</v>
      </c>
      <c r="H504" s="12"/>
    </row>
    <row r="505">
      <c r="D505" s="21" t="s">
        <v>733</v>
      </c>
      <c r="H505" s="12"/>
    </row>
    <row r="506">
      <c r="D506" s="21" t="s">
        <v>733</v>
      </c>
      <c r="H506" s="12"/>
    </row>
    <row r="507">
      <c r="D507" s="21" t="s">
        <v>733</v>
      </c>
      <c r="H507" s="12"/>
    </row>
    <row r="508">
      <c r="D508" s="21" t="s">
        <v>733</v>
      </c>
      <c r="H508" s="12"/>
    </row>
    <row r="509">
      <c r="D509" s="21" t="s">
        <v>733</v>
      </c>
      <c r="H509" s="12"/>
    </row>
    <row r="510">
      <c r="D510" s="21" t="s">
        <v>733</v>
      </c>
      <c r="H510" s="12"/>
    </row>
    <row r="511">
      <c r="D511" s="21" t="s">
        <v>733</v>
      </c>
      <c r="H511" s="12"/>
    </row>
    <row r="512">
      <c r="D512" s="21" t="s">
        <v>733</v>
      </c>
      <c r="H512" s="12"/>
    </row>
    <row r="513">
      <c r="D513" s="21" t="s">
        <v>733</v>
      </c>
      <c r="H513" s="12"/>
    </row>
    <row r="514">
      <c r="D514" s="21" t="s">
        <v>733</v>
      </c>
      <c r="H514" s="12"/>
    </row>
    <row r="515">
      <c r="D515" s="21" t="s">
        <v>733</v>
      </c>
      <c r="H515" s="12"/>
    </row>
    <row r="516">
      <c r="D516" s="21" t="s">
        <v>733</v>
      </c>
      <c r="H516" s="12"/>
    </row>
    <row r="517">
      <c r="D517" s="21" t="s">
        <v>733</v>
      </c>
      <c r="H517" s="12"/>
    </row>
    <row r="518">
      <c r="D518" s="21" t="s">
        <v>733</v>
      </c>
      <c r="H518" s="12"/>
    </row>
    <row r="519">
      <c r="D519" s="21" t="s">
        <v>733</v>
      </c>
      <c r="H519" s="12"/>
    </row>
    <row r="520">
      <c r="D520" s="21" t="s">
        <v>733</v>
      </c>
      <c r="H520" s="12"/>
    </row>
    <row r="521">
      <c r="D521" s="21" t="s">
        <v>733</v>
      </c>
      <c r="H521" s="12"/>
    </row>
    <row r="522">
      <c r="D522" s="21" t="s">
        <v>733</v>
      </c>
      <c r="H522" s="12"/>
    </row>
    <row r="523">
      <c r="D523" s="21" t="s">
        <v>733</v>
      </c>
      <c r="H523" s="12"/>
    </row>
    <row r="524">
      <c r="D524" s="21" t="s">
        <v>733</v>
      </c>
      <c r="H524" s="12"/>
    </row>
    <row r="525">
      <c r="D525" s="21" t="s">
        <v>733</v>
      </c>
      <c r="H525" s="12"/>
    </row>
    <row r="526">
      <c r="D526" s="21" t="s">
        <v>733</v>
      </c>
      <c r="H526" s="12"/>
    </row>
    <row r="527">
      <c r="D527" s="21" t="s">
        <v>733</v>
      </c>
      <c r="H527" s="12"/>
    </row>
    <row r="528">
      <c r="D528" s="21" t="s">
        <v>733</v>
      </c>
      <c r="H528" s="12"/>
    </row>
    <row r="529">
      <c r="D529" s="21" t="s">
        <v>733</v>
      </c>
      <c r="H529" s="12"/>
    </row>
    <row r="530">
      <c r="D530" s="21" t="s">
        <v>733</v>
      </c>
      <c r="H530" s="12"/>
    </row>
    <row r="531">
      <c r="D531" s="21" t="s">
        <v>733</v>
      </c>
      <c r="H531" s="12"/>
    </row>
    <row r="532">
      <c r="D532" s="21" t="s">
        <v>733</v>
      </c>
      <c r="H532" s="12"/>
    </row>
    <row r="533">
      <c r="D533" s="21" t="s">
        <v>733</v>
      </c>
      <c r="H533" s="12"/>
    </row>
    <row r="534">
      <c r="D534" s="21" t="s">
        <v>733</v>
      </c>
      <c r="H534" s="12"/>
    </row>
    <row r="535">
      <c r="D535" s="21" t="s">
        <v>733</v>
      </c>
      <c r="H535" s="12"/>
    </row>
    <row r="536">
      <c r="D536" s="21" t="s">
        <v>733</v>
      </c>
      <c r="H536" s="12"/>
    </row>
    <row r="537">
      <c r="D537" s="21" t="s">
        <v>733</v>
      </c>
      <c r="H537" s="12"/>
    </row>
    <row r="538">
      <c r="D538" s="21" t="s">
        <v>733</v>
      </c>
      <c r="H538" s="12"/>
    </row>
    <row r="539">
      <c r="D539" s="21" t="s">
        <v>733</v>
      </c>
      <c r="H539" s="12"/>
    </row>
    <row r="540">
      <c r="D540" s="21" t="s">
        <v>733</v>
      </c>
      <c r="H540" s="12"/>
    </row>
    <row r="541">
      <c r="D541" s="21" t="s">
        <v>733</v>
      </c>
      <c r="H541" s="12"/>
    </row>
    <row r="542">
      <c r="D542" s="21" t="s">
        <v>733</v>
      </c>
      <c r="H542" s="12"/>
    </row>
    <row r="543">
      <c r="D543" s="21" t="s">
        <v>733</v>
      </c>
      <c r="H543" s="12"/>
    </row>
    <row r="544">
      <c r="D544" s="21" t="s">
        <v>733</v>
      </c>
      <c r="H544" s="12"/>
    </row>
    <row r="545">
      <c r="D545" s="21" t="s">
        <v>733</v>
      </c>
      <c r="H545" s="12"/>
    </row>
    <row r="546">
      <c r="D546" s="21" t="s">
        <v>733</v>
      </c>
      <c r="H546" s="12"/>
    </row>
    <row r="547">
      <c r="D547" s="21" t="s">
        <v>733</v>
      </c>
      <c r="H547" s="12"/>
    </row>
    <row r="548">
      <c r="D548" s="21" t="s">
        <v>733</v>
      </c>
      <c r="H548" s="12"/>
    </row>
    <row r="549">
      <c r="D549" s="21" t="s">
        <v>733</v>
      </c>
      <c r="H549" s="12"/>
    </row>
    <row r="550">
      <c r="D550" s="21" t="s">
        <v>733</v>
      </c>
      <c r="H550" s="12"/>
    </row>
    <row r="551">
      <c r="D551" s="21" t="s">
        <v>733</v>
      </c>
      <c r="H551" s="12"/>
    </row>
    <row r="552">
      <c r="D552" s="21" t="s">
        <v>733</v>
      </c>
      <c r="H552" s="12"/>
    </row>
    <row r="553">
      <c r="D553" s="21" t="s">
        <v>733</v>
      </c>
      <c r="H553" s="12"/>
    </row>
    <row r="554">
      <c r="D554" s="21" t="s">
        <v>733</v>
      </c>
      <c r="H554" s="12"/>
    </row>
    <row r="555">
      <c r="D555" s="21" t="s">
        <v>733</v>
      </c>
      <c r="H555" s="12"/>
    </row>
    <row r="556">
      <c r="D556" s="21" t="s">
        <v>733</v>
      </c>
      <c r="H556" s="12"/>
    </row>
    <row r="557">
      <c r="D557" s="21" t="s">
        <v>733</v>
      </c>
      <c r="H557" s="12"/>
    </row>
    <row r="558">
      <c r="D558" s="21" t="s">
        <v>733</v>
      </c>
      <c r="H558" s="12"/>
    </row>
    <row r="559">
      <c r="D559" s="21" t="s">
        <v>733</v>
      </c>
      <c r="H559" s="12"/>
    </row>
    <row r="560">
      <c r="D560" s="21" t="s">
        <v>733</v>
      </c>
      <c r="H560" s="12"/>
    </row>
    <row r="561">
      <c r="D561" s="21" t="s">
        <v>733</v>
      </c>
      <c r="H561" s="12"/>
    </row>
    <row r="562">
      <c r="D562" s="21" t="s">
        <v>733</v>
      </c>
      <c r="H562" s="12"/>
    </row>
    <row r="563">
      <c r="D563" s="21" t="s">
        <v>733</v>
      </c>
      <c r="H563" s="12"/>
    </row>
    <row r="564">
      <c r="D564" s="21" t="s">
        <v>733</v>
      </c>
      <c r="H564" s="12"/>
    </row>
    <row r="565">
      <c r="D565" s="21" t="s">
        <v>733</v>
      </c>
      <c r="H565" s="12"/>
    </row>
    <row r="566">
      <c r="D566" s="21" t="s">
        <v>733</v>
      </c>
      <c r="H566" s="12"/>
    </row>
    <row r="567">
      <c r="D567" s="21" t="s">
        <v>733</v>
      </c>
      <c r="H567" s="12"/>
    </row>
    <row r="568">
      <c r="D568" s="21" t="s">
        <v>733</v>
      </c>
      <c r="H568" s="12"/>
    </row>
    <row r="569">
      <c r="D569" s="21" t="s">
        <v>733</v>
      </c>
      <c r="H569" s="12"/>
    </row>
    <row r="570">
      <c r="D570" s="21" t="s">
        <v>733</v>
      </c>
      <c r="H570" s="12"/>
    </row>
    <row r="571">
      <c r="D571" s="21" t="s">
        <v>733</v>
      </c>
      <c r="H571" s="12"/>
    </row>
    <row r="572">
      <c r="D572" s="21" t="s">
        <v>733</v>
      </c>
      <c r="H572" s="12"/>
    </row>
    <row r="573">
      <c r="D573" s="21" t="s">
        <v>733</v>
      </c>
      <c r="H573" s="12"/>
    </row>
    <row r="574">
      <c r="D574" s="21" t="s">
        <v>733</v>
      </c>
      <c r="H574" s="12"/>
    </row>
    <row r="575">
      <c r="D575" s="21" t="s">
        <v>733</v>
      </c>
      <c r="H575" s="12"/>
    </row>
    <row r="576">
      <c r="D576" s="21" t="s">
        <v>733</v>
      </c>
      <c r="H576" s="12"/>
    </row>
    <row r="577">
      <c r="D577" s="21" t="s">
        <v>733</v>
      </c>
      <c r="H577" s="12"/>
    </row>
    <row r="578">
      <c r="D578" s="21" t="s">
        <v>733</v>
      </c>
      <c r="H578" s="12"/>
    </row>
    <row r="579">
      <c r="D579" s="21" t="s">
        <v>733</v>
      </c>
      <c r="H579" s="12"/>
    </row>
    <row r="580">
      <c r="D580" s="21" t="s">
        <v>733</v>
      </c>
      <c r="H580" s="12"/>
    </row>
    <row r="581">
      <c r="D581" s="21" t="s">
        <v>733</v>
      </c>
      <c r="H581" s="12"/>
    </row>
    <row r="582">
      <c r="D582" s="21" t="s">
        <v>733</v>
      </c>
      <c r="H582" s="12"/>
    </row>
    <row r="583">
      <c r="D583" s="21" t="s">
        <v>733</v>
      </c>
      <c r="H583" s="12"/>
    </row>
    <row r="584">
      <c r="D584" s="21" t="s">
        <v>733</v>
      </c>
      <c r="H584" s="12"/>
    </row>
    <row r="585">
      <c r="D585" s="21" t="s">
        <v>733</v>
      </c>
      <c r="H585" s="12"/>
    </row>
    <row r="586">
      <c r="D586" s="21" t="s">
        <v>733</v>
      </c>
      <c r="H586" s="12"/>
    </row>
    <row r="587">
      <c r="D587" s="21" t="s">
        <v>733</v>
      </c>
      <c r="H587" s="12"/>
    </row>
    <row r="588">
      <c r="D588" s="21" t="s">
        <v>733</v>
      </c>
      <c r="H588" s="12"/>
    </row>
    <row r="589">
      <c r="D589" s="21" t="s">
        <v>733</v>
      </c>
      <c r="H589" s="12"/>
    </row>
    <row r="590">
      <c r="D590" s="21" t="s">
        <v>733</v>
      </c>
      <c r="H590" s="12"/>
    </row>
    <row r="591">
      <c r="D591" s="21" t="s">
        <v>733</v>
      </c>
      <c r="H591" s="12"/>
    </row>
    <row r="592">
      <c r="D592" s="21" t="s">
        <v>733</v>
      </c>
      <c r="H592" s="12"/>
    </row>
    <row r="593">
      <c r="D593" s="21" t="s">
        <v>733</v>
      </c>
      <c r="H593" s="12"/>
    </row>
    <row r="594">
      <c r="D594" s="21" t="s">
        <v>733</v>
      </c>
      <c r="H594" s="12"/>
    </row>
    <row r="595">
      <c r="D595" s="21" t="s">
        <v>733</v>
      </c>
      <c r="H595" s="12"/>
    </row>
    <row r="596">
      <c r="D596" s="21" t="s">
        <v>733</v>
      </c>
      <c r="H596" s="12"/>
    </row>
    <row r="597">
      <c r="D597" s="21" t="s">
        <v>733</v>
      </c>
      <c r="H597" s="12"/>
    </row>
    <row r="598">
      <c r="D598" s="21" t="s">
        <v>733</v>
      </c>
      <c r="H598" s="12"/>
    </row>
    <row r="599">
      <c r="D599" s="21" t="s">
        <v>733</v>
      </c>
      <c r="H599" s="12"/>
    </row>
    <row r="600">
      <c r="D600" s="21" t="s">
        <v>733</v>
      </c>
      <c r="H600" s="12"/>
    </row>
    <row r="601">
      <c r="D601" s="21" t="s">
        <v>733</v>
      </c>
      <c r="H601" s="12"/>
    </row>
    <row r="602">
      <c r="D602" s="21" t="s">
        <v>733</v>
      </c>
      <c r="H602" s="12"/>
    </row>
    <row r="603">
      <c r="D603" s="21" t="s">
        <v>733</v>
      </c>
      <c r="H603" s="12"/>
    </row>
    <row r="604">
      <c r="D604" s="21" t="s">
        <v>733</v>
      </c>
      <c r="H604" s="12"/>
    </row>
    <row r="605">
      <c r="D605" s="21" t="s">
        <v>733</v>
      </c>
      <c r="H605" s="12"/>
    </row>
    <row r="606">
      <c r="D606" s="21" t="s">
        <v>733</v>
      </c>
      <c r="H606" s="12"/>
    </row>
    <row r="607">
      <c r="D607" s="21" t="s">
        <v>733</v>
      </c>
      <c r="H607" s="12"/>
    </row>
    <row r="608">
      <c r="D608" s="21" t="s">
        <v>733</v>
      </c>
      <c r="H608" s="12"/>
    </row>
    <row r="609">
      <c r="D609" s="21" t="s">
        <v>733</v>
      </c>
      <c r="H609" s="12"/>
    </row>
    <row r="610">
      <c r="D610" s="21" t="s">
        <v>733</v>
      </c>
      <c r="H610" s="12"/>
    </row>
    <row r="611">
      <c r="D611" s="21" t="s">
        <v>733</v>
      </c>
      <c r="H611" s="12"/>
    </row>
    <row r="612">
      <c r="D612" s="21" t="s">
        <v>733</v>
      </c>
      <c r="H612" s="12"/>
    </row>
    <row r="613">
      <c r="D613" s="21" t="s">
        <v>733</v>
      </c>
      <c r="H613" s="12"/>
    </row>
    <row r="614">
      <c r="D614" s="21" t="s">
        <v>733</v>
      </c>
      <c r="H614" s="12"/>
    </row>
    <row r="615">
      <c r="D615" s="21" t="s">
        <v>733</v>
      </c>
      <c r="H615" s="12"/>
    </row>
    <row r="616">
      <c r="D616" s="21" t="s">
        <v>733</v>
      </c>
      <c r="H616" s="12"/>
    </row>
    <row r="617">
      <c r="D617" s="21" t="s">
        <v>733</v>
      </c>
      <c r="H617" s="12"/>
    </row>
    <row r="618">
      <c r="D618" s="21" t="s">
        <v>733</v>
      </c>
      <c r="H618" s="12"/>
    </row>
    <row r="619">
      <c r="D619" s="21" t="s">
        <v>733</v>
      </c>
      <c r="H619" s="12"/>
    </row>
    <row r="620">
      <c r="D620" s="21" t="s">
        <v>733</v>
      </c>
      <c r="H620" s="12"/>
    </row>
    <row r="621">
      <c r="D621" s="21" t="s">
        <v>733</v>
      </c>
      <c r="H621" s="12"/>
    </row>
    <row r="622">
      <c r="D622" s="21" t="s">
        <v>733</v>
      </c>
      <c r="H622" s="12"/>
    </row>
    <row r="623">
      <c r="D623" s="21" t="s">
        <v>733</v>
      </c>
      <c r="H623" s="12"/>
    </row>
    <row r="624">
      <c r="D624" s="21" t="s">
        <v>733</v>
      </c>
      <c r="H624" s="12"/>
    </row>
    <row r="625">
      <c r="D625" s="21" t="s">
        <v>733</v>
      </c>
      <c r="H625" s="12"/>
    </row>
    <row r="626">
      <c r="D626" s="21" t="s">
        <v>733</v>
      </c>
      <c r="H626" s="12"/>
    </row>
    <row r="627">
      <c r="D627" s="21" t="s">
        <v>733</v>
      </c>
      <c r="H627" s="12"/>
    </row>
    <row r="628">
      <c r="D628" s="21" t="s">
        <v>733</v>
      </c>
      <c r="H628" s="12"/>
    </row>
    <row r="629">
      <c r="D629" s="21" t="s">
        <v>733</v>
      </c>
      <c r="H629" s="12"/>
    </row>
    <row r="630">
      <c r="D630" s="21" t="s">
        <v>733</v>
      </c>
      <c r="H630" s="12"/>
    </row>
    <row r="631">
      <c r="D631" s="21" t="s">
        <v>733</v>
      </c>
      <c r="H631" s="12"/>
    </row>
    <row r="632">
      <c r="D632" s="21" t="s">
        <v>733</v>
      </c>
      <c r="H632" s="12"/>
    </row>
    <row r="633">
      <c r="D633" s="21" t="s">
        <v>733</v>
      </c>
      <c r="H633" s="12"/>
    </row>
    <row r="634">
      <c r="D634" s="21" t="s">
        <v>733</v>
      </c>
      <c r="H634" s="12"/>
    </row>
    <row r="635">
      <c r="D635" s="21" t="s">
        <v>733</v>
      </c>
      <c r="H635" s="12"/>
    </row>
    <row r="636">
      <c r="D636" s="21" t="s">
        <v>733</v>
      </c>
      <c r="H636" s="12"/>
    </row>
    <row r="637">
      <c r="D637" s="21" t="s">
        <v>733</v>
      </c>
      <c r="H637" s="12"/>
    </row>
    <row r="638">
      <c r="D638" s="21" t="s">
        <v>733</v>
      </c>
      <c r="H638" s="12"/>
    </row>
    <row r="639">
      <c r="D639" s="21" t="s">
        <v>733</v>
      </c>
      <c r="H639" s="12"/>
    </row>
    <row r="640">
      <c r="D640" s="21" t="s">
        <v>733</v>
      </c>
      <c r="H640" s="12"/>
    </row>
    <row r="641">
      <c r="D641" s="21" t="s">
        <v>733</v>
      </c>
      <c r="H641" s="12"/>
    </row>
    <row r="642">
      <c r="D642" s="21" t="s">
        <v>733</v>
      </c>
      <c r="H642" s="12"/>
    </row>
    <row r="643">
      <c r="D643" s="21" t="s">
        <v>733</v>
      </c>
      <c r="H643" s="12"/>
    </row>
    <row r="644">
      <c r="D644" s="21" t="s">
        <v>733</v>
      </c>
      <c r="H644" s="12"/>
    </row>
    <row r="645">
      <c r="D645" s="21" t="s">
        <v>733</v>
      </c>
      <c r="H645" s="12"/>
    </row>
    <row r="646">
      <c r="D646" s="21" t="s">
        <v>733</v>
      </c>
      <c r="H646" s="12"/>
    </row>
    <row r="647">
      <c r="D647" s="21" t="s">
        <v>733</v>
      </c>
      <c r="H647" s="12"/>
    </row>
    <row r="648">
      <c r="D648" s="21" t="s">
        <v>733</v>
      </c>
      <c r="H648" s="12"/>
    </row>
    <row r="649">
      <c r="D649" s="21" t="s">
        <v>733</v>
      </c>
      <c r="H649" s="12"/>
    </row>
    <row r="650">
      <c r="D650" s="21" t="s">
        <v>733</v>
      </c>
      <c r="H650" s="12"/>
    </row>
    <row r="651">
      <c r="D651" s="21" t="s">
        <v>733</v>
      </c>
      <c r="H651" s="12"/>
    </row>
    <row r="652">
      <c r="D652" s="21" t="s">
        <v>733</v>
      </c>
      <c r="H652" s="12"/>
    </row>
    <row r="653">
      <c r="D653" s="21" t="s">
        <v>733</v>
      </c>
      <c r="H653" s="12"/>
    </row>
    <row r="654">
      <c r="D654" s="21" t="s">
        <v>733</v>
      </c>
      <c r="H654" s="12"/>
    </row>
    <row r="655">
      <c r="D655" s="21" t="s">
        <v>733</v>
      </c>
      <c r="H655" s="12"/>
    </row>
    <row r="656">
      <c r="D656" s="21" t="s">
        <v>733</v>
      </c>
      <c r="H656" s="12"/>
    </row>
    <row r="657">
      <c r="D657" s="21" t="s">
        <v>733</v>
      </c>
      <c r="H657" s="12"/>
    </row>
    <row r="658">
      <c r="D658" s="21" t="s">
        <v>733</v>
      </c>
      <c r="H658" s="12"/>
    </row>
    <row r="659">
      <c r="D659" s="21" t="s">
        <v>733</v>
      </c>
      <c r="H659" s="12"/>
    </row>
    <row r="660">
      <c r="D660" s="21" t="s">
        <v>733</v>
      </c>
      <c r="H660" s="12"/>
    </row>
    <row r="661">
      <c r="D661" s="21" t="s">
        <v>733</v>
      </c>
      <c r="H661" s="12"/>
    </row>
    <row r="662">
      <c r="D662" s="21" t="s">
        <v>733</v>
      </c>
      <c r="H662" s="12"/>
    </row>
    <row r="663">
      <c r="D663" s="21" t="s">
        <v>733</v>
      </c>
      <c r="H663" s="12"/>
    </row>
    <row r="664">
      <c r="D664" s="21" t="s">
        <v>733</v>
      </c>
      <c r="H664" s="12"/>
    </row>
    <row r="665">
      <c r="D665" s="21" t="s">
        <v>733</v>
      </c>
      <c r="H665" s="12"/>
    </row>
    <row r="666">
      <c r="D666" s="21" t="s">
        <v>733</v>
      </c>
      <c r="H666" s="12"/>
    </row>
    <row r="667">
      <c r="D667" s="21" t="s">
        <v>733</v>
      </c>
      <c r="H667" s="12"/>
    </row>
    <row r="668">
      <c r="D668" s="21" t="s">
        <v>733</v>
      </c>
      <c r="H668" s="12"/>
    </row>
    <row r="669">
      <c r="D669" s="21" t="s">
        <v>733</v>
      </c>
      <c r="H669" s="12"/>
    </row>
    <row r="670">
      <c r="D670" s="21" t="s">
        <v>733</v>
      </c>
      <c r="H670" s="12"/>
    </row>
    <row r="671">
      <c r="D671" s="21" t="s">
        <v>733</v>
      </c>
      <c r="H671" s="12"/>
    </row>
    <row r="672">
      <c r="D672" s="21" t="s">
        <v>733</v>
      </c>
      <c r="H672" s="12"/>
    </row>
    <row r="673">
      <c r="D673" s="21" t="s">
        <v>733</v>
      </c>
      <c r="H673" s="12"/>
    </row>
    <row r="674">
      <c r="D674" s="21" t="s">
        <v>733</v>
      </c>
      <c r="H674" s="12"/>
    </row>
    <row r="675">
      <c r="D675" s="21" t="s">
        <v>733</v>
      </c>
      <c r="H675" s="12"/>
    </row>
    <row r="676">
      <c r="D676" s="21" t="s">
        <v>733</v>
      </c>
      <c r="H676" s="12"/>
    </row>
    <row r="677">
      <c r="D677" s="21" t="s">
        <v>733</v>
      </c>
      <c r="H677" s="12"/>
    </row>
    <row r="678">
      <c r="D678" s="21" t="s">
        <v>733</v>
      </c>
      <c r="H678" s="12"/>
    </row>
    <row r="679">
      <c r="D679" s="21" t="s">
        <v>733</v>
      </c>
      <c r="H679" s="12"/>
    </row>
    <row r="680">
      <c r="D680" s="21" t="s">
        <v>733</v>
      </c>
      <c r="H680" s="12"/>
    </row>
    <row r="681">
      <c r="D681" s="21" t="s">
        <v>733</v>
      </c>
      <c r="H681" s="12"/>
    </row>
    <row r="682">
      <c r="D682" s="21" t="s">
        <v>733</v>
      </c>
      <c r="H682" s="12"/>
    </row>
    <row r="683">
      <c r="D683" s="21" t="s">
        <v>733</v>
      </c>
      <c r="H683" s="12"/>
    </row>
    <row r="684">
      <c r="D684" s="21" t="s">
        <v>733</v>
      </c>
      <c r="H684" s="12"/>
    </row>
    <row r="685">
      <c r="D685" s="21" t="s">
        <v>733</v>
      </c>
      <c r="H685" s="12"/>
    </row>
    <row r="686">
      <c r="D686" s="21" t="s">
        <v>733</v>
      </c>
      <c r="H686" s="12"/>
    </row>
    <row r="687">
      <c r="D687" s="21" t="s">
        <v>733</v>
      </c>
      <c r="H687" s="12"/>
    </row>
    <row r="688">
      <c r="D688" s="21" t="s">
        <v>733</v>
      </c>
      <c r="H688" s="12"/>
    </row>
    <row r="689">
      <c r="D689" s="21" t="s">
        <v>733</v>
      </c>
      <c r="H689" s="12"/>
    </row>
    <row r="690">
      <c r="D690" s="21" t="s">
        <v>733</v>
      </c>
      <c r="H690" s="12"/>
    </row>
    <row r="691">
      <c r="D691" s="21" t="s">
        <v>733</v>
      </c>
      <c r="H691" s="12"/>
    </row>
    <row r="692">
      <c r="D692" s="21" t="s">
        <v>733</v>
      </c>
      <c r="H692" s="12"/>
    </row>
    <row r="693">
      <c r="D693" s="21" t="s">
        <v>733</v>
      </c>
      <c r="H693" s="12"/>
    </row>
    <row r="694">
      <c r="D694" s="21" t="s">
        <v>733</v>
      </c>
      <c r="H694" s="12"/>
    </row>
    <row r="695">
      <c r="D695" s="21" t="s">
        <v>733</v>
      </c>
      <c r="H695" s="12"/>
    </row>
    <row r="696">
      <c r="D696" s="21" t="s">
        <v>733</v>
      </c>
      <c r="H696" s="12"/>
    </row>
    <row r="697">
      <c r="D697" s="21" t="s">
        <v>733</v>
      </c>
      <c r="H697" s="12"/>
    </row>
    <row r="698">
      <c r="D698" s="21" t="s">
        <v>733</v>
      </c>
      <c r="H698" s="12"/>
    </row>
    <row r="699">
      <c r="D699" s="21" t="s">
        <v>733</v>
      </c>
      <c r="H699" s="12"/>
    </row>
    <row r="700">
      <c r="D700" s="21" t="s">
        <v>733</v>
      </c>
      <c r="H700" s="12"/>
    </row>
    <row r="701">
      <c r="D701" s="21" t="s">
        <v>733</v>
      </c>
      <c r="H701" s="12"/>
    </row>
    <row r="702">
      <c r="D702" s="21" t="s">
        <v>733</v>
      </c>
      <c r="H702" s="12"/>
    </row>
    <row r="703">
      <c r="D703" s="21" t="s">
        <v>733</v>
      </c>
      <c r="H703" s="12"/>
    </row>
    <row r="704">
      <c r="D704" s="21" t="s">
        <v>733</v>
      </c>
      <c r="H704" s="12"/>
    </row>
    <row r="705">
      <c r="D705" s="21" t="s">
        <v>733</v>
      </c>
      <c r="H705" s="12"/>
    </row>
    <row r="706">
      <c r="D706" s="21" t="s">
        <v>733</v>
      </c>
      <c r="H706" s="12"/>
    </row>
    <row r="707">
      <c r="D707" s="21" t="s">
        <v>733</v>
      </c>
      <c r="H707" s="12"/>
    </row>
    <row r="708">
      <c r="D708" s="21" t="s">
        <v>733</v>
      </c>
      <c r="H708" s="12"/>
    </row>
    <row r="709">
      <c r="D709" s="21" t="s">
        <v>733</v>
      </c>
      <c r="H709" s="12"/>
    </row>
    <row r="710">
      <c r="D710" s="21" t="s">
        <v>733</v>
      </c>
      <c r="H710" s="12"/>
    </row>
    <row r="711">
      <c r="D711" s="21" t="s">
        <v>733</v>
      </c>
      <c r="H711" s="12"/>
    </row>
    <row r="712">
      <c r="D712" s="21" t="s">
        <v>733</v>
      </c>
      <c r="H712" s="12"/>
    </row>
    <row r="713">
      <c r="D713" s="21" t="s">
        <v>733</v>
      </c>
      <c r="H713" s="12"/>
    </row>
    <row r="714">
      <c r="D714" s="21" t="s">
        <v>733</v>
      </c>
      <c r="H714" s="12"/>
    </row>
    <row r="715">
      <c r="D715" s="21" t="s">
        <v>733</v>
      </c>
      <c r="H715" s="12"/>
    </row>
    <row r="716">
      <c r="D716" s="21" t="s">
        <v>733</v>
      </c>
      <c r="H716" s="12"/>
    </row>
    <row r="717">
      <c r="D717" s="21" t="s">
        <v>733</v>
      </c>
      <c r="H717" s="12"/>
    </row>
    <row r="718">
      <c r="D718" s="21" t="s">
        <v>733</v>
      </c>
      <c r="H718" s="12"/>
    </row>
    <row r="719">
      <c r="D719" s="21" t="s">
        <v>733</v>
      </c>
      <c r="H719" s="12"/>
    </row>
    <row r="720">
      <c r="D720" s="21" t="s">
        <v>733</v>
      </c>
      <c r="H720" s="12"/>
    </row>
    <row r="721">
      <c r="D721" s="21" t="s">
        <v>733</v>
      </c>
      <c r="H721" s="12"/>
    </row>
    <row r="722">
      <c r="D722" s="21" t="s">
        <v>733</v>
      </c>
      <c r="H722" s="12"/>
    </row>
    <row r="723">
      <c r="D723" s="21" t="s">
        <v>733</v>
      </c>
      <c r="H723" s="12"/>
    </row>
    <row r="724">
      <c r="D724" s="21" t="s">
        <v>733</v>
      </c>
      <c r="H724" s="12"/>
    </row>
    <row r="725">
      <c r="D725" s="21" t="s">
        <v>733</v>
      </c>
      <c r="H725" s="12"/>
    </row>
    <row r="726">
      <c r="D726" s="21" t="s">
        <v>733</v>
      </c>
      <c r="H726" s="12"/>
    </row>
    <row r="727">
      <c r="D727" s="21" t="s">
        <v>733</v>
      </c>
      <c r="H727" s="12"/>
    </row>
    <row r="728">
      <c r="D728" s="21" t="s">
        <v>733</v>
      </c>
      <c r="H728" s="12"/>
    </row>
    <row r="729">
      <c r="D729" s="21" t="s">
        <v>733</v>
      </c>
      <c r="H729" s="12"/>
    </row>
    <row r="730">
      <c r="D730" s="21" t="s">
        <v>733</v>
      </c>
      <c r="H730" s="12"/>
    </row>
    <row r="731">
      <c r="D731" s="21" t="s">
        <v>733</v>
      </c>
      <c r="H731" s="12"/>
    </row>
    <row r="732">
      <c r="D732" s="21" t="s">
        <v>733</v>
      </c>
      <c r="H732" s="12"/>
    </row>
    <row r="733">
      <c r="D733" s="21" t="s">
        <v>733</v>
      </c>
      <c r="H733" s="12"/>
    </row>
    <row r="734">
      <c r="D734" s="21" t="s">
        <v>733</v>
      </c>
      <c r="H734" s="12"/>
    </row>
    <row r="735">
      <c r="D735" s="21" t="s">
        <v>733</v>
      </c>
      <c r="H735" s="12"/>
    </row>
    <row r="736">
      <c r="D736" s="21" t="s">
        <v>733</v>
      </c>
      <c r="H736" s="12"/>
    </row>
    <row r="737">
      <c r="D737" s="21" t="s">
        <v>733</v>
      </c>
      <c r="H737" s="12"/>
    </row>
    <row r="738">
      <c r="D738" s="21" t="s">
        <v>733</v>
      </c>
      <c r="H738" s="12"/>
    </row>
    <row r="739">
      <c r="D739" s="21" t="s">
        <v>733</v>
      </c>
      <c r="H739" s="12"/>
    </row>
    <row r="740">
      <c r="D740" s="21" t="s">
        <v>733</v>
      </c>
      <c r="H740" s="12"/>
    </row>
    <row r="741">
      <c r="D741" s="21" t="s">
        <v>733</v>
      </c>
      <c r="H741" s="12"/>
    </row>
    <row r="742">
      <c r="D742" s="21" t="s">
        <v>733</v>
      </c>
      <c r="H742" s="12"/>
    </row>
    <row r="743">
      <c r="D743" s="21" t="s">
        <v>733</v>
      </c>
      <c r="H743" s="12"/>
    </row>
    <row r="744">
      <c r="D744" s="21" t="s">
        <v>733</v>
      </c>
      <c r="H744" s="12"/>
    </row>
    <row r="745">
      <c r="D745" s="21" t="s">
        <v>733</v>
      </c>
      <c r="H745" s="12"/>
    </row>
    <row r="746">
      <c r="D746" s="21" t="s">
        <v>733</v>
      </c>
      <c r="H746" s="12"/>
    </row>
    <row r="747">
      <c r="D747" s="21" t="s">
        <v>733</v>
      </c>
      <c r="H747" s="12"/>
    </row>
    <row r="748">
      <c r="D748" s="21" t="s">
        <v>733</v>
      </c>
      <c r="H748" s="12"/>
    </row>
    <row r="749">
      <c r="D749" s="21" t="s">
        <v>733</v>
      </c>
      <c r="H749" s="12"/>
    </row>
    <row r="750">
      <c r="D750" s="21" t="s">
        <v>733</v>
      </c>
      <c r="H750" s="12"/>
    </row>
    <row r="751">
      <c r="D751" s="21" t="s">
        <v>733</v>
      </c>
      <c r="H751" s="12"/>
    </row>
    <row r="752">
      <c r="D752" s="21" t="s">
        <v>733</v>
      </c>
      <c r="H752" s="12"/>
    </row>
    <row r="753">
      <c r="D753" s="21" t="s">
        <v>733</v>
      </c>
      <c r="H753" s="12"/>
    </row>
    <row r="754">
      <c r="D754" s="21" t="s">
        <v>733</v>
      </c>
      <c r="H754" s="12"/>
    </row>
    <row r="755">
      <c r="D755" s="21" t="s">
        <v>733</v>
      </c>
      <c r="H755" s="12"/>
    </row>
    <row r="756">
      <c r="D756" s="21" t="s">
        <v>733</v>
      </c>
      <c r="H756" s="12"/>
    </row>
    <row r="757">
      <c r="D757" s="21" t="s">
        <v>733</v>
      </c>
      <c r="H757" s="12"/>
    </row>
    <row r="758">
      <c r="D758" s="21" t="s">
        <v>733</v>
      </c>
      <c r="H758" s="12"/>
    </row>
    <row r="759">
      <c r="D759" s="21" t="s">
        <v>733</v>
      </c>
      <c r="H759" s="12"/>
    </row>
    <row r="760">
      <c r="D760" s="21" t="s">
        <v>733</v>
      </c>
      <c r="H760" s="12"/>
    </row>
    <row r="761">
      <c r="D761" s="21" t="s">
        <v>733</v>
      </c>
      <c r="H761" s="12"/>
    </row>
    <row r="762">
      <c r="D762" s="21" t="s">
        <v>733</v>
      </c>
      <c r="H762" s="12"/>
    </row>
    <row r="763">
      <c r="D763" s="21" t="s">
        <v>733</v>
      </c>
      <c r="H763" s="12"/>
    </row>
    <row r="764">
      <c r="D764" s="21" t="s">
        <v>733</v>
      </c>
      <c r="H764" s="12"/>
    </row>
    <row r="765">
      <c r="D765" s="21" t="s">
        <v>733</v>
      </c>
      <c r="H765" s="12"/>
    </row>
    <row r="766">
      <c r="D766" s="21" t="s">
        <v>733</v>
      </c>
      <c r="H766" s="12"/>
    </row>
    <row r="767">
      <c r="D767" s="21" t="s">
        <v>733</v>
      </c>
      <c r="H767" s="12"/>
    </row>
    <row r="768">
      <c r="D768" s="21" t="s">
        <v>733</v>
      </c>
      <c r="H768" s="12"/>
    </row>
    <row r="769">
      <c r="D769" s="21" t="s">
        <v>733</v>
      </c>
      <c r="H769" s="12"/>
    </row>
    <row r="770">
      <c r="D770" s="21" t="s">
        <v>733</v>
      </c>
      <c r="H770" s="12"/>
    </row>
    <row r="771">
      <c r="D771" s="21" t="s">
        <v>733</v>
      </c>
      <c r="H771" s="12"/>
    </row>
    <row r="772">
      <c r="D772" s="21" t="s">
        <v>733</v>
      </c>
      <c r="H772" s="12"/>
    </row>
    <row r="773">
      <c r="D773" s="21" t="s">
        <v>733</v>
      </c>
      <c r="H773" s="12"/>
    </row>
    <row r="774">
      <c r="D774" s="21" t="s">
        <v>733</v>
      </c>
      <c r="H774" s="12"/>
    </row>
    <row r="775">
      <c r="D775" s="21" t="s">
        <v>733</v>
      </c>
      <c r="H775" s="12"/>
    </row>
    <row r="776">
      <c r="D776" s="21" t="s">
        <v>733</v>
      </c>
      <c r="H776" s="12"/>
    </row>
    <row r="777">
      <c r="D777" s="21" t="s">
        <v>733</v>
      </c>
      <c r="H777" s="12"/>
    </row>
    <row r="778">
      <c r="D778" s="21" t="s">
        <v>733</v>
      </c>
      <c r="H778" s="12"/>
    </row>
    <row r="779">
      <c r="D779" s="21" t="s">
        <v>733</v>
      </c>
      <c r="H779" s="12"/>
    </row>
    <row r="780">
      <c r="D780" s="21" t="s">
        <v>733</v>
      </c>
      <c r="H780" s="12"/>
    </row>
    <row r="781">
      <c r="D781" s="21" t="s">
        <v>733</v>
      </c>
      <c r="H781" s="12"/>
    </row>
    <row r="782">
      <c r="D782" s="21" t="s">
        <v>733</v>
      </c>
      <c r="H782" s="12"/>
    </row>
    <row r="783">
      <c r="D783" s="21" t="s">
        <v>733</v>
      </c>
      <c r="H783" s="12"/>
    </row>
    <row r="784">
      <c r="D784" s="21" t="s">
        <v>733</v>
      </c>
      <c r="H784" s="12"/>
    </row>
    <row r="785">
      <c r="D785" s="21" t="s">
        <v>733</v>
      </c>
      <c r="H785" s="12"/>
    </row>
    <row r="786">
      <c r="D786" s="21" t="s">
        <v>733</v>
      </c>
      <c r="H786" s="12"/>
    </row>
    <row r="787">
      <c r="D787" s="21" t="s">
        <v>733</v>
      </c>
      <c r="H787" s="12"/>
    </row>
    <row r="788">
      <c r="D788" s="21" t="s">
        <v>733</v>
      </c>
      <c r="H788" s="12"/>
    </row>
    <row r="789">
      <c r="D789" s="21" t="s">
        <v>733</v>
      </c>
      <c r="H789" s="12"/>
    </row>
    <row r="790">
      <c r="D790" s="21" t="s">
        <v>733</v>
      </c>
      <c r="H790" s="12"/>
    </row>
    <row r="791">
      <c r="D791" s="21" t="s">
        <v>733</v>
      </c>
      <c r="H791" s="12"/>
    </row>
    <row r="792">
      <c r="D792" s="21" t="s">
        <v>733</v>
      </c>
      <c r="H792" s="12"/>
    </row>
    <row r="793">
      <c r="D793" s="21" t="s">
        <v>733</v>
      </c>
      <c r="H793" s="12"/>
    </row>
    <row r="794">
      <c r="D794" s="21" t="s">
        <v>733</v>
      </c>
      <c r="H794" s="12"/>
    </row>
    <row r="795">
      <c r="D795" s="21" t="s">
        <v>733</v>
      </c>
      <c r="H795" s="12"/>
    </row>
    <row r="796">
      <c r="D796" s="21" t="s">
        <v>733</v>
      </c>
      <c r="H796" s="12"/>
    </row>
    <row r="797">
      <c r="D797" s="21" t="s">
        <v>733</v>
      </c>
      <c r="H797" s="12"/>
    </row>
    <row r="798">
      <c r="D798" s="21" t="s">
        <v>733</v>
      </c>
      <c r="H798" s="12"/>
    </row>
    <row r="799">
      <c r="D799" s="21" t="s">
        <v>733</v>
      </c>
      <c r="H799" s="12"/>
    </row>
    <row r="800">
      <c r="D800" s="21" t="s">
        <v>733</v>
      </c>
      <c r="H800" s="12"/>
    </row>
    <row r="801">
      <c r="D801" s="21" t="s">
        <v>733</v>
      </c>
      <c r="H801" s="12"/>
    </row>
    <row r="802">
      <c r="D802" s="21" t="s">
        <v>733</v>
      </c>
      <c r="H802" s="12"/>
    </row>
    <row r="803">
      <c r="D803" s="21" t="s">
        <v>733</v>
      </c>
      <c r="H803" s="12"/>
    </row>
    <row r="804">
      <c r="D804" s="21" t="s">
        <v>733</v>
      </c>
      <c r="H804" s="12"/>
    </row>
    <row r="805">
      <c r="D805" s="21" t="s">
        <v>733</v>
      </c>
      <c r="H805" s="12"/>
    </row>
    <row r="806">
      <c r="D806" s="21" t="s">
        <v>733</v>
      </c>
      <c r="H806" s="12"/>
    </row>
    <row r="807">
      <c r="D807" s="21" t="s">
        <v>733</v>
      </c>
      <c r="H807" s="12"/>
    </row>
    <row r="808">
      <c r="D808" s="21" t="s">
        <v>733</v>
      </c>
      <c r="H808" s="12"/>
    </row>
    <row r="809">
      <c r="D809" s="21" t="s">
        <v>733</v>
      </c>
      <c r="H809" s="12"/>
    </row>
    <row r="810">
      <c r="D810" s="21" t="s">
        <v>733</v>
      </c>
      <c r="H810" s="12"/>
    </row>
    <row r="811">
      <c r="D811" s="21" t="s">
        <v>733</v>
      </c>
      <c r="H811" s="12"/>
    </row>
    <row r="812">
      <c r="D812" s="21" t="s">
        <v>733</v>
      </c>
      <c r="H812" s="12"/>
    </row>
    <row r="813">
      <c r="D813" s="21" t="s">
        <v>733</v>
      </c>
      <c r="H813" s="12"/>
    </row>
    <row r="814">
      <c r="D814" s="21" t="s">
        <v>733</v>
      </c>
      <c r="H814" s="12"/>
    </row>
    <row r="815">
      <c r="D815" s="21" t="s">
        <v>733</v>
      </c>
      <c r="H815" s="12"/>
    </row>
    <row r="816">
      <c r="D816" s="21" t="s">
        <v>733</v>
      </c>
      <c r="H816" s="12"/>
    </row>
    <row r="817">
      <c r="D817" s="21" t="s">
        <v>733</v>
      </c>
      <c r="H817" s="12"/>
    </row>
    <row r="818">
      <c r="D818" s="21" t="s">
        <v>733</v>
      </c>
      <c r="H818" s="12"/>
    </row>
    <row r="819">
      <c r="D819" s="21" t="s">
        <v>733</v>
      </c>
      <c r="H819" s="12"/>
    </row>
    <row r="820">
      <c r="D820" s="21" t="s">
        <v>733</v>
      </c>
      <c r="H820" s="12"/>
    </row>
    <row r="821">
      <c r="D821" s="21" t="s">
        <v>733</v>
      </c>
      <c r="H821" s="12"/>
    </row>
    <row r="822">
      <c r="D822" s="21" t="s">
        <v>733</v>
      </c>
      <c r="H822" s="12"/>
    </row>
    <row r="823">
      <c r="D823" s="21" t="s">
        <v>733</v>
      </c>
      <c r="H823" s="12"/>
    </row>
    <row r="824">
      <c r="D824" s="21" t="s">
        <v>733</v>
      </c>
      <c r="H824" s="12"/>
    </row>
    <row r="825">
      <c r="D825" s="21" t="s">
        <v>733</v>
      </c>
      <c r="H825" s="12"/>
    </row>
    <row r="826">
      <c r="D826" s="21" t="s">
        <v>733</v>
      </c>
      <c r="H826" s="12"/>
    </row>
    <row r="827">
      <c r="D827" s="21" t="s">
        <v>733</v>
      </c>
      <c r="H827" s="12"/>
    </row>
    <row r="828">
      <c r="D828" s="21" t="s">
        <v>733</v>
      </c>
      <c r="H828" s="12"/>
    </row>
    <row r="829">
      <c r="D829" s="21" t="s">
        <v>733</v>
      </c>
      <c r="H829" s="12"/>
    </row>
    <row r="830">
      <c r="D830" s="21" t="s">
        <v>733</v>
      </c>
      <c r="H830" s="12"/>
    </row>
    <row r="831">
      <c r="D831" s="21" t="s">
        <v>733</v>
      </c>
      <c r="H831" s="12"/>
    </row>
    <row r="832">
      <c r="D832" s="21" t="s">
        <v>733</v>
      </c>
      <c r="H832" s="12"/>
    </row>
    <row r="833">
      <c r="D833" s="21" t="s">
        <v>733</v>
      </c>
      <c r="H833" s="12"/>
    </row>
    <row r="834">
      <c r="D834" s="21" t="s">
        <v>733</v>
      </c>
      <c r="H834" s="12"/>
    </row>
    <row r="835">
      <c r="D835" s="21" t="s">
        <v>733</v>
      </c>
      <c r="H835" s="12"/>
    </row>
    <row r="836">
      <c r="D836" s="21" t="s">
        <v>733</v>
      </c>
      <c r="H836" s="12"/>
    </row>
    <row r="837">
      <c r="D837" s="21" t="s">
        <v>733</v>
      </c>
      <c r="H837" s="12"/>
    </row>
    <row r="838">
      <c r="D838" s="21" t="s">
        <v>733</v>
      </c>
      <c r="H838" s="12"/>
    </row>
    <row r="839">
      <c r="D839" s="21" t="s">
        <v>733</v>
      </c>
      <c r="H839" s="12"/>
    </row>
    <row r="840">
      <c r="D840" s="21" t="s">
        <v>733</v>
      </c>
      <c r="H840" s="12"/>
    </row>
    <row r="841">
      <c r="D841" s="21" t="s">
        <v>733</v>
      </c>
      <c r="H841" s="12"/>
    </row>
    <row r="842">
      <c r="D842" s="21" t="s">
        <v>733</v>
      </c>
      <c r="H842" s="12"/>
    </row>
    <row r="843">
      <c r="D843" s="21" t="s">
        <v>733</v>
      </c>
      <c r="H843" s="12"/>
    </row>
    <row r="844">
      <c r="D844" s="21" t="s">
        <v>733</v>
      </c>
      <c r="H844" s="12"/>
    </row>
    <row r="845">
      <c r="D845" s="21" t="s">
        <v>733</v>
      </c>
      <c r="H845" s="12"/>
    </row>
    <row r="846">
      <c r="D846" s="21" t="s">
        <v>733</v>
      </c>
      <c r="H846" s="12"/>
    </row>
    <row r="847">
      <c r="D847" s="21" t="s">
        <v>733</v>
      </c>
      <c r="H847" s="12"/>
    </row>
    <row r="848">
      <c r="D848" s="21" t="s">
        <v>733</v>
      </c>
      <c r="H848" s="12"/>
    </row>
    <row r="849">
      <c r="D849" s="21" t="s">
        <v>733</v>
      </c>
      <c r="H849" s="12"/>
    </row>
    <row r="850">
      <c r="D850" s="21" t="s">
        <v>733</v>
      </c>
      <c r="H850" s="12"/>
    </row>
    <row r="851">
      <c r="D851" s="21" t="s">
        <v>733</v>
      </c>
      <c r="H851" s="12"/>
    </row>
    <row r="852">
      <c r="D852" s="21" t="s">
        <v>733</v>
      </c>
      <c r="H852" s="12"/>
    </row>
    <row r="853">
      <c r="D853" s="21" t="s">
        <v>733</v>
      </c>
      <c r="H853" s="12"/>
    </row>
    <row r="854">
      <c r="D854" s="21" t="s">
        <v>733</v>
      </c>
      <c r="H854" s="12"/>
    </row>
    <row r="855">
      <c r="D855" s="21" t="s">
        <v>733</v>
      </c>
      <c r="H855" s="12"/>
    </row>
    <row r="856">
      <c r="D856" s="21" t="s">
        <v>733</v>
      </c>
      <c r="H856" s="12"/>
    </row>
    <row r="857">
      <c r="D857" s="21" t="s">
        <v>733</v>
      </c>
      <c r="H857" s="12"/>
    </row>
    <row r="858">
      <c r="D858" s="21" t="s">
        <v>733</v>
      </c>
      <c r="H858" s="12"/>
    </row>
    <row r="859">
      <c r="D859" s="21" t="s">
        <v>733</v>
      </c>
      <c r="H859" s="12"/>
    </row>
    <row r="860">
      <c r="D860" s="21" t="s">
        <v>733</v>
      </c>
      <c r="H860" s="12"/>
    </row>
    <row r="861">
      <c r="D861" s="21" t="s">
        <v>733</v>
      </c>
      <c r="H861" s="12"/>
    </row>
    <row r="862">
      <c r="D862" s="21" t="s">
        <v>733</v>
      </c>
      <c r="H862" s="12"/>
    </row>
    <row r="863">
      <c r="D863" s="21" t="s">
        <v>733</v>
      </c>
      <c r="H863" s="12"/>
    </row>
    <row r="864">
      <c r="D864" s="21" t="s">
        <v>733</v>
      </c>
      <c r="H864" s="12"/>
    </row>
    <row r="865">
      <c r="D865" s="21" t="s">
        <v>733</v>
      </c>
      <c r="H865" s="12"/>
    </row>
    <row r="866">
      <c r="D866" s="21" t="s">
        <v>733</v>
      </c>
      <c r="H866" s="12"/>
    </row>
    <row r="867">
      <c r="D867" s="21" t="s">
        <v>733</v>
      </c>
      <c r="H867" s="12"/>
    </row>
    <row r="868">
      <c r="D868" s="21" t="s">
        <v>733</v>
      </c>
      <c r="H868" s="12"/>
    </row>
    <row r="869">
      <c r="D869" s="21" t="s">
        <v>733</v>
      </c>
      <c r="H869" s="12"/>
    </row>
    <row r="870">
      <c r="D870" s="21" t="s">
        <v>733</v>
      </c>
      <c r="H870" s="12"/>
    </row>
    <row r="871">
      <c r="D871" s="21" t="s">
        <v>733</v>
      </c>
      <c r="H871" s="12"/>
    </row>
    <row r="872">
      <c r="D872" s="21" t="s">
        <v>733</v>
      </c>
      <c r="H872" s="12"/>
    </row>
    <row r="873">
      <c r="D873" s="21" t="s">
        <v>733</v>
      </c>
      <c r="H873" s="12"/>
    </row>
    <row r="874">
      <c r="D874" s="21" t="s">
        <v>733</v>
      </c>
      <c r="H874" s="12"/>
    </row>
    <row r="875">
      <c r="D875" s="21" t="s">
        <v>733</v>
      </c>
      <c r="H875" s="12"/>
    </row>
    <row r="876">
      <c r="D876" s="21" t="s">
        <v>733</v>
      </c>
      <c r="H876" s="12"/>
    </row>
    <row r="877">
      <c r="D877" s="21" t="s">
        <v>733</v>
      </c>
      <c r="H877" s="12"/>
    </row>
    <row r="878">
      <c r="D878" s="21" t="s">
        <v>733</v>
      </c>
      <c r="H878" s="12"/>
    </row>
    <row r="879">
      <c r="D879" s="21" t="s">
        <v>733</v>
      </c>
      <c r="H879" s="12"/>
    </row>
    <row r="880">
      <c r="D880" s="21" t="s">
        <v>733</v>
      </c>
      <c r="H880" s="12"/>
    </row>
    <row r="881">
      <c r="D881" s="21" t="s">
        <v>733</v>
      </c>
      <c r="H881" s="12"/>
    </row>
    <row r="882">
      <c r="D882" s="21" t="s">
        <v>733</v>
      </c>
      <c r="H882" s="12"/>
    </row>
    <row r="883">
      <c r="D883" s="21" t="s">
        <v>733</v>
      </c>
      <c r="H883" s="12"/>
    </row>
    <row r="884">
      <c r="D884" s="21" t="s">
        <v>733</v>
      </c>
      <c r="H884" s="12"/>
    </row>
    <row r="885">
      <c r="D885" s="21" t="s">
        <v>733</v>
      </c>
      <c r="H885" s="12"/>
    </row>
    <row r="886">
      <c r="D886" s="21" t="s">
        <v>733</v>
      </c>
      <c r="H886" s="12"/>
    </row>
    <row r="887">
      <c r="D887" s="21" t="s">
        <v>733</v>
      </c>
      <c r="H887" s="12"/>
    </row>
    <row r="888">
      <c r="D888" s="21" t="s">
        <v>733</v>
      </c>
      <c r="H888" s="12"/>
    </row>
    <row r="889">
      <c r="D889" s="21" t="s">
        <v>733</v>
      </c>
      <c r="H889" s="12"/>
    </row>
    <row r="890">
      <c r="D890" s="21" t="s">
        <v>733</v>
      </c>
      <c r="H890" s="12"/>
    </row>
    <row r="891">
      <c r="D891" s="21" t="s">
        <v>733</v>
      </c>
      <c r="H891" s="12"/>
    </row>
    <row r="892">
      <c r="D892" s="21" t="s">
        <v>733</v>
      </c>
      <c r="H892" s="12"/>
    </row>
    <row r="893">
      <c r="D893" s="21" t="s">
        <v>733</v>
      </c>
      <c r="H893" s="12"/>
    </row>
    <row r="894">
      <c r="D894" s="21" t="s">
        <v>733</v>
      </c>
      <c r="H894" s="12"/>
    </row>
    <row r="895">
      <c r="D895" s="21" t="s">
        <v>733</v>
      </c>
      <c r="H895" s="12"/>
    </row>
    <row r="896">
      <c r="D896" s="21" t="s">
        <v>733</v>
      </c>
      <c r="H896" s="12"/>
    </row>
    <row r="897">
      <c r="D897" s="21" t="s">
        <v>733</v>
      </c>
      <c r="H897" s="12"/>
    </row>
    <row r="898">
      <c r="D898" s="21" t="s">
        <v>733</v>
      </c>
      <c r="H898" s="12"/>
    </row>
    <row r="899">
      <c r="D899" s="21" t="s">
        <v>733</v>
      </c>
      <c r="H899" s="12"/>
    </row>
    <row r="900">
      <c r="D900" s="21" t="s">
        <v>733</v>
      </c>
      <c r="H900" s="12"/>
    </row>
    <row r="901">
      <c r="D901" s="21" t="s">
        <v>733</v>
      </c>
      <c r="H901" s="12"/>
    </row>
    <row r="902">
      <c r="D902" s="21" t="s">
        <v>733</v>
      </c>
      <c r="H902" s="12"/>
    </row>
    <row r="903">
      <c r="D903" s="21" t="s">
        <v>733</v>
      </c>
      <c r="H903" s="12"/>
    </row>
    <row r="904">
      <c r="D904" s="21" t="s">
        <v>733</v>
      </c>
      <c r="H904" s="12"/>
    </row>
    <row r="905">
      <c r="D905" s="21" t="s">
        <v>733</v>
      </c>
      <c r="H905" s="12"/>
    </row>
    <row r="906">
      <c r="D906" s="21" t="s">
        <v>733</v>
      </c>
      <c r="H906" s="12"/>
    </row>
    <row r="907">
      <c r="D907" s="21" t="s">
        <v>733</v>
      </c>
      <c r="H907" s="12"/>
    </row>
    <row r="908">
      <c r="D908" s="21" t="s">
        <v>733</v>
      </c>
      <c r="H908" s="12"/>
    </row>
    <row r="909">
      <c r="D909" s="21" t="s">
        <v>733</v>
      </c>
      <c r="H909" s="12"/>
    </row>
    <row r="910">
      <c r="D910" s="21" t="s">
        <v>733</v>
      </c>
      <c r="H910" s="12"/>
    </row>
    <row r="911">
      <c r="D911" s="21" t="s">
        <v>733</v>
      </c>
      <c r="H911" s="12"/>
    </row>
    <row r="912">
      <c r="D912" s="21" t="s">
        <v>733</v>
      </c>
      <c r="H912" s="12"/>
    </row>
    <row r="913">
      <c r="D913" s="21" t="s">
        <v>733</v>
      </c>
      <c r="H913" s="12"/>
    </row>
    <row r="914">
      <c r="D914" s="21" t="s">
        <v>733</v>
      </c>
      <c r="H914" s="12"/>
    </row>
    <row r="915">
      <c r="D915" s="21" t="s">
        <v>733</v>
      </c>
      <c r="H915" s="12"/>
    </row>
    <row r="916">
      <c r="D916" s="21" t="s">
        <v>733</v>
      </c>
      <c r="H916" s="12"/>
    </row>
    <row r="917">
      <c r="D917" s="21" t="s">
        <v>733</v>
      </c>
      <c r="H917" s="12"/>
    </row>
    <row r="918">
      <c r="D918" s="21" t="s">
        <v>733</v>
      </c>
      <c r="H918" s="12"/>
    </row>
    <row r="919">
      <c r="D919" s="21" t="s">
        <v>733</v>
      </c>
      <c r="H919" s="12"/>
    </row>
    <row r="920">
      <c r="D920" s="21" t="s">
        <v>733</v>
      </c>
      <c r="H920" s="12"/>
    </row>
    <row r="921">
      <c r="D921" s="21" t="s">
        <v>733</v>
      </c>
      <c r="H921" s="12"/>
    </row>
    <row r="922">
      <c r="D922" s="21" t="s">
        <v>733</v>
      </c>
      <c r="H922" s="12"/>
    </row>
    <row r="923">
      <c r="D923" s="21" t="s">
        <v>733</v>
      </c>
      <c r="H923" s="12"/>
    </row>
    <row r="924">
      <c r="D924" s="21" t="s">
        <v>733</v>
      </c>
      <c r="H924" s="12"/>
    </row>
    <row r="925">
      <c r="D925" s="21" t="s">
        <v>733</v>
      </c>
      <c r="H925" s="12"/>
    </row>
    <row r="926">
      <c r="D926" s="21" t="s">
        <v>733</v>
      </c>
      <c r="H926" s="12"/>
    </row>
    <row r="927">
      <c r="D927" s="21" t="s">
        <v>733</v>
      </c>
      <c r="H927" s="12"/>
    </row>
    <row r="928">
      <c r="D928" s="21" t="s">
        <v>733</v>
      </c>
      <c r="H928" s="12"/>
    </row>
    <row r="929">
      <c r="D929" s="21" t="s">
        <v>733</v>
      </c>
      <c r="H929" s="12"/>
    </row>
    <row r="930">
      <c r="D930" s="21" t="s">
        <v>733</v>
      </c>
      <c r="H930" s="12"/>
    </row>
    <row r="931">
      <c r="D931" s="21" t="s">
        <v>733</v>
      </c>
      <c r="H931" s="12"/>
    </row>
    <row r="932">
      <c r="D932" s="21" t="s">
        <v>733</v>
      </c>
      <c r="H932" s="12"/>
    </row>
    <row r="933">
      <c r="D933" s="21" t="s">
        <v>733</v>
      </c>
      <c r="H933" s="12"/>
    </row>
    <row r="934">
      <c r="D934" s="21" t="s">
        <v>733</v>
      </c>
      <c r="H934" s="12"/>
    </row>
    <row r="935">
      <c r="D935" s="21" t="s">
        <v>733</v>
      </c>
      <c r="H935" s="12"/>
    </row>
    <row r="936">
      <c r="D936" s="21" t="s">
        <v>733</v>
      </c>
      <c r="H936" s="12"/>
    </row>
    <row r="937">
      <c r="D937" s="21" t="s">
        <v>733</v>
      </c>
      <c r="H937" s="12"/>
    </row>
    <row r="938">
      <c r="D938" s="21" t="s">
        <v>733</v>
      </c>
      <c r="H938" s="12"/>
    </row>
    <row r="939">
      <c r="D939" s="21" t="s">
        <v>733</v>
      </c>
      <c r="H939" s="12"/>
    </row>
    <row r="940">
      <c r="D940" s="21" t="s">
        <v>733</v>
      </c>
      <c r="H940" s="12"/>
    </row>
    <row r="941">
      <c r="D941" s="21" t="s">
        <v>733</v>
      </c>
      <c r="H941" s="12"/>
    </row>
    <row r="942">
      <c r="D942" s="21" t="s">
        <v>733</v>
      </c>
      <c r="H942" s="12"/>
    </row>
    <row r="943">
      <c r="D943" s="21" t="s">
        <v>733</v>
      </c>
      <c r="H943" s="12"/>
    </row>
    <row r="944">
      <c r="D944" s="21" t="s">
        <v>733</v>
      </c>
      <c r="H944" s="12"/>
    </row>
    <row r="945">
      <c r="D945" s="21" t="s">
        <v>733</v>
      </c>
      <c r="H945" s="12"/>
    </row>
    <row r="946">
      <c r="D946" s="21" t="s">
        <v>733</v>
      </c>
      <c r="H946" s="12"/>
    </row>
    <row r="947">
      <c r="D947" s="21" t="s">
        <v>733</v>
      </c>
      <c r="H947" s="12"/>
    </row>
    <row r="948">
      <c r="D948" s="21" t="s">
        <v>733</v>
      </c>
      <c r="H948" s="12"/>
    </row>
    <row r="949">
      <c r="D949" s="21" t="s">
        <v>733</v>
      </c>
      <c r="H949" s="12"/>
    </row>
    <row r="950">
      <c r="D950" s="21" t="s">
        <v>733</v>
      </c>
      <c r="H950" s="12"/>
    </row>
    <row r="951">
      <c r="D951" s="21" t="s">
        <v>733</v>
      </c>
      <c r="H951" s="12"/>
    </row>
    <row r="952">
      <c r="D952" s="21" t="s">
        <v>733</v>
      </c>
      <c r="H952" s="12"/>
    </row>
    <row r="953">
      <c r="D953" s="21" t="s">
        <v>733</v>
      </c>
      <c r="H953" s="12"/>
    </row>
    <row r="954">
      <c r="D954" s="21" t="s">
        <v>733</v>
      </c>
      <c r="H954" s="12"/>
    </row>
    <row r="955">
      <c r="D955" s="21" t="s">
        <v>733</v>
      </c>
      <c r="H955" s="12"/>
    </row>
    <row r="956">
      <c r="D956" s="21" t="s">
        <v>733</v>
      </c>
      <c r="H956" s="12"/>
    </row>
    <row r="957">
      <c r="D957" s="21" t="s">
        <v>733</v>
      </c>
      <c r="H957" s="12"/>
    </row>
    <row r="958">
      <c r="D958" s="21" t="s">
        <v>733</v>
      </c>
      <c r="H958" s="12"/>
    </row>
    <row r="959">
      <c r="D959" s="21" t="s">
        <v>733</v>
      </c>
      <c r="H959" s="12"/>
    </row>
    <row r="960">
      <c r="D960" s="21" t="s">
        <v>733</v>
      </c>
      <c r="H960" s="12"/>
    </row>
    <row r="961">
      <c r="D961" s="21" t="s">
        <v>733</v>
      </c>
      <c r="H961" s="12"/>
    </row>
    <row r="962">
      <c r="D962" s="21" t="s">
        <v>733</v>
      </c>
      <c r="H962" s="12"/>
    </row>
    <row r="963">
      <c r="D963" s="21" t="s">
        <v>733</v>
      </c>
      <c r="H963" s="12"/>
    </row>
    <row r="964">
      <c r="D964" s="21" t="s">
        <v>733</v>
      </c>
      <c r="H964" s="12"/>
    </row>
    <row r="965">
      <c r="D965" s="21" t="s">
        <v>733</v>
      </c>
      <c r="H965" s="12"/>
    </row>
    <row r="966">
      <c r="D966" s="21" t="s">
        <v>733</v>
      </c>
      <c r="H966" s="12"/>
    </row>
    <row r="967">
      <c r="D967" s="21" t="s">
        <v>733</v>
      </c>
      <c r="H967" s="12"/>
    </row>
    <row r="968">
      <c r="D968" s="21" t="s">
        <v>733</v>
      </c>
      <c r="H968" s="12"/>
    </row>
    <row r="969">
      <c r="D969" s="21" t="s">
        <v>733</v>
      </c>
      <c r="H969" s="12"/>
    </row>
    <row r="970">
      <c r="D970" s="21" t="s">
        <v>733</v>
      </c>
      <c r="H970" s="12"/>
    </row>
    <row r="971">
      <c r="D971" s="21" t="s">
        <v>733</v>
      </c>
      <c r="H971" s="12"/>
    </row>
    <row r="972">
      <c r="D972" s="21" t="s">
        <v>733</v>
      </c>
      <c r="H972" s="12"/>
    </row>
    <row r="973">
      <c r="D973" s="21" t="s">
        <v>733</v>
      </c>
      <c r="H973" s="12"/>
    </row>
    <row r="974">
      <c r="D974" s="21" t="s">
        <v>733</v>
      </c>
      <c r="H974" s="12"/>
    </row>
    <row r="975">
      <c r="D975" s="21" t="s">
        <v>733</v>
      </c>
      <c r="H975" s="12"/>
    </row>
    <row r="976">
      <c r="D976" s="21" t="s">
        <v>733</v>
      </c>
      <c r="H976" s="12"/>
    </row>
    <row r="977">
      <c r="D977" s="21" t="s">
        <v>733</v>
      </c>
      <c r="H977" s="12"/>
    </row>
    <row r="978">
      <c r="D978" s="21" t="s">
        <v>733</v>
      </c>
      <c r="H978" s="12"/>
    </row>
    <row r="979">
      <c r="D979" s="21" t="s">
        <v>733</v>
      </c>
      <c r="H979" s="12"/>
    </row>
    <row r="980">
      <c r="D980" s="21" t="s">
        <v>733</v>
      </c>
      <c r="H980" s="12"/>
    </row>
    <row r="981">
      <c r="D981" s="21" t="s">
        <v>733</v>
      </c>
      <c r="H981" s="12"/>
    </row>
    <row r="982">
      <c r="D982" s="21" t="s">
        <v>733</v>
      </c>
      <c r="H982" s="12"/>
    </row>
    <row r="983">
      <c r="D983" s="21" t="s">
        <v>733</v>
      </c>
      <c r="H983" s="12"/>
    </row>
    <row r="984">
      <c r="D984" s="21" t="s">
        <v>733</v>
      </c>
      <c r="H984" s="12"/>
    </row>
    <row r="985">
      <c r="D985" s="21" t="s">
        <v>733</v>
      </c>
      <c r="H985" s="12"/>
    </row>
    <row r="986">
      <c r="D986" s="21" t="s">
        <v>733</v>
      </c>
      <c r="H986" s="12"/>
    </row>
    <row r="987">
      <c r="D987" s="21" t="s">
        <v>733</v>
      </c>
      <c r="H987" s="12"/>
    </row>
    <row r="988">
      <c r="D988" s="21" t="s">
        <v>733</v>
      </c>
      <c r="H988" s="12"/>
    </row>
    <row r="989">
      <c r="D989" s="21" t="s">
        <v>733</v>
      </c>
      <c r="H989" s="12"/>
    </row>
    <row r="990">
      <c r="D990" s="21" t="s">
        <v>733</v>
      </c>
      <c r="H990" s="12"/>
    </row>
    <row r="991">
      <c r="D991" s="21" t="s">
        <v>733</v>
      </c>
      <c r="H991" s="12"/>
    </row>
    <row r="992">
      <c r="D992" s="21" t="s">
        <v>733</v>
      </c>
      <c r="H992" s="12"/>
    </row>
    <row r="993">
      <c r="D993" s="21" t="s">
        <v>733</v>
      </c>
      <c r="H993" s="12"/>
    </row>
    <row r="994">
      <c r="D994" s="21" t="s">
        <v>733</v>
      </c>
      <c r="H994" s="12"/>
    </row>
    <row r="995">
      <c r="D995" s="21" t="s">
        <v>733</v>
      </c>
      <c r="H995" s="12"/>
    </row>
    <row r="996">
      <c r="D996" s="21" t="s">
        <v>733</v>
      </c>
      <c r="H996" s="12"/>
    </row>
    <row r="997">
      <c r="D997" s="21" t="s">
        <v>733</v>
      </c>
      <c r="H997" s="12"/>
    </row>
    <row r="998">
      <c r="D998" s="21" t="s">
        <v>733</v>
      </c>
      <c r="H998" s="12"/>
    </row>
    <row r="999">
      <c r="D999" s="21" t="s">
        <v>733</v>
      </c>
      <c r="H999" s="12"/>
    </row>
    <row r="1000">
      <c r="D1000" s="21" t="s">
        <v>733</v>
      </c>
      <c r="H1000" s="1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2909.678534</v>
      </c>
    </row>
    <row r="2">
      <c r="A2" s="21" t="str">
        <f>IFERROR(__xludf.DUMMYFUNCTION("QUERY(Pedidos!A2:E1000, ""SELECT A, D, (E/2) WHERE lower(B) CONTAINS 'kanario'"",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IFERROR(__xludf.DUMMYFUNCTION("""COMPUTED_VALUE"""),46083.91235726852)</f>
        <v>46083.91236</v>
      </c>
      <c r="B3" s="197">
        <f>IFERROR(__xludf.DUMMYFUNCTION("""COMPUTED_VALUE"""),4257.0)</f>
        <v>4257</v>
      </c>
      <c r="C3" s="21">
        <f>IFERROR(__xludf.DUMMYFUNCTION("""COMPUTED_VALUE"""),625.859)</f>
        <v>625.859</v>
      </c>
      <c r="D3" s="21">
        <v>3631.141</v>
      </c>
      <c r="E3" s="122">
        <v>46086.0</v>
      </c>
      <c r="F3" s="4">
        <v>214.18</v>
      </c>
      <c r="H3" s="4">
        <v>300000.0</v>
      </c>
      <c r="I3" s="21">
        <f t="shared" ref="I3:I11" si="1">H3/F3</f>
        <v>1400.691008</v>
      </c>
    </row>
    <row r="4">
      <c r="A4" s="135">
        <f>IFERROR(__xludf.DUMMYFUNCTION("""COMPUTED_VALUE"""),46100.81657142361)</f>
        <v>46100.81657</v>
      </c>
      <c r="B4" s="197">
        <f>IFERROR(__xludf.DUMMYFUNCTION("""COMPUTED_VALUE"""),1480.0)</f>
        <v>1480</v>
      </c>
      <c r="C4" s="21">
        <f>IFERROR(__xludf.DUMMYFUNCTION("""COMPUTED_VALUE"""),183.69382631659857)</f>
        <v>183.6938263</v>
      </c>
      <c r="D4" s="21">
        <v>1296.3061736834015</v>
      </c>
      <c r="E4" s="122">
        <v>46104.0</v>
      </c>
      <c r="F4" s="4">
        <v>210.0</v>
      </c>
      <c r="H4" s="4">
        <v>300000.0</v>
      </c>
      <c r="I4" s="21">
        <f t="shared" si="1"/>
        <v>1428.571429</v>
      </c>
    </row>
    <row r="5">
      <c r="A5" s="135">
        <f>IFERROR(__xludf.DUMMYFUNCTION("""COMPUTED_VALUE"""),46134.94462987268)</f>
        <v>46134.94463</v>
      </c>
      <c r="B5" s="197">
        <f>IFERROR(__xludf.DUMMYFUNCTION("""COMPUTED_VALUE"""),1485.0)</f>
        <v>1485</v>
      </c>
      <c r="C5" s="21">
        <f>IFERROR(__xludf.DUMMYFUNCTION("""COMPUTED_VALUE"""),188.58864)</f>
        <v>188.58864</v>
      </c>
      <c r="D5" s="21">
        <v>1296.41136</v>
      </c>
      <c r="E5" s="122">
        <v>46105.0</v>
      </c>
      <c r="F5" s="4">
        <v>245.0</v>
      </c>
      <c r="H5" s="4">
        <v>350000.0</v>
      </c>
      <c r="I5" s="21">
        <f t="shared" si="1"/>
        <v>1428.571429</v>
      </c>
    </row>
    <row r="6">
      <c r="D6" s="21" t="s">
        <v>733</v>
      </c>
      <c r="E6" s="122">
        <v>46107.0</v>
      </c>
      <c r="F6" s="4">
        <v>52.0</v>
      </c>
      <c r="H6" s="4">
        <v>75000.0</v>
      </c>
      <c r="I6" s="21">
        <f t="shared" si="1"/>
        <v>1442.307692</v>
      </c>
    </row>
    <row r="7">
      <c r="D7" s="21" t="s">
        <v>733</v>
      </c>
      <c r="E7" s="122">
        <v>46109.0</v>
      </c>
      <c r="F7" s="4">
        <v>70.0</v>
      </c>
      <c r="H7" s="4">
        <v>100000.0</v>
      </c>
      <c r="I7" s="21">
        <f t="shared" si="1"/>
        <v>1428.571429</v>
      </c>
    </row>
    <row r="8">
      <c r="D8" s="21" t="s">
        <v>733</v>
      </c>
      <c r="E8" s="122">
        <v>46112.0</v>
      </c>
      <c r="F8" s="4">
        <v>99.0</v>
      </c>
      <c r="H8" s="4">
        <v>140000.0</v>
      </c>
      <c r="I8" s="21">
        <f t="shared" si="1"/>
        <v>1414.141414</v>
      </c>
    </row>
    <row r="9">
      <c r="D9" s="21" t="s">
        <v>733</v>
      </c>
      <c r="E9" s="122">
        <v>46119.0</v>
      </c>
      <c r="F9" s="4">
        <v>104.0</v>
      </c>
      <c r="H9" s="4">
        <v>145000.0</v>
      </c>
      <c r="I9" s="21">
        <f t="shared" si="1"/>
        <v>1394.230769</v>
      </c>
    </row>
    <row r="10">
      <c r="D10" s="21" t="s">
        <v>733</v>
      </c>
      <c r="E10" s="122">
        <v>46122.0</v>
      </c>
      <c r="F10" s="4">
        <v>302.0</v>
      </c>
      <c r="H10" s="4">
        <v>420000.0</v>
      </c>
      <c r="I10" s="21">
        <f t="shared" si="1"/>
        <v>1390.728477</v>
      </c>
    </row>
    <row r="11">
      <c r="D11" s="21" t="s">
        <v>733</v>
      </c>
      <c r="E11" s="122">
        <v>46124.0</v>
      </c>
      <c r="F11" s="4">
        <v>50.0</v>
      </c>
      <c r="H11" s="4">
        <v>70000.0</v>
      </c>
      <c r="I11" s="21">
        <f t="shared" si="1"/>
        <v>1400</v>
      </c>
    </row>
    <row r="12">
      <c r="D12" s="21" t="s">
        <v>733</v>
      </c>
      <c r="E12" s="122">
        <v>46127.0</v>
      </c>
      <c r="F12" s="4">
        <v>90.0</v>
      </c>
      <c r="H12" s="4">
        <v>127500.0</v>
      </c>
      <c r="I12" s="4">
        <v>1415.0</v>
      </c>
    </row>
    <row r="13">
      <c r="D13" s="21" t="s">
        <v>733</v>
      </c>
      <c r="E13" s="122">
        <v>46139.0</v>
      </c>
      <c r="F13" s="4">
        <v>142.0</v>
      </c>
      <c r="H13" s="4">
        <v>200000.0</v>
      </c>
      <c r="I13" s="4">
        <v>1415.0</v>
      </c>
    </row>
    <row r="14">
      <c r="D14" s="21" t="s">
        <v>733</v>
      </c>
      <c r="E14" s="122">
        <v>46141.0</v>
      </c>
      <c r="F14" s="4">
        <v>26.0</v>
      </c>
    </row>
    <row r="15">
      <c r="D15" s="21" t="s">
        <v>733</v>
      </c>
      <c r="E15" s="122">
        <v>46147.0</v>
      </c>
      <c r="F15" s="4">
        <v>300.0</v>
      </c>
      <c r="H15" s="4">
        <v>426000.0</v>
      </c>
    </row>
    <row r="16">
      <c r="D16" s="21" t="s">
        <v>733</v>
      </c>
      <c r="E16" s="122">
        <v>46150.0</v>
      </c>
      <c r="F16" s="4">
        <v>170.0</v>
      </c>
      <c r="H16" s="4">
        <v>240000.0</v>
      </c>
    </row>
    <row r="17">
      <c r="D17" s="21" t="s">
        <v>733</v>
      </c>
      <c r="E17" s="122">
        <v>46192.0</v>
      </c>
      <c r="F17" s="4">
        <v>940.0</v>
      </c>
      <c r="J17" s="4" t="s">
        <v>1436</v>
      </c>
    </row>
    <row r="18">
      <c r="D18" s="21" t="s">
        <v>733</v>
      </c>
      <c r="E18" s="122">
        <v>46245.0</v>
      </c>
      <c r="F18" s="4">
        <v>300.0</v>
      </c>
      <c r="H18" s="4">
        <v>465000.0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950.2325916</v>
      </c>
    </row>
    <row r="2">
      <c r="A2" s="21" t="str">
        <f>IFERROR(__xludf.DUMMYFUNCTION("QUERY(Pedidos!A2:E1000, ""SELECT A, D, (E/2) WHERE lower(B) CONTAINS 'alan'"",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IFERROR(__xludf.DUMMYFUNCTION("""COMPUTED_VALUE"""),46086.799596805555)</f>
        <v>46086.7996</v>
      </c>
      <c r="B3" s="197">
        <f>IFERROR(__xludf.DUMMYFUNCTION("""COMPUTED_VALUE"""),386.0)</f>
        <v>386</v>
      </c>
      <c r="C3" s="21">
        <f>IFERROR(__xludf.DUMMYFUNCTION("""COMPUTED_VALUE"""),53.245999999999995)</f>
        <v>53.246</v>
      </c>
      <c r="D3" s="21">
        <v>332.754</v>
      </c>
      <c r="E3" s="122">
        <v>46087.0</v>
      </c>
      <c r="F3" s="4">
        <v>339.0</v>
      </c>
    </row>
    <row r="4">
      <c r="A4" s="135">
        <f>IFERROR(__xludf.DUMMYFUNCTION("""COMPUTED_VALUE"""),46143.53343688657)</f>
        <v>46143.53344</v>
      </c>
      <c r="B4" s="197">
        <f>IFERROR(__xludf.DUMMYFUNCTION("""COMPUTED_VALUE"""),2527.0)</f>
        <v>2527</v>
      </c>
      <c r="C4" s="21">
        <f>IFERROR(__xludf.DUMMYFUNCTION("""COMPUTED_VALUE"""),376.03511843899423)</f>
        <v>376.0351184</v>
      </c>
      <c r="D4" s="21">
        <v>2150.9648815610058</v>
      </c>
      <c r="E4" s="122">
        <v>46142.0</v>
      </c>
      <c r="F4" s="4">
        <v>270.0</v>
      </c>
      <c r="G4" s="4">
        <v>360000.0</v>
      </c>
    </row>
    <row r="5">
      <c r="A5" s="135">
        <f>IFERROR(__xludf.DUMMYFUNCTION("""COMPUTED_VALUE"""),46144.4414979861)</f>
        <v>46144.4415</v>
      </c>
      <c r="B5" s="197">
        <f>IFERROR(__xludf.DUMMYFUNCTION("""COMPUTED_VALUE"""),900.0)</f>
        <v>900</v>
      </c>
      <c r="C5" s="21">
        <f>IFERROR(__xludf.DUMMYFUNCTION("""COMPUTED_VALUE"""),91.262)</f>
        <v>91.262</v>
      </c>
      <c r="D5" s="21">
        <v>808.738</v>
      </c>
      <c r="E5" s="122">
        <v>46151.0</v>
      </c>
      <c r="F5" s="4">
        <v>440.0</v>
      </c>
      <c r="G5" s="4">
        <v>616000.0</v>
      </c>
    </row>
    <row r="6">
      <c r="A6" s="135">
        <f>IFERROR(__xludf.DUMMYFUNCTION("""COMPUTED_VALUE"""),46163.51032546296)</f>
        <v>46163.51033</v>
      </c>
      <c r="B6" s="197">
        <f>IFERROR(__xludf.DUMMYFUNCTION("""COMPUTED_VALUE"""),2850.0)</f>
        <v>2850</v>
      </c>
      <c r="C6" s="21">
        <f>IFERROR(__xludf.DUMMYFUNCTION("""COMPUTED_VALUE"""),467.22429)</f>
        <v>467.22429</v>
      </c>
      <c r="D6" s="21">
        <v>2382.77571</v>
      </c>
      <c r="E6" s="122">
        <v>46152.0</v>
      </c>
      <c r="F6" s="4">
        <v>200.0</v>
      </c>
      <c r="G6" s="4">
        <v>240000.0</v>
      </c>
    </row>
    <row r="7">
      <c r="D7" s="21" t="s">
        <v>733</v>
      </c>
      <c r="E7" s="122">
        <v>46164.0</v>
      </c>
      <c r="F7" s="4">
        <v>147.0</v>
      </c>
      <c r="G7" s="4">
        <v>210000.0</v>
      </c>
    </row>
    <row r="8">
      <c r="D8" s="21" t="s">
        <v>733</v>
      </c>
      <c r="E8" s="122">
        <v>46164.0</v>
      </c>
      <c r="F8" s="4">
        <v>300.0</v>
      </c>
      <c r="G8" s="4">
        <v>426000.0</v>
      </c>
      <c r="K8" s="4" t="s">
        <v>1437</v>
      </c>
    </row>
    <row r="9">
      <c r="D9" s="21" t="s">
        <v>733</v>
      </c>
      <c r="E9" s="122">
        <v>46164.0</v>
      </c>
      <c r="F9" s="4">
        <v>147.0</v>
      </c>
      <c r="G9" s="4">
        <v>210000.0</v>
      </c>
    </row>
    <row r="10">
      <c r="D10" s="21" t="s">
        <v>733</v>
      </c>
      <c r="E10" s="122">
        <v>46165.0</v>
      </c>
      <c r="F10" s="4">
        <v>60.0</v>
      </c>
      <c r="G10" s="4">
        <v>85800.0</v>
      </c>
    </row>
    <row r="11">
      <c r="D11" s="21" t="s">
        <v>733</v>
      </c>
      <c r="E11" s="122">
        <v>46165.0</v>
      </c>
      <c r="F11" s="4">
        <v>200.0</v>
      </c>
      <c r="G11" s="4">
        <v>285000.0</v>
      </c>
    </row>
    <row r="12">
      <c r="D12" s="21" t="s">
        <v>733</v>
      </c>
      <c r="E12" s="122">
        <v>46165.0</v>
      </c>
      <c r="F12" s="4">
        <v>647.0</v>
      </c>
      <c r="G12" s="4">
        <v>921925.0</v>
      </c>
    </row>
    <row r="13">
      <c r="D13" s="21" t="s">
        <v>733</v>
      </c>
      <c r="E13" s="122">
        <v>46176.0</v>
      </c>
      <c r="F13" s="4">
        <v>400.0</v>
      </c>
      <c r="G13" s="4">
        <v>574000.0</v>
      </c>
    </row>
    <row r="14">
      <c r="D14" s="21" t="s">
        <v>733</v>
      </c>
      <c r="E14" s="122">
        <v>46181.0</v>
      </c>
      <c r="F14" s="4">
        <v>210.0</v>
      </c>
      <c r="G14" s="4">
        <v>302400.0</v>
      </c>
    </row>
    <row r="15">
      <c r="D15" s="21" t="s">
        <v>733</v>
      </c>
      <c r="E15" s="122">
        <v>46183.0</v>
      </c>
      <c r="F15" s="4">
        <v>180.0</v>
      </c>
      <c r="G15" s="4">
        <v>257400.0</v>
      </c>
    </row>
    <row r="16">
      <c r="D16" s="21" t="s">
        <v>733</v>
      </c>
      <c r="E16" s="122">
        <v>46192.0</v>
      </c>
      <c r="F16" s="4">
        <v>300.0</v>
      </c>
      <c r="G16" s="4">
        <v>438000.0</v>
      </c>
    </row>
    <row r="17">
      <c r="D17" s="21" t="s">
        <v>733</v>
      </c>
      <c r="E17" s="122">
        <v>46200.0</v>
      </c>
      <c r="F17" s="4">
        <v>385.0</v>
      </c>
      <c r="G17" s="4">
        <v>583275.0</v>
      </c>
    </row>
    <row r="18">
      <c r="D18" s="21" t="s">
        <v>733</v>
      </c>
      <c r="E18" s="122">
        <v>46256.0</v>
      </c>
      <c r="F18" s="4">
        <v>500.0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9" max="9" width="47.63"/>
    <col customWidth="1" min="10" max="10" width="86.5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/>
      <c r="H1" s="14" t="s">
        <v>1176</v>
      </c>
      <c r="I1" s="61">
        <f>SUM(D2:D1000) - SUM(F2:F1000)</f>
        <v>2912.72677</v>
      </c>
    </row>
    <row r="2">
      <c r="A2" s="21" t="str">
        <f>IFERROR(__xludf.DUMMYFUNCTION("QUERY(Pedidos!A2:E1000, ""SELECT A, D, (E/2) WHERE lower(B) CONTAINS 'guille naesa'"",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IFERROR(__xludf.DUMMYFUNCTION("""COMPUTED_VALUE"""),46088.94043388889)</f>
        <v>46088.94043</v>
      </c>
      <c r="B3" s="197">
        <f>IFERROR(__xludf.DUMMYFUNCTION("""COMPUTED_VALUE"""),350.0)</f>
        <v>350</v>
      </c>
      <c r="C3" s="21">
        <f>IFERROR(__xludf.DUMMYFUNCTION("""COMPUTED_VALUE"""),43.11600000000001)</f>
        <v>43.116</v>
      </c>
      <c r="D3" s="21">
        <v>306.884</v>
      </c>
      <c r="E3" s="122">
        <v>46169.0</v>
      </c>
      <c r="F3" s="4">
        <v>306.88</v>
      </c>
    </row>
    <row r="4">
      <c r="A4" s="135">
        <f>IFERROR(__xludf.DUMMYFUNCTION("""COMPUTED_VALUE"""),46176.918002743056)</f>
        <v>46176.918</v>
      </c>
      <c r="B4" s="197">
        <f>IFERROR(__xludf.DUMMYFUNCTION("""COMPUTED_VALUE"""),1170.0)</f>
        <v>1170</v>
      </c>
      <c r="C4" s="21">
        <f>IFERROR(__xludf.DUMMYFUNCTION("""COMPUTED_VALUE"""),140.80300000000003)</f>
        <v>140.803</v>
      </c>
      <c r="D4" s="21">
        <v>1029.197</v>
      </c>
      <c r="E4" s="122">
        <v>46183.0</v>
      </c>
      <c r="F4" s="4">
        <v>1000.0</v>
      </c>
      <c r="J4" s="4" t="s">
        <v>1438</v>
      </c>
    </row>
    <row r="5">
      <c r="A5" s="135">
        <f>IFERROR(__xludf.DUMMYFUNCTION("""COMPUTED_VALUE"""),46196.713611886575)</f>
        <v>46196.71361</v>
      </c>
      <c r="B5" s="197">
        <f>IFERROR(__xludf.DUMMYFUNCTION("""COMPUTED_VALUE"""),190.0)</f>
        <v>190</v>
      </c>
      <c r="C5" s="21">
        <f>IFERROR(__xludf.DUMMYFUNCTION("""COMPUTED_VALUE"""),22.656000000000006)</f>
        <v>22.656</v>
      </c>
      <c r="D5" s="21">
        <v>167.344</v>
      </c>
      <c r="E5" s="122">
        <v>46196.0</v>
      </c>
      <c r="F5" s="4">
        <v>168.0</v>
      </c>
    </row>
    <row r="6">
      <c r="A6" s="135">
        <f>IFERROR(__xludf.DUMMYFUNCTION("""COMPUTED_VALUE"""),46214.704208344905)</f>
        <v>46214.70421</v>
      </c>
      <c r="B6" s="197">
        <f>IFERROR(__xludf.DUMMYFUNCTION("""COMPUTED_VALUE"""),1200.0)</f>
        <v>1200</v>
      </c>
      <c r="C6" s="21">
        <f>IFERROR(__xludf.DUMMYFUNCTION("""COMPUTED_VALUE"""),139.93)</f>
        <v>139.93</v>
      </c>
      <c r="D6" s="21">
        <v>1060.07</v>
      </c>
      <c r="E6" s="122">
        <v>46214.0</v>
      </c>
      <c r="F6" s="4">
        <v>600.0</v>
      </c>
      <c r="J6" s="4" t="s">
        <v>1439</v>
      </c>
    </row>
    <row r="7">
      <c r="A7" s="135">
        <f>IFERROR(__xludf.DUMMYFUNCTION("""COMPUTED_VALUE"""),46224.58329664352)</f>
        <v>46224.5833</v>
      </c>
      <c r="B7" s="197">
        <f>IFERROR(__xludf.DUMMYFUNCTION("""COMPUTED_VALUE"""),700.0)</f>
        <v>700</v>
      </c>
      <c r="C7" s="21">
        <f>IFERROR(__xludf.DUMMYFUNCTION("""COMPUTED_VALUE"""),51.778700000000015)</f>
        <v>51.7787</v>
      </c>
      <c r="D7" s="21">
        <v>648.2212999999999</v>
      </c>
      <c r="E7" s="122">
        <v>46224.0</v>
      </c>
      <c r="F7" s="4">
        <v>400.0</v>
      </c>
      <c r="J7" s="4" t="s">
        <v>1440</v>
      </c>
    </row>
    <row r="8">
      <c r="A8" s="135">
        <f>IFERROR(__xludf.DUMMYFUNCTION("""COMPUTED_VALUE"""),46226.6697855324)</f>
        <v>46226.66979</v>
      </c>
      <c r="B8" s="197">
        <f>IFERROR(__xludf.DUMMYFUNCTION("""COMPUTED_VALUE"""),2050.0)</f>
        <v>2050</v>
      </c>
      <c r="C8" s="21">
        <f>IFERROR(__xludf.DUMMYFUNCTION("""COMPUTED_VALUE"""),161.42675000000003)</f>
        <v>161.42675</v>
      </c>
      <c r="D8" s="21">
        <v>1888.57325</v>
      </c>
      <c r="E8" s="122">
        <v>46226.0</v>
      </c>
      <c r="F8" s="4">
        <v>400.0</v>
      </c>
      <c r="J8" s="4" t="s">
        <v>1441</v>
      </c>
    </row>
    <row r="9">
      <c r="A9" s="135">
        <f>IFERROR(__xludf.DUMMYFUNCTION("""COMPUTED_VALUE"""),46227.69139172454)</f>
        <v>46227.69139</v>
      </c>
      <c r="B9" s="197">
        <f>IFERROR(__xludf.DUMMYFUNCTION("""COMPUTED_VALUE"""),3240.0)</f>
        <v>3240</v>
      </c>
      <c r="C9" s="21">
        <f>IFERROR(__xludf.DUMMYFUNCTION("""COMPUTED_VALUE"""),334.01444000000004)</f>
        <v>334.01444</v>
      </c>
      <c r="D9" s="21">
        <v>2905.98556</v>
      </c>
      <c r="E9" s="122">
        <v>46227.0</v>
      </c>
      <c r="F9" s="4">
        <v>500.0</v>
      </c>
      <c r="J9" s="4" t="s">
        <v>1442</v>
      </c>
    </row>
    <row r="10">
      <c r="A10" s="135">
        <f>IFERROR(__xludf.DUMMYFUNCTION("""COMPUTED_VALUE"""),46234.340746793976)</f>
        <v>46234.34075</v>
      </c>
      <c r="B10" s="197">
        <f>IFERROR(__xludf.DUMMYFUNCTION("""COMPUTED_VALUE"""),2960.0)</f>
        <v>2960</v>
      </c>
      <c r="C10" s="21">
        <f>IFERROR(__xludf.DUMMYFUNCTION("""COMPUTED_VALUE"""),249.06943000000007)</f>
        <v>249.06943</v>
      </c>
      <c r="D10" s="21">
        <v>2710.93057</v>
      </c>
      <c r="E10" s="122">
        <v>46227.0</v>
      </c>
      <c r="F10" s="4">
        <v>1545.0</v>
      </c>
      <c r="G10" s="4">
        <v>1545000.0</v>
      </c>
      <c r="J10" s="4" t="s">
        <v>1443</v>
      </c>
    </row>
    <row r="11">
      <c r="A11" s="135">
        <f>IFERROR(__xludf.DUMMYFUNCTION("""COMPUTED_VALUE"""),46234.87849180555)</f>
        <v>46234.87849</v>
      </c>
      <c r="B11" s="197">
        <f>IFERROR(__xludf.DUMMYFUNCTION("""COMPUTED_VALUE"""),1470.0)</f>
        <v>1470</v>
      </c>
      <c r="C11" s="21">
        <f>IFERROR(__xludf.DUMMYFUNCTION("""COMPUTED_VALUE"""),174.91063500000004)</f>
        <v>174.910635</v>
      </c>
      <c r="D11" s="21">
        <v>1295.089365</v>
      </c>
      <c r="E11" s="122">
        <v>46232.0</v>
      </c>
      <c r="F11" s="4">
        <v>1000.0</v>
      </c>
      <c r="G11" s="4">
        <v>1550000.0</v>
      </c>
      <c r="J11" s="4" t="s">
        <v>1444</v>
      </c>
    </row>
    <row r="12">
      <c r="A12" s="135">
        <f>IFERROR(__xludf.DUMMYFUNCTION("""COMPUTED_VALUE"""),46237.52281260417)</f>
        <v>46237.52281</v>
      </c>
      <c r="B12" s="197">
        <f>IFERROR(__xludf.DUMMYFUNCTION("""COMPUTED_VALUE"""),1100.0)</f>
        <v>1100</v>
      </c>
      <c r="C12" s="21">
        <f>IFERROR(__xludf.DUMMYFUNCTION("""COMPUTED_VALUE"""),89.75819000000001)</f>
        <v>89.75819</v>
      </c>
      <c r="D12" s="21">
        <v>1010.24181</v>
      </c>
      <c r="E12" s="122">
        <v>46232.0</v>
      </c>
      <c r="F12" s="4">
        <v>500.0</v>
      </c>
      <c r="G12" s="4">
        <v>780000.0</v>
      </c>
      <c r="J12" s="4" t="s">
        <v>1445</v>
      </c>
    </row>
    <row r="13">
      <c r="A13" s="135">
        <f>IFERROR(__xludf.DUMMYFUNCTION("""COMPUTED_VALUE"""),46246.82358787037)</f>
        <v>46246.82359</v>
      </c>
      <c r="B13" s="197">
        <f>IFERROR(__xludf.DUMMYFUNCTION("""COMPUTED_VALUE"""),9130.0)</f>
        <v>9130</v>
      </c>
      <c r="C13" s="21">
        <f>IFERROR(__xludf.DUMMYFUNCTION("""COMPUTED_VALUE"""),919.9256000000001)</f>
        <v>919.9256</v>
      </c>
      <c r="D13" s="21">
        <v>8210.0744</v>
      </c>
      <c r="E13" s="122">
        <v>46234.0</v>
      </c>
      <c r="F13" s="4">
        <v>750.0</v>
      </c>
      <c r="G13" s="4">
        <v>1162500.0</v>
      </c>
      <c r="J13" s="4" t="s">
        <v>1444</v>
      </c>
    </row>
    <row r="14">
      <c r="A14" s="135">
        <f>IFERROR(__xludf.DUMMYFUNCTION("""COMPUTED_VALUE"""),46274.597082291664)</f>
        <v>46274.59708</v>
      </c>
      <c r="B14" s="197">
        <f>IFERROR(__xludf.DUMMYFUNCTION("""COMPUTED_VALUE"""),360.0)</f>
        <v>360</v>
      </c>
      <c r="C14" s="21">
        <f>IFERROR(__xludf.DUMMYFUNCTION("""COMPUTED_VALUE"""),40.059000000000026)</f>
        <v>40.059</v>
      </c>
      <c r="D14" s="21">
        <v>319.941</v>
      </c>
      <c r="E14" s="122">
        <v>46234.0</v>
      </c>
      <c r="F14" s="4">
        <v>1250.0</v>
      </c>
      <c r="G14" s="4">
        <v>1943750.0</v>
      </c>
      <c r="J14" s="4" t="s">
        <v>1445</v>
      </c>
    </row>
    <row r="15">
      <c r="A15" s="135">
        <f>IFERROR(__xludf.DUMMYFUNCTION("""COMPUTED_VALUE"""),46279.63716791666)</f>
        <v>46279.63717</v>
      </c>
      <c r="B15" s="197">
        <f>IFERROR(__xludf.DUMMYFUNCTION("""COMPUTED_VALUE"""),540.0)</f>
        <v>540</v>
      </c>
      <c r="C15" s="21">
        <f>IFERROR(__xludf.DUMMYFUNCTION("""COMPUTED_VALUE"""),46.83564000000002)</f>
        <v>46.83564</v>
      </c>
      <c r="D15" s="21">
        <v>493.16436</v>
      </c>
      <c r="E15" s="122">
        <v>46237.0</v>
      </c>
      <c r="F15" s="4">
        <v>1400.0</v>
      </c>
      <c r="J15" s="4" t="s">
        <v>1446</v>
      </c>
    </row>
    <row r="16">
      <c r="A16" s="135">
        <f>IFERROR(__xludf.DUMMYFUNCTION("""COMPUTED_VALUE"""),46294.73021109954)</f>
        <v>46294.73021</v>
      </c>
      <c r="B16" s="197">
        <f>IFERROR(__xludf.DUMMYFUNCTION("""COMPUTED_VALUE"""),210.0)</f>
        <v>210</v>
      </c>
      <c r="C16" s="21">
        <f>IFERROR(__xludf.DUMMYFUNCTION("""COMPUTED_VALUE"""),18.109845000000007)</f>
        <v>18.109845</v>
      </c>
      <c r="D16" s="21">
        <v>191.890155</v>
      </c>
      <c r="E16" s="122">
        <v>46237.0</v>
      </c>
      <c r="F16" s="4">
        <v>600.0</v>
      </c>
      <c r="G16" s="4">
        <v>930000.0</v>
      </c>
      <c r="J16" s="4" t="s">
        <v>1446</v>
      </c>
    </row>
    <row r="17">
      <c r="D17" s="21" t="s">
        <v>733</v>
      </c>
      <c r="E17" s="122">
        <v>46246.0</v>
      </c>
      <c r="F17" s="4">
        <v>2000.0</v>
      </c>
      <c r="J17" s="4" t="s">
        <v>1447</v>
      </c>
    </row>
    <row r="18">
      <c r="D18" s="21" t="s">
        <v>733</v>
      </c>
      <c r="E18" s="122">
        <v>46262.0</v>
      </c>
      <c r="F18" s="4">
        <v>1000.0</v>
      </c>
      <c r="J18" s="4" t="s">
        <v>1448</v>
      </c>
    </row>
    <row r="19">
      <c r="D19" s="21" t="s">
        <v>733</v>
      </c>
      <c r="E19" s="122">
        <v>46273.0</v>
      </c>
      <c r="F19" s="4">
        <v>500.0</v>
      </c>
      <c r="J19" s="4" t="s">
        <v>1222</v>
      </c>
    </row>
    <row r="20">
      <c r="D20" s="21" t="s">
        <v>733</v>
      </c>
      <c r="E20" s="122">
        <v>46274.0</v>
      </c>
      <c r="F20" s="4">
        <v>1000.0</v>
      </c>
      <c r="J20" s="4" t="s">
        <v>1222</v>
      </c>
    </row>
    <row r="21">
      <c r="D21" s="21" t="s">
        <v>733</v>
      </c>
      <c r="E21" s="122">
        <v>46274.0</v>
      </c>
      <c r="F21" s="4">
        <v>2765.0</v>
      </c>
      <c r="I21" s="4" t="s">
        <v>1449</v>
      </c>
    </row>
    <row r="22">
      <c r="D22" s="21" t="s">
        <v>733</v>
      </c>
      <c r="E22" s="122">
        <v>46283.0</v>
      </c>
      <c r="F22" s="4">
        <v>1140.0</v>
      </c>
      <c r="I22" s="4" t="s">
        <v>1450</v>
      </c>
    </row>
    <row r="23">
      <c r="D23" s="21" t="s">
        <v>733</v>
      </c>
      <c r="E23" s="122">
        <v>46294.0</v>
      </c>
      <c r="F23" s="4">
        <v>500.0</v>
      </c>
      <c r="I23" s="4" t="s">
        <v>1451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7052.367711</v>
      </c>
    </row>
    <row r="2">
      <c r="A2" s="21" t="str">
        <f>IFERROR(__xludf.DUMMYFUNCTION("QUERY(Pedidos!A2:E1000, ""SELECT A, D, (E/2) WHERE lower(B) CONTAINS 'facu pisando'"",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IFERROR(__xludf.DUMMYFUNCTION("""COMPUTED_VALUE"""),46092.63492619213)</f>
        <v>46092.63493</v>
      </c>
      <c r="B3" s="197">
        <f>IFERROR(__xludf.DUMMYFUNCTION("""COMPUTED_VALUE"""),4334.0)</f>
        <v>4334</v>
      </c>
      <c r="C3" s="21">
        <f>IFERROR(__xludf.DUMMYFUNCTION("""COMPUTED_VALUE"""),578.9518090003843)</f>
        <v>578.951809</v>
      </c>
      <c r="D3" s="21">
        <v>3755.0481909996156</v>
      </c>
      <c r="E3" s="122">
        <v>46092.0</v>
      </c>
      <c r="F3" s="4">
        <v>305.0</v>
      </c>
      <c r="G3" s="4">
        <f t="shared" ref="G3:G16" si="1">H3/F3</f>
        <v>1401.639344</v>
      </c>
      <c r="H3" s="4">
        <v>427500.0</v>
      </c>
    </row>
    <row r="4">
      <c r="A4" s="135">
        <f>IFERROR(__xludf.DUMMYFUNCTION("""COMPUTED_VALUE"""),46099.42049445601)</f>
        <v>46099.42049</v>
      </c>
      <c r="B4" s="197">
        <f>IFERROR(__xludf.DUMMYFUNCTION("""COMPUTED_VALUE"""),1220.0)</f>
        <v>1220</v>
      </c>
      <c r="C4" s="21">
        <f>IFERROR(__xludf.DUMMYFUNCTION("""COMPUTED_VALUE"""),139.68786)</f>
        <v>139.68786</v>
      </c>
      <c r="D4" s="21">
        <v>1080.31214</v>
      </c>
      <c r="E4" s="122">
        <v>46092.0</v>
      </c>
      <c r="F4" s="4">
        <v>306.0</v>
      </c>
      <c r="G4" s="4">
        <f t="shared" si="1"/>
        <v>1401.960784</v>
      </c>
      <c r="H4" s="4">
        <v>429000.0</v>
      </c>
    </row>
    <row r="5">
      <c r="A5" s="135">
        <f>IFERROR(__xludf.DUMMYFUNCTION("""COMPUTED_VALUE"""),46100.91865572916)</f>
        <v>46100.91866</v>
      </c>
      <c r="B5" s="197">
        <f>IFERROR(__xludf.DUMMYFUNCTION("""COMPUTED_VALUE"""),380.0)</f>
        <v>380</v>
      </c>
      <c r="C5" s="21">
        <f>IFERROR(__xludf.DUMMYFUNCTION("""COMPUTED_VALUE"""),45.31200000000001)</f>
        <v>45.312</v>
      </c>
      <c r="D5" s="21">
        <v>334.688</v>
      </c>
      <c r="E5" s="122">
        <v>46098.0</v>
      </c>
      <c r="F5" s="4">
        <v>350.0</v>
      </c>
      <c r="G5" s="4">
        <f t="shared" si="1"/>
        <v>1428.571429</v>
      </c>
      <c r="H5" s="4">
        <v>500000.0</v>
      </c>
    </row>
    <row r="6">
      <c r="A6" s="135">
        <f>IFERROR(__xludf.DUMMYFUNCTION("""COMPUTED_VALUE"""),46108.623040659724)</f>
        <v>46108.62304</v>
      </c>
      <c r="B6" s="197">
        <f>IFERROR(__xludf.DUMMYFUNCTION("""COMPUTED_VALUE"""),282.0)</f>
        <v>282</v>
      </c>
      <c r="C6" s="21">
        <f>IFERROR(__xludf.DUMMYFUNCTION("""COMPUTED_VALUE"""),47.266000000000005)</f>
        <v>47.266</v>
      </c>
      <c r="D6" s="21">
        <v>234.73399999999998</v>
      </c>
      <c r="E6" s="122">
        <v>46100.0</v>
      </c>
      <c r="F6" s="4">
        <v>240.0</v>
      </c>
      <c r="G6" s="4">
        <f t="shared" si="1"/>
        <v>1425.833333</v>
      </c>
      <c r="H6" s="4">
        <v>342200.0</v>
      </c>
    </row>
    <row r="7">
      <c r="A7" s="135">
        <f>IFERROR(__xludf.DUMMYFUNCTION("""COMPUTED_VALUE"""),46128.83121408565)</f>
        <v>46128.83121</v>
      </c>
      <c r="B7" s="197">
        <f>IFERROR(__xludf.DUMMYFUNCTION("""COMPUTED_VALUE"""),1520.0)</f>
        <v>1520</v>
      </c>
      <c r="C7" s="21">
        <f>IFERROR(__xludf.DUMMYFUNCTION("""COMPUTED_VALUE"""),177.77769956177434)</f>
        <v>177.7776996</v>
      </c>
      <c r="D7" s="21">
        <v>1342.2223004382256</v>
      </c>
      <c r="E7" s="122">
        <v>46101.0</v>
      </c>
      <c r="F7" s="4">
        <v>559.0</v>
      </c>
      <c r="G7" s="4">
        <f t="shared" si="1"/>
        <v>1431.127013</v>
      </c>
      <c r="H7" s="4">
        <v>800000.0</v>
      </c>
    </row>
    <row r="8">
      <c r="A8" s="135">
        <f>IFERROR(__xludf.DUMMYFUNCTION("""COMPUTED_VALUE"""),46199.7302580787)</f>
        <v>46199.73026</v>
      </c>
      <c r="B8" s="197">
        <f>IFERROR(__xludf.DUMMYFUNCTION("""COMPUTED_VALUE"""),3838.0)</f>
        <v>3838</v>
      </c>
      <c r="C8" s="21">
        <f>IFERROR(__xludf.DUMMYFUNCTION("""COMPUTED_VALUE"""),823.8780399999998)</f>
        <v>823.87804</v>
      </c>
      <c r="D8" s="21">
        <v>3014.1219600000004</v>
      </c>
      <c r="E8" s="122">
        <v>46104.0</v>
      </c>
      <c r="F8" s="4">
        <v>70.0</v>
      </c>
      <c r="G8" s="4">
        <f t="shared" si="1"/>
        <v>1428.571429</v>
      </c>
      <c r="H8" s="4">
        <v>100000.0</v>
      </c>
    </row>
    <row r="9">
      <c r="A9" s="135">
        <f>IFERROR(__xludf.DUMMYFUNCTION("""COMPUTED_VALUE"""),46224.64814820602)</f>
        <v>46224.64815</v>
      </c>
      <c r="B9" s="197">
        <f>IFERROR(__xludf.DUMMYFUNCTION("""COMPUTED_VALUE"""),6058.0)</f>
        <v>6058</v>
      </c>
      <c r="C9" s="21">
        <f>IFERROR(__xludf.DUMMYFUNCTION("""COMPUTED_VALUE"""),750.1474200000002)</f>
        <v>750.14742</v>
      </c>
      <c r="D9" s="21">
        <v>5307.85258</v>
      </c>
      <c r="E9" s="122">
        <v>46108.0</v>
      </c>
      <c r="F9" s="4">
        <v>340.0</v>
      </c>
      <c r="G9" s="4">
        <f t="shared" si="1"/>
        <v>1414.705882</v>
      </c>
      <c r="H9" s="4">
        <v>481000.0</v>
      </c>
    </row>
    <row r="10">
      <c r="A10" s="135">
        <f>IFERROR(__xludf.DUMMYFUNCTION("""COMPUTED_VALUE"""),46228.61995699074)</f>
        <v>46228.61996</v>
      </c>
      <c r="B10" s="197">
        <f>IFERROR(__xludf.DUMMYFUNCTION("""COMPUTED_VALUE"""),1620.0)</f>
        <v>1620</v>
      </c>
      <c r="C10" s="21">
        <f>IFERROR(__xludf.DUMMYFUNCTION("""COMPUTED_VALUE"""),185.11745999999994)</f>
        <v>185.11746</v>
      </c>
      <c r="D10" s="21">
        <v>1434.88254</v>
      </c>
      <c r="E10" s="122">
        <v>46108.0</v>
      </c>
      <c r="F10" s="4">
        <v>600.0</v>
      </c>
      <c r="G10" s="4">
        <f t="shared" si="1"/>
        <v>1416.666667</v>
      </c>
      <c r="H10" s="4">
        <v>850000.0</v>
      </c>
    </row>
    <row r="11">
      <c r="A11" s="135">
        <f>IFERROR(__xludf.DUMMYFUNCTION("""COMPUTED_VALUE"""),46298.65582460648)</f>
        <v>46298.65582</v>
      </c>
      <c r="B11" s="197">
        <f>IFERROR(__xludf.DUMMYFUNCTION("""COMPUTED_VALUE"""),897.0)</f>
        <v>897</v>
      </c>
      <c r="C11" s="21">
        <f>IFERROR(__xludf.DUMMYFUNCTION("""COMPUTED_VALUE"""),94.49400000000001)</f>
        <v>94.494</v>
      </c>
      <c r="D11" s="21">
        <v>802.506</v>
      </c>
      <c r="E11" s="122">
        <v>46130.0</v>
      </c>
      <c r="F11" s="4">
        <v>270.0</v>
      </c>
      <c r="G11" s="4">
        <f t="shared" si="1"/>
        <v>1407.407407</v>
      </c>
      <c r="H11" s="4">
        <v>380000.0</v>
      </c>
    </row>
    <row r="12">
      <c r="D12" s="21" t="s">
        <v>733</v>
      </c>
      <c r="E12" s="122">
        <v>46136.0</v>
      </c>
      <c r="F12" s="4">
        <v>282.0</v>
      </c>
      <c r="G12" s="4">
        <f t="shared" si="1"/>
        <v>1418.439716</v>
      </c>
      <c r="H12" s="4">
        <v>400000.0</v>
      </c>
    </row>
    <row r="13">
      <c r="D13" s="21" t="s">
        <v>733</v>
      </c>
      <c r="E13" s="122">
        <v>46197.0</v>
      </c>
      <c r="F13" s="4">
        <v>1570.0</v>
      </c>
      <c r="G13" s="4">
        <f t="shared" si="1"/>
        <v>0</v>
      </c>
      <c r="K13" s="4" t="s">
        <v>1422</v>
      </c>
    </row>
    <row r="14">
      <c r="D14" s="21" t="s">
        <v>733</v>
      </c>
      <c r="E14" s="122">
        <v>46220.0</v>
      </c>
      <c r="F14" s="4">
        <v>320.0</v>
      </c>
      <c r="G14" s="4">
        <f t="shared" si="1"/>
        <v>1525</v>
      </c>
      <c r="H14" s="4">
        <v>488000.0</v>
      </c>
    </row>
    <row r="15">
      <c r="D15" s="21" t="s">
        <v>733</v>
      </c>
      <c r="E15" s="122">
        <v>46224.0</v>
      </c>
      <c r="F15" s="4">
        <v>390.0</v>
      </c>
      <c r="G15" s="4">
        <f t="shared" si="1"/>
        <v>1538.461538</v>
      </c>
      <c r="H15" s="4">
        <v>600000.0</v>
      </c>
    </row>
    <row r="16">
      <c r="D16" s="21" t="s">
        <v>733</v>
      </c>
      <c r="E16" s="122">
        <v>46226.0</v>
      </c>
      <c r="F16" s="4">
        <v>100.0</v>
      </c>
      <c r="G16" s="4">
        <f t="shared" si="1"/>
        <v>1550</v>
      </c>
      <c r="H16" s="4">
        <v>155000.0</v>
      </c>
    </row>
    <row r="17">
      <c r="D17" s="21" t="s">
        <v>733</v>
      </c>
      <c r="E17" s="122">
        <v>46231.0</v>
      </c>
      <c r="F17" s="4">
        <v>100.0</v>
      </c>
      <c r="H17" s="4">
        <v>156500.0</v>
      </c>
    </row>
    <row r="18">
      <c r="D18" s="21" t="s">
        <v>733</v>
      </c>
      <c r="E18" s="122">
        <v>46235.0</v>
      </c>
      <c r="F18" s="4">
        <v>173.0</v>
      </c>
      <c r="H18" s="4">
        <v>269500.0</v>
      </c>
    </row>
    <row r="19">
      <c r="D19" s="21" t="s">
        <v>733</v>
      </c>
      <c r="E19" s="122">
        <v>46240.0</v>
      </c>
      <c r="F19" s="4">
        <v>447.0</v>
      </c>
      <c r="H19" s="4">
        <v>684000.0</v>
      </c>
      <c r="K19" s="4" t="s">
        <v>1452</v>
      </c>
    </row>
    <row r="20">
      <c r="D20" s="21" t="s">
        <v>733</v>
      </c>
      <c r="E20" s="122">
        <v>46247.0</v>
      </c>
      <c r="F20" s="4">
        <v>600.0</v>
      </c>
      <c r="H20" s="4">
        <v>920000.0</v>
      </c>
    </row>
    <row r="21">
      <c r="D21" s="21" t="s">
        <v>733</v>
      </c>
      <c r="E21" s="122">
        <v>46247.0</v>
      </c>
      <c r="F21" s="4">
        <v>1290.0</v>
      </c>
      <c r="K21" s="4" t="s">
        <v>1222</v>
      </c>
    </row>
    <row r="22">
      <c r="D22" s="21" t="s">
        <v>733</v>
      </c>
      <c r="E22" s="122">
        <v>46248.0</v>
      </c>
      <c r="F22" s="4">
        <v>100.0</v>
      </c>
      <c r="H22" s="4">
        <v>154000.0</v>
      </c>
    </row>
    <row r="23">
      <c r="D23" s="21" t="s">
        <v>733</v>
      </c>
      <c r="E23" s="122">
        <v>46255.0</v>
      </c>
      <c r="F23" s="4">
        <v>100.0</v>
      </c>
      <c r="H23" s="4">
        <v>154000.0</v>
      </c>
    </row>
    <row r="24">
      <c r="D24" s="21" t="s">
        <v>733</v>
      </c>
      <c r="E24" s="122">
        <v>46263.0</v>
      </c>
      <c r="F24" s="4">
        <v>100.0</v>
      </c>
      <c r="H24" s="4">
        <v>154000.0</v>
      </c>
    </row>
    <row r="25">
      <c r="D25" s="21" t="s">
        <v>733</v>
      </c>
      <c r="E25" s="122">
        <v>46264.0</v>
      </c>
      <c r="F25" s="4">
        <v>150.0</v>
      </c>
      <c r="H25" s="4">
        <v>233500.0</v>
      </c>
    </row>
    <row r="26">
      <c r="D26" s="21" t="s">
        <v>733</v>
      </c>
      <c r="E26" s="122">
        <v>46266.0</v>
      </c>
      <c r="F26" s="4">
        <v>980.0</v>
      </c>
      <c r="H26" s="4">
        <v>1500000.0</v>
      </c>
    </row>
    <row r="27">
      <c r="D27" s="21" t="s">
        <v>733</v>
      </c>
      <c r="E27" s="122">
        <v>46267.0</v>
      </c>
      <c r="F27" s="4">
        <v>190.0</v>
      </c>
      <c r="H27" s="4">
        <v>292000.0</v>
      </c>
    </row>
    <row r="28">
      <c r="D28" s="21" t="s">
        <v>733</v>
      </c>
      <c r="E28" s="122">
        <v>46288.0</v>
      </c>
      <c r="F28" s="4">
        <v>322.0</v>
      </c>
      <c r="H28" s="4">
        <v>500000.0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8" max="8" width="19.0"/>
    <col customWidth="1" min="11" max="11" width="19.0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2480</v>
      </c>
      <c r="K1" s="4" t="s">
        <v>1453</v>
      </c>
    </row>
    <row r="2">
      <c r="A2" s="21" t="str">
        <f>IFERROR(__xludf.DUMMYFUNCTION("QUERY(Pedidos!A2:E1000, ""SELECT A, D, (E/0) WHERE lower(B) CONTAINS 'alfredo indajaus'"",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IFERROR(__xludf.DUMMYFUNCTION("""COMPUTED_VALUE"""),46065.55580596065)</f>
        <v>46065.55581</v>
      </c>
      <c r="B3" s="197">
        <f>IFERROR(__xludf.DUMMYFUNCTION("""COMPUTED_VALUE"""),240.0)</f>
        <v>240</v>
      </c>
      <c r="C3" s="21"/>
      <c r="D3" s="21">
        <v>240.0</v>
      </c>
      <c r="E3" s="122">
        <v>46092.0</v>
      </c>
      <c r="F3" s="4">
        <v>240.0</v>
      </c>
    </row>
    <row r="4">
      <c r="A4" s="135">
        <f>IFERROR(__xludf.DUMMYFUNCTION("""COMPUTED_VALUE"""),46087.36523340278)</f>
        <v>46087.36523</v>
      </c>
      <c r="B4" s="197">
        <f>IFERROR(__xludf.DUMMYFUNCTION("""COMPUTED_VALUE"""),1180.0)</f>
        <v>1180</v>
      </c>
      <c r="C4" s="21"/>
      <c r="D4" s="21">
        <v>1180.0</v>
      </c>
      <c r="E4" s="122">
        <v>46092.0</v>
      </c>
      <c r="F4" s="4">
        <v>440.0</v>
      </c>
    </row>
    <row r="5">
      <c r="A5" s="135">
        <f>IFERROR(__xludf.DUMMYFUNCTION("""COMPUTED_VALUE"""),46164.65688746527)</f>
        <v>46164.65689</v>
      </c>
      <c r="B5" s="197">
        <f>IFERROR(__xludf.DUMMYFUNCTION("""COMPUTED_VALUE"""),595.0)</f>
        <v>595</v>
      </c>
      <c r="C5" s="21"/>
      <c r="D5" s="21">
        <v>595.0</v>
      </c>
      <c r="E5" s="122">
        <v>46150.0</v>
      </c>
      <c r="F5" s="4">
        <v>240.0</v>
      </c>
    </row>
    <row r="6">
      <c r="A6" s="135">
        <f>IFERROR(__xludf.DUMMYFUNCTION("""COMPUTED_VALUE"""),46185.52113927083)</f>
        <v>46185.52114</v>
      </c>
      <c r="B6" s="197">
        <f>IFERROR(__xludf.DUMMYFUNCTION("""COMPUTED_VALUE"""),330.0)</f>
        <v>330</v>
      </c>
      <c r="C6" s="21"/>
      <c r="D6" s="21">
        <v>330.0</v>
      </c>
      <c r="E6" s="122">
        <v>46163.0</v>
      </c>
      <c r="F6" s="4">
        <v>120.0</v>
      </c>
    </row>
    <row r="7">
      <c r="A7" s="135">
        <f>IFERROR(__xludf.DUMMYFUNCTION("""COMPUTED_VALUE"""),46204.93846574074)</f>
        <v>46204.93847</v>
      </c>
      <c r="B7" s="197">
        <f>IFERROR(__xludf.DUMMYFUNCTION("""COMPUTED_VALUE"""),330.0)</f>
        <v>330</v>
      </c>
      <c r="C7" s="21"/>
      <c r="D7" s="21">
        <v>330.0</v>
      </c>
      <c r="E7" s="122">
        <v>46199.0</v>
      </c>
      <c r="F7" s="4">
        <v>340.0</v>
      </c>
    </row>
    <row r="8">
      <c r="A8" s="135">
        <f>IFERROR(__xludf.DUMMYFUNCTION("""COMPUTED_VALUE"""),46209.391358831024)</f>
        <v>46209.39136</v>
      </c>
      <c r="B8" s="197">
        <f>IFERROR(__xludf.DUMMYFUNCTION("""COMPUTED_VALUE"""),330.0)</f>
        <v>330</v>
      </c>
      <c r="C8" s="21"/>
      <c r="D8" s="21">
        <v>330.0</v>
      </c>
      <c r="E8" s="122">
        <v>46205.0</v>
      </c>
      <c r="F8" s="4">
        <v>340.0</v>
      </c>
      <c r="K8" s="4" t="s">
        <v>1454</v>
      </c>
    </row>
    <row r="9">
      <c r="A9" s="135">
        <f>IFERROR(__xludf.DUMMYFUNCTION("""COMPUTED_VALUE"""),46245.50051084491)</f>
        <v>46245.50051</v>
      </c>
      <c r="B9" s="197">
        <f>IFERROR(__xludf.DUMMYFUNCTION("""COMPUTED_VALUE"""),540.0)</f>
        <v>540</v>
      </c>
      <c r="C9" s="21"/>
      <c r="D9" s="21">
        <v>540.0</v>
      </c>
      <c r="E9" s="122">
        <v>46209.0</v>
      </c>
      <c r="F9" s="4">
        <v>100.0</v>
      </c>
      <c r="K9" s="4" t="s">
        <v>1455</v>
      </c>
    </row>
    <row r="10">
      <c r="A10" s="135">
        <f>IFERROR(__xludf.DUMMYFUNCTION("""COMPUTED_VALUE"""),46275.530745648146)</f>
        <v>46275.53075</v>
      </c>
      <c r="B10" s="197">
        <f>IFERROR(__xludf.DUMMYFUNCTION("""COMPUTED_VALUE"""),1470.0)</f>
        <v>1470</v>
      </c>
      <c r="C10" s="21"/>
      <c r="D10" s="21">
        <v>1470.0</v>
      </c>
      <c r="E10" s="122">
        <v>46245.0</v>
      </c>
      <c r="F10" s="4">
        <v>715.0</v>
      </c>
      <c r="K10" s="4" t="s">
        <v>1456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1985</v>
      </c>
    </row>
    <row r="2">
      <c r="A2" s="21" t="str">
        <f>IFERROR(__xludf.DUMMYFUNCTION("QUERY(Pedidos!A2:E1000, ""SELECT A, D, (E/0) WHERE lower(B) CONTAINS 'the pot club'"",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IFERROR(__xludf.DUMMYFUNCTION("""COMPUTED_VALUE"""),46099.6556215625)</f>
        <v>46099.65562</v>
      </c>
      <c r="B3" s="197">
        <f>IFERROR(__xludf.DUMMYFUNCTION("""COMPUTED_VALUE"""),2180.0)</f>
        <v>2180</v>
      </c>
      <c r="C3" s="21"/>
      <c r="D3" s="21">
        <v>2180.0</v>
      </c>
      <c r="E3" s="122">
        <v>46220.0</v>
      </c>
      <c r="F3" s="4">
        <v>545.0</v>
      </c>
      <c r="G3" s="4">
        <v>828400.0</v>
      </c>
    </row>
    <row r="4">
      <c r="A4" s="135">
        <f>IFERROR(__xludf.DUMMYFUNCTION("""COMPUTED_VALUE"""),46234.33896864583)</f>
        <v>46234.33897</v>
      </c>
      <c r="B4" s="197">
        <f>IFERROR(__xludf.DUMMYFUNCTION("""COMPUTED_VALUE"""),350.0)</f>
        <v>350</v>
      </c>
      <c r="C4" s="21"/>
      <c r="D4" s="21">
        <v>350.0</v>
      </c>
      <c r="E4" s="122"/>
    </row>
    <row r="5">
      <c r="D5" s="21" t="s">
        <v>733</v>
      </c>
    </row>
    <row r="6">
      <c r="D6" s="21" t="s">
        <v>733</v>
      </c>
    </row>
    <row r="7">
      <c r="D7" s="21" t="s">
        <v>733</v>
      </c>
    </row>
    <row r="8">
      <c r="D8" s="21" t="s">
        <v>733</v>
      </c>
    </row>
    <row r="9">
      <c r="D9" s="21" t="s">
        <v>733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430</v>
      </c>
    </row>
    <row r="2">
      <c r="A2" s="21" t="str">
        <f>IFERROR(__xludf.DUMMYFUNCTION("QUERY(Pedidos!A2:E1000, ""SELECT A, D, (E/0) WHERE lower(B) CONTAINS 'tuki grow'"",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IFERROR(__xludf.DUMMYFUNCTION("""COMPUTED_VALUE"""),46099.47933380787)</f>
        <v>46099.47933</v>
      </c>
      <c r="B3" s="197">
        <f>IFERROR(__xludf.DUMMYFUNCTION("""COMPUTED_VALUE"""),2132.0)</f>
        <v>2132</v>
      </c>
      <c r="C3" s="21"/>
      <c r="D3" s="21">
        <v>2132.0</v>
      </c>
      <c r="E3" s="122">
        <v>46099.0</v>
      </c>
      <c r="F3" s="4">
        <v>1244.0</v>
      </c>
      <c r="G3" s="4">
        <v>1430.0</v>
      </c>
      <c r="H3" s="4">
        <v>1780000.0</v>
      </c>
    </row>
    <row r="4">
      <c r="A4" s="135">
        <f>IFERROR(__xludf.DUMMYFUNCTION("""COMPUTED_VALUE"""),46100.8250931713)</f>
        <v>46100.82509</v>
      </c>
      <c r="B4" s="197">
        <f>IFERROR(__xludf.DUMMYFUNCTION("""COMPUTED_VALUE"""),440.0)</f>
        <v>440</v>
      </c>
      <c r="C4" s="21"/>
      <c r="D4" s="21">
        <v>440.0</v>
      </c>
      <c r="E4" s="122">
        <v>46099.0</v>
      </c>
      <c r="F4" s="4">
        <v>559.0</v>
      </c>
      <c r="G4" s="4">
        <v>1430.0</v>
      </c>
      <c r="H4" s="4">
        <v>800000.0</v>
      </c>
    </row>
    <row r="5">
      <c r="D5" s="21" t="s">
        <v>733</v>
      </c>
      <c r="E5" s="122">
        <v>46099.0</v>
      </c>
      <c r="F5" s="4">
        <v>339.0</v>
      </c>
      <c r="G5" s="4">
        <v>1430.0</v>
      </c>
      <c r="H5" s="4">
        <v>485160.0</v>
      </c>
    </row>
    <row r="6">
      <c r="D6" s="21" t="s">
        <v>733</v>
      </c>
    </row>
    <row r="7">
      <c r="D7" s="21" t="s">
        <v>733</v>
      </c>
    </row>
    <row r="8">
      <c r="D8" s="21" t="s">
        <v>733</v>
      </c>
    </row>
    <row r="9">
      <c r="D9" s="21" t="s">
        <v>733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8" max="8" width="36.38"/>
    <col customWidth="1" min="9" max="9" width="41.75"/>
    <col customWidth="1" min="10" max="10" width="65.25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0</v>
      </c>
      <c r="J1" s="231" t="s">
        <v>23</v>
      </c>
    </row>
    <row r="2">
      <c r="A2" s="21" t="str">
        <f>IFERROR(__xludf.DUMMYFUNCTION("QUERY(Pedidos!A2:E1000, ""SELECT A, D, (E/0) WHERE lower(B) CONTAINS 'high up omg'"",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  <c r="J2" s="232"/>
    </row>
    <row r="3">
      <c r="A3" s="135">
        <f>IFERROR(__xludf.DUMMYFUNCTION("""COMPUTED_VALUE"""),46065.60497993056)</f>
        <v>46065.60498</v>
      </c>
      <c r="B3" s="197">
        <f>IFERROR(__xludf.DUMMYFUNCTION("""COMPUTED_VALUE"""),3868.0)</f>
        <v>3868</v>
      </c>
      <c r="C3" s="21"/>
      <c r="D3" s="21">
        <v>3868.0</v>
      </c>
      <c r="E3" s="122">
        <v>46079.0</v>
      </c>
      <c r="F3" s="4">
        <v>3868.0</v>
      </c>
      <c r="H3" s="4" t="s">
        <v>77</v>
      </c>
      <c r="J3" s="232"/>
    </row>
    <row r="4">
      <c r="A4" s="135">
        <f>IFERROR(__xludf.DUMMYFUNCTION("""COMPUTED_VALUE"""),46065.60637005787)</f>
        <v>46065.60637</v>
      </c>
      <c r="B4" s="197">
        <f>IFERROR(__xludf.DUMMYFUNCTION("""COMPUTED_VALUE"""),160.0)</f>
        <v>160</v>
      </c>
      <c r="C4" s="21"/>
      <c r="D4" s="21">
        <v>160.0</v>
      </c>
      <c r="E4" s="122">
        <v>46079.0</v>
      </c>
      <c r="F4" s="4">
        <v>160.0</v>
      </c>
      <c r="J4" s="232"/>
    </row>
    <row r="5">
      <c r="A5" s="135">
        <f>IFERROR(__xludf.DUMMYFUNCTION("""COMPUTED_VALUE"""),46065.611541585655)</f>
        <v>46065.61154</v>
      </c>
      <c r="B5" s="197">
        <f>IFERROR(__xludf.DUMMYFUNCTION("""COMPUTED_VALUE"""),190.0)</f>
        <v>190</v>
      </c>
      <c r="C5" s="21"/>
      <c r="D5" s="21">
        <v>190.0</v>
      </c>
      <c r="E5" s="122">
        <v>46079.0</v>
      </c>
      <c r="F5" s="4">
        <v>190.0</v>
      </c>
      <c r="J5" s="232"/>
    </row>
    <row r="6">
      <c r="A6" s="135">
        <f>IFERROR(__xludf.DUMMYFUNCTION("""COMPUTED_VALUE"""),46085.859849050925)</f>
        <v>46085.85985</v>
      </c>
      <c r="B6" s="197">
        <f>IFERROR(__xludf.DUMMYFUNCTION("""COMPUTED_VALUE"""),3010.0)</f>
        <v>3010</v>
      </c>
      <c r="C6" s="21"/>
      <c r="D6" s="21">
        <v>3010.0</v>
      </c>
      <c r="E6" s="122">
        <v>46112.0</v>
      </c>
      <c r="F6" s="4">
        <v>2350.0</v>
      </c>
      <c r="G6" s="4">
        <v>3291750.0</v>
      </c>
      <c r="H6" s="4" t="s">
        <v>1457</v>
      </c>
      <c r="J6" s="232"/>
    </row>
    <row r="7">
      <c r="A7" s="135">
        <f>IFERROR(__xludf.DUMMYFUNCTION("""COMPUTED_VALUE"""),46099.69399245371)</f>
        <v>46099.69399</v>
      </c>
      <c r="B7" s="197">
        <f>IFERROR(__xludf.DUMMYFUNCTION("""COMPUTED_VALUE"""),2310.0)</f>
        <v>2310</v>
      </c>
      <c r="C7" s="21"/>
      <c r="D7" s="21">
        <v>2310.0</v>
      </c>
      <c r="E7" s="122">
        <v>46114.0</v>
      </c>
      <c r="F7" s="4">
        <v>2970.0</v>
      </c>
      <c r="H7" s="4" t="s">
        <v>1458</v>
      </c>
      <c r="J7" s="232"/>
    </row>
    <row r="8">
      <c r="A8" s="135">
        <f>IFERROR(__xludf.DUMMYFUNCTION("""COMPUTED_VALUE"""),46113.5558950463)</f>
        <v>46113.5559</v>
      </c>
      <c r="B8" s="197">
        <f>IFERROR(__xludf.DUMMYFUNCTION("""COMPUTED_VALUE"""),4451.0)</f>
        <v>4451</v>
      </c>
      <c r="C8" s="21"/>
      <c r="D8" s="21">
        <v>4451.0</v>
      </c>
      <c r="E8" s="126">
        <v>46114.0</v>
      </c>
      <c r="F8" s="4">
        <v>217.5</v>
      </c>
      <c r="H8" s="4" t="s">
        <v>1459</v>
      </c>
      <c r="J8" s="231" t="s">
        <v>1460</v>
      </c>
    </row>
    <row r="9">
      <c r="A9" s="135">
        <f>IFERROR(__xludf.DUMMYFUNCTION("""COMPUTED_VALUE"""),46113.63449451389)</f>
        <v>46113.63449</v>
      </c>
      <c r="B9" s="197">
        <f>IFERROR(__xludf.DUMMYFUNCTION("""COMPUTED_VALUE"""),246.0)</f>
        <v>246</v>
      </c>
      <c r="C9" s="21"/>
      <c r="D9" s="21">
        <v>246.0</v>
      </c>
      <c r="E9" s="122">
        <v>46146.0</v>
      </c>
      <c r="F9" s="4">
        <v>3296.0</v>
      </c>
      <c r="G9" s="4">
        <v>4615776.0</v>
      </c>
      <c r="J9" s="232"/>
    </row>
    <row r="10">
      <c r="A10" s="135">
        <f>IFERROR(__xludf.DUMMYFUNCTION("""COMPUTED_VALUE"""),46114.815277152775)</f>
        <v>46114.81528</v>
      </c>
      <c r="B10" s="197">
        <f>IFERROR(__xludf.DUMMYFUNCTION("""COMPUTED_VALUE"""),220.0)</f>
        <v>220</v>
      </c>
      <c r="C10" s="21"/>
      <c r="D10" s="21">
        <v>220.0</v>
      </c>
      <c r="J10" s="232"/>
    </row>
    <row r="11">
      <c r="A11" s="135">
        <f>IFERROR(__xludf.DUMMYFUNCTION("""COMPUTED_VALUE"""),46143.55990262731)</f>
        <v>46143.5599</v>
      </c>
      <c r="B11" s="197">
        <f>IFERROR(__xludf.DUMMYFUNCTION("""COMPUTED_VALUE"""),3394.0)</f>
        <v>3394</v>
      </c>
      <c r="C11" s="21"/>
      <c r="D11" s="21">
        <v>3394.0</v>
      </c>
      <c r="E11" s="126">
        <v>46143.0</v>
      </c>
      <c r="F11" s="4">
        <v>108.75</v>
      </c>
      <c r="H11" s="4" t="s">
        <v>1461</v>
      </c>
      <c r="J11" s="232"/>
    </row>
    <row r="12">
      <c r="A12" s="135">
        <f>IFERROR(__xludf.DUMMYFUNCTION("""COMPUTED_VALUE"""),46176.72143986111)</f>
        <v>46176.72144</v>
      </c>
      <c r="B12" s="197">
        <f>IFERROR(__xludf.DUMMYFUNCTION("""COMPUTED_VALUE"""),1654.0)</f>
        <v>1654</v>
      </c>
      <c r="C12" s="21"/>
      <c r="D12" s="21">
        <v>1654.0</v>
      </c>
      <c r="E12" s="126">
        <v>46148.0</v>
      </c>
      <c r="F12" s="4">
        <v>4688.75</v>
      </c>
      <c r="J12" s="232"/>
    </row>
    <row r="13">
      <c r="A13" s="135">
        <f>IFERROR(__xludf.DUMMYFUNCTION("""COMPUTED_VALUE"""),46211.774350405096)</f>
        <v>46211.77435</v>
      </c>
      <c r="B13" s="197">
        <f>IFERROR(__xludf.DUMMYFUNCTION("""COMPUTED_VALUE"""),3423.0)</f>
        <v>3423</v>
      </c>
      <c r="C13" s="21"/>
      <c r="D13" s="21">
        <v>3423.0</v>
      </c>
      <c r="E13" s="122">
        <v>46218.0</v>
      </c>
      <c r="F13" s="4">
        <v>951.0</v>
      </c>
      <c r="J13" s="232"/>
    </row>
    <row r="14">
      <c r="A14" s="135">
        <f>IFERROR(__xludf.DUMMYFUNCTION("""COMPUTED_VALUE"""),46238.51105280093)</f>
        <v>46238.51105</v>
      </c>
      <c r="B14" s="197">
        <f>IFERROR(__xludf.DUMMYFUNCTION("""COMPUTED_VALUE"""),4951.0)</f>
        <v>4951</v>
      </c>
      <c r="C14" s="21"/>
      <c r="D14" s="21">
        <v>4951.0</v>
      </c>
      <c r="E14" s="122">
        <v>46237.0</v>
      </c>
      <c r="F14" s="4">
        <v>4125.0</v>
      </c>
      <c r="G14" s="4">
        <v>6311250.0</v>
      </c>
      <c r="H14" s="4" t="s">
        <v>1462</v>
      </c>
      <c r="J14" s="232"/>
    </row>
    <row r="15">
      <c r="A15" s="135">
        <f>IFERROR(__xludf.DUMMYFUNCTION("""COMPUTED_VALUE"""),46263.84433274306)</f>
        <v>46263.84433</v>
      </c>
      <c r="B15" s="197">
        <f>IFERROR(__xludf.DUMMYFUNCTION("""COMPUTED_VALUE"""),3870.0)</f>
        <v>3870</v>
      </c>
      <c r="C15" s="21"/>
      <c r="D15" s="21">
        <v>3870.0</v>
      </c>
      <c r="E15" s="122">
        <v>46246.0</v>
      </c>
      <c r="F15" s="4">
        <v>4952.0</v>
      </c>
      <c r="G15" s="4">
        <v>7527040.0</v>
      </c>
      <c r="H15" s="4" t="s">
        <v>1463</v>
      </c>
      <c r="I15" s="4" t="s">
        <v>1464</v>
      </c>
      <c r="J15" s="232"/>
    </row>
    <row r="16">
      <c r="A16" s="135">
        <f>IFERROR(__xludf.DUMMYFUNCTION("""COMPUTED_VALUE"""),46280.907119247684)</f>
        <v>46280.90712</v>
      </c>
      <c r="B16" s="197">
        <f>IFERROR(__xludf.DUMMYFUNCTION("""COMPUTED_VALUE"""),3745.0)</f>
        <v>3745</v>
      </c>
      <c r="C16" s="21"/>
      <c r="D16" s="21">
        <v>3745.0</v>
      </c>
      <c r="E16" s="122">
        <v>46266.0</v>
      </c>
      <c r="F16" s="4">
        <v>3870.0</v>
      </c>
      <c r="H16" s="4" t="s">
        <v>1465</v>
      </c>
      <c r="I16" s="4" t="s">
        <v>1466</v>
      </c>
      <c r="J16" s="232"/>
    </row>
    <row r="17">
      <c r="D17" s="21" t="s">
        <v>733</v>
      </c>
      <c r="E17" s="122">
        <v>46286.0</v>
      </c>
      <c r="F17" s="4">
        <v>3745.0</v>
      </c>
      <c r="H17" s="4" t="s">
        <v>1467</v>
      </c>
      <c r="J17" s="232"/>
    </row>
    <row r="18">
      <c r="D18" s="21" t="s">
        <v>733</v>
      </c>
      <c r="J18" s="232"/>
    </row>
    <row r="19">
      <c r="D19" s="21" t="s">
        <v>733</v>
      </c>
      <c r="J19" s="232"/>
    </row>
    <row r="20">
      <c r="D20" s="21" t="s">
        <v>733</v>
      </c>
      <c r="J20" s="232"/>
    </row>
    <row r="21">
      <c r="D21" s="21" t="s">
        <v>733</v>
      </c>
      <c r="J21" s="232"/>
    </row>
    <row r="22">
      <c r="D22" s="21" t="s">
        <v>733</v>
      </c>
      <c r="J22" s="232"/>
    </row>
    <row r="23">
      <c r="D23" s="21" t="s">
        <v>733</v>
      </c>
      <c r="J23" s="232"/>
    </row>
    <row r="24">
      <c r="D24" s="21" t="s">
        <v>733</v>
      </c>
      <c r="J24" s="232"/>
    </row>
    <row r="25">
      <c r="D25" s="21" t="s">
        <v>733</v>
      </c>
      <c r="J25" s="232"/>
    </row>
    <row r="26">
      <c r="D26" s="21" t="s">
        <v>733</v>
      </c>
      <c r="J26" s="232"/>
    </row>
    <row r="27">
      <c r="D27" s="21" t="s">
        <v>733</v>
      </c>
      <c r="J27" s="232"/>
    </row>
    <row r="28">
      <c r="D28" s="21" t="s">
        <v>733</v>
      </c>
      <c r="J28" s="232"/>
    </row>
    <row r="29">
      <c r="D29" s="21" t="s">
        <v>733</v>
      </c>
      <c r="J29" s="232"/>
    </row>
    <row r="30">
      <c r="D30" s="21" t="s">
        <v>733</v>
      </c>
      <c r="J30" s="232"/>
    </row>
    <row r="31">
      <c r="D31" s="21" t="s">
        <v>733</v>
      </c>
      <c r="J31" s="232"/>
    </row>
    <row r="32">
      <c r="D32" s="21" t="s">
        <v>733</v>
      </c>
      <c r="J32" s="232"/>
    </row>
    <row r="33">
      <c r="D33" s="21" t="s">
        <v>733</v>
      </c>
      <c r="J33" s="232"/>
    </row>
    <row r="34">
      <c r="D34" s="21" t="s">
        <v>733</v>
      </c>
      <c r="J34" s="232"/>
    </row>
    <row r="35">
      <c r="D35" s="21" t="s">
        <v>733</v>
      </c>
      <c r="J35" s="232"/>
    </row>
    <row r="36">
      <c r="D36" s="21" t="s">
        <v>733</v>
      </c>
      <c r="J36" s="232"/>
    </row>
    <row r="37">
      <c r="D37" s="21" t="s">
        <v>733</v>
      </c>
      <c r="J37" s="232"/>
    </row>
    <row r="38">
      <c r="D38" s="21" t="s">
        <v>733</v>
      </c>
      <c r="J38" s="232"/>
    </row>
    <row r="39">
      <c r="D39" s="21" t="s">
        <v>733</v>
      </c>
      <c r="J39" s="232"/>
    </row>
    <row r="40">
      <c r="D40" s="21" t="s">
        <v>733</v>
      </c>
      <c r="J40" s="232"/>
    </row>
    <row r="41">
      <c r="D41" s="21" t="s">
        <v>733</v>
      </c>
      <c r="J41" s="232"/>
    </row>
    <row r="42">
      <c r="D42" s="21" t="s">
        <v>733</v>
      </c>
      <c r="J42" s="232"/>
    </row>
    <row r="43">
      <c r="D43" s="21" t="s">
        <v>733</v>
      </c>
      <c r="J43" s="232"/>
    </row>
    <row r="44">
      <c r="D44" s="21" t="s">
        <v>733</v>
      </c>
      <c r="J44" s="232"/>
    </row>
    <row r="45">
      <c r="D45" s="21" t="s">
        <v>733</v>
      </c>
      <c r="J45" s="232"/>
    </row>
    <row r="46">
      <c r="D46" s="21" t="s">
        <v>733</v>
      </c>
      <c r="J46" s="232"/>
    </row>
    <row r="47">
      <c r="D47" s="21" t="s">
        <v>733</v>
      </c>
      <c r="J47" s="232"/>
    </row>
    <row r="48">
      <c r="D48" s="21" t="s">
        <v>733</v>
      </c>
      <c r="J48" s="232"/>
    </row>
    <row r="49">
      <c r="D49" s="21" t="s">
        <v>733</v>
      </c>
      <c r="J49" s="232"/>
    </row>
    <row r="50">
      <c r="D50" s="21" t="s">
        <v>733</v>
      </c>
      <c r="J50" s="232"/>
    </row>
    <row r="51">
      <c r="D51" s="21" t="s">
        <v>733</v>
      </c>
      <c r="J51" s="232"/>
    </row>
    <row r="52">
      <c r="D52" s="21" t="s">
        <v>733</v>
      </c>
      <c r="J52" s="232"/>
    </row>
    <row r="53">
      <c r="D53" s="21" t="s">
        <v>733</v>
      </c>
      <c r="J53" s="232"/>
    </row>
    <row r="54">
      <c r="D54" s="21" t="s">
        <v>733</v>
      </c>
      <c r="J54" s="232"/>
    </row>
    <row r="55">
      <c r="D55" s="21" t="s">
        <v>733</v>
      </c>
      <c r="J55" s="232"/>
    </row>
    <row r="56">
      <c r="D56" s="21" t="s">
        <v>733</v>
      </c>
      <c r="J56" s="232"/>
    </row>
    <row r="57">
      <c r="D57" s="21" t="s">
        <v>733</v>
      </c>
      <c r="J57" s="232"/>
    </row>
    <row r="58">
      <c r="D58" s="21" t="s">
        <v>733</v>
      </c>
      <c r="J58" s="232"/>
    </row>
    <row r="59">
      <c r="D59" s="21" t="s">
        <v>733</v>
      </c>
      <c r="J59" s="232"/>
    </row>
    <row r="60">
      <c r="D60" s="21" t="s">
        <v>733</v>
      </c>
      <c r="J60" s="232"/>
    </row>
    <row r="61">
      <c r="D61" s="21" t="s">
        <v>733</v>
      </c>
      <c r="J61" s="232"/>
    </row>
    <row r="62">
      <c r="D62" s="21" t="s">
        <v>733</v>
      </c>
      <c r="J62" s="232"/>
    </row>
    <row r="63">
      <c r="D63" s="21" t="s">
        <v>733</v>
      </c>
      <c r="J63" s="232"/>
    </row>
    <row r="64">
      <c r="D64" s="21" t="s">
        <v>733</v>
      </c>
      <c r="J64" s="233"/>
    </row>
    <row r="65">
      <c r="D65" s="21" t="s">
        <v>733</v>
      </c>
      <c r="J65" s="233"/>
    </row>
    <row r="66">
      <c r="D66" s="21" t="s">
        <v>733</v>
      </c>
      <c r="J66" s="233"/>
    </row>
    <row r="67">
      <c r="D67" s="21" t="s">
        <v>733</v>
      </c>
      <c r="J67" s="233"/>
    </row>
    <row r="68">
      <c r="D68" s="21" t="s">
        <v>733</v>
      </c>
      <c r="J68" s="233"/>
    </row>
    <row r="69">
      <c r="D69" s="21" t="s">
        <v>733</v>
      </c>
      <c r="J69" s="233"/>
    </row>
    <row r="70">
      <c r="D70" s="21" t="s">
        <v>733</v>
      </c>
      <c r="J70" s="233"/>
    </row>
    <row r="71">
      <c r="D71" s="21" t="s">
        <v>733</v>
      </c>
      <c r="J71" s="233"/>
    </row>
    <row r="72">
      <c r="D72" s="21" t="s">
        <v>733</v>
      </c>
      <c r="J72" s="233"/>
    </row>
    <row r="73">
      <c r="D73" s="21" t="s">
        <v>733</v>
      </c>
      <c r="J73" s="233"/>
    </row>
    <row r="74">
      <c r="D74" s="21" t="s">
        <v>733</v>
      </c>
      <c r="J74" s="233"/>
    </row>
    <row r="75">
      <c r="D75" s="21" t="s">
        <v>733</v>
      </c>
      <c r="J75" s="233"/>
    </row>
    <row r="76">
      <c r="D76" s="21" t="s">
        <v>733</v>
      </c>
      <c r="J76" s="233"/>
    </row>
    <row r="77">
      <c r="D77" s="21" t="s">
        <v>733</v>
      </c>
      <c r="J77" s="233"/>
    </row>
    <row r="78">
      <c r="D78" s="21" t="s">
        <v>733</v>
      </c>
      <c r="J78" s="233"/>
    </row>
    <row r="79">
      <c r="D79" s="21" t="s">
        <v>733</v>
      </c>
      <c r="J79" s="233"/>
    </row>
    <row r="80">
      <c r="D80" s="21" t="s">
        <v>733</v>
      </c>
      <c r="J80" s="233"/>
    </row>
    <row r="81">
      <c r="D81" s="21" t="s">
        <v>733</v>
      </c>
      <c r="J81" s="233"/>
    </row>
    <row r="82">
      <c r="D82" s="21" t="s">
        <v>733</v>
      </c>
      <c r="J82" s="233"/>
    </row>
    <row r="83">
      <c r="D83" s="21" t="s">
        <v>733</v>
      </c>
      <c r="J83" s="233"/>
    </row>
    <row r="84">
      <c r="D84" s="21" t="s">
        <v>733</v>
      </c>
      <c r="J84" s="233"/>
    </row>
    <row r="85">
      <c r="D85" s="21" t="s">
        <v>733</v>
      </c>
      <c r="J85" s="233"/>
    </row>
    <row r="86">
      <c r="D86" s="21" t="s">
        <v>733</v>
      </c>
      <c r="J86" s="233"/>
    </row>
    <row r="87">
      <c r="D87" s="21" t="s">
        <v>733</v>
      </c>
      <c r="J87" s="233"/>
    </row>
    <row r="88">
      <c r="D88" s="21" t="s">
        <v>733</v>
      </c>
      <c r="J88" s="233"/>
    </row>
    <row r="89">
      <c r="D89" s="21" t="s">
        <v>733</v>
      </c>
      <c r="J89" s="233"/>
    </row>
    <row r="90">
      <c r="D90" s="21" t="s">
        <v>733</v>
      </c>
      <c r="J90" s="233"/>
    </row>
    <row r="91">
      <c r="D91" s="21" t="s">
        <v>733</v>
      </c>
      <c r="J91" s="233"/>
    </row>
    <row r="92">
      <c r="D92" s="21" t="s">
        <v>733</v>
      </c>
      <c r="J92" s="233"/>
    </row>
    <row r="93">
      <c r="D93" s="21" t="s">
        <v>733</v>
      </c>
      <c r="J93" s="233"/>
    </row>
    <row r="94">
      <c r="D94" s="21" t="s">
        <v>733</v>
      </c>
      <c r="J94" s="233"/>
    </row>
    <row r="95">
      <c r="D95" s="21" t="s">
        <v>733</v>
      </c>
      <c r="J95" s="233"/>
    </row>
    <row r="96">
      <c r="D96" s="21" t="s">
        <v>733</v>
      </c>
      <c r="J96" s="233"/>
    </row>
    <row r="97">
      <c r="D97" s="21" t="s">
        <v>733</v>
      </c>
      <c r="J97" s="233"/>
    </row>
    <row r="98">
      <c r="D98" s="21" t="s">
        <v>733</v>
      </c>
      <c r="J98" s="233"/>
    </row>
    <row r="99">
      <c r="D99" s="21" t="s">
        <v>733</v>
      </c>
      <c r="J99" s="233"/>
    </row>
    <row r="100">
      <c r="D100" s="21" t="s">
        <v>733</v>
      </c>
      <c r="J100" s="233"/>
    </row>
    <row r="101">
      <c r="D101" s="21" t="s">
        <v>733</v>
      </c>
      <c r="J101" s="233"/>
    </row>
    <row r="102">
      <c r="D102" s="21" t="s">
        <v>733</v>
      </c>
      <c r="J102" s="233"/>
    </row>
    <row r="103">
      <c r="D103" s="21" t="s">
        <v>733</v>
      </c>
      <c r="J103" s="233"/>
    </row>
    <row r="104">
      <c r="D104" s="21" t="s">
        <v>733</v>
      </c>
      <c r="J104" s="233"/>
    </row>
    <row r="105">
      <c r="D105" s="21" t="s">
        <v>733</v>
      </c>
      <c r="J105" s="233"/>
    </row>
    <row r="106">
      <c r="D106" s="21" t="s">
        <v>733</v>
      </c>
      <c r="J106" s="233"/>
    </row>
    <row r="107">
      <c r="D107" s="21" t="s">
        <v>733</v>
      </c>
      <c r="J107" s="233"/>
    </row>
    <row r="108">
      <c r="D108" s="21" t="s">
        <v>733</v>
      </c>
      <c r="J108" s="233"/>
    </row>
    <row r="109">
      <c r="D109" s="21" t="s">
        <v>733</v>
      </c>
      <c r="J109" s="233"/>
    </row>
    <row r="110">
      <c r="D110" s="21" t="s">
        <v>733</v>
      </c>
      <c r="J110" s="233"/>
    </row>
    <row r="111">
      <c r="D111" s="21" t="s">
        <v>733</v>
      </c>
      <c r="J111" s="233"/>
    </row>
    <row r="112">
      <c r="D112" s="21" t="s">
        <v>733</v>
      </c>
      <c r="J112" s="233"/>
    </row>
    <row r="113">
      <c r="D113" s="21" t="s">
        <v>733</v>
      </c>
      <c r="J113" s="233"/>
    </row>
    <row r="114">
      <c r="D114" s="21" t="s">
        <v>733</v>
      </c>
      <c r="J114" s="233"/>
    </row>
    <row r="115">
      <c r="D115" s="21" t="s">
        <v>733</v>
      </c>
      <c r="J115" s="233"/>
    </row>
    <row r="116">
      <c r="D116" s="21" t="s">
        <v>733</v>
      </c>
      <c r="J116" s="233"/>
    </row>
    <row r="117">
      <c r="D117" s="21" t="s">
        <v>733</v>
      </c>
      <c r="J117" s="233"/>
    </row>
    <row r="118">
      <c r="D118" s="21" t="s">
        <v>733</v>
      </c>
      <c r="J118" s="233"/>
    </row>
    <row r="119">
      <c r="D119" s="21" t="s">
        <v>733</v>
      </c>
      <c r="J119" s="233"/>
    </row>
    <row r="120">
      <c r="D120" s="21" t="s">
        <v>733</v>
      </c>
      <c r="J120" s="233"/>
    </row>
    <row r="121">
      <c r="D121" s="21" t="s">
        <v>733</v>
      </c>
      <c r="J121" s="233"/>
    </row>
    <row r="122">
      <c r="D122" s="21" t="s">
        <v>733</v>
      </c>
      <c r="J122" s="233"/>
    </row>
    <row r="123">
      <c r="D123" s="21" t="s">
        <v>733</v>
      </c>
      <c r="J123" s="233"/>
    </row>
    <row r="124">
      <c r="D124" s="21" t="s">
        <v>733</v>
      </c>
      <c r="J124" s="233"/>
    </row>
    <row r="125">
      <c r="D125" s="21" t="s">
        <v>733</v>
      </c>
      <c r="J125" s="233"/>
    </row>
    <row r="126">
      <c r="D126" s="21" t="s">
        <v>733</v>
      </c>
      <c r="J126" s="233"/>
    </row>
    <row r="127">
      <c r="D127" s="21" t="s">
        <v>733</v>
      </c>
      <c r="J127" s="233"/>
    </row>
    <row r="128">
      <c r="D128" s="21" t="s">
        <v>733</v>
      </c>
      <c r="J128" s="233"/>
    </row>
    <row r="129">
      <c r="D129" s="21" t="s">
        <v>733</v>
      </c>
      <c r="J129" s="233"/>
    </row>
    <row r="130">
      <c r="D130" s="21" t="s">
        <v>733</v>
      </c>
      <c r="J130" s="233"/>
    </row>
    <row r="131">
      <c r="D131" s="21" t="s">
        <v>733</v>
      </c>
      <c r="J131" s="233"/>
    </row>
    <row r="132">
      <c r="D132" s="21" t="s">
        <v>733</v>
      </c>
      <c r="J132" s="233"/>
    </row>
    <row r="133">
      <c r="D133" s="21" t="s">
        <v>733</v>
      </c>
      <c r="J133" s="233"/>
    </row>
    <row r="134">
      <c r="D134" s="21" t="s">
        <v>733</v>
      </c>
      <c r="J134" s="233"/>
    </row>
    <row r="135">
      <c r="D135" s="21" t="s">
        <v>733</v>
      </c>
      <c r="J135" s="233"/>
    </row>
    <row r="136">
      <c r="D136" s="21" t="s">
        <v>733</v>
      </c>
      <c r="J136" s="233"/>
    </row>
    <row r="137">
      <c r="D137" s="21" t="s">
        <v>733</v>
      </c>
      <c r="J137" s="233"/>
    </row>
    <row r="138">
      <c r="D138" s="21" t="s">
        <v>733</v>
      </c>
      <c r="J138" s="233"/>
    </row>
    <row r="139">
      <c r="D139" s="21" t="s">
        <v>733</v>
      </c>
      <c r="J139" s="233"/>
    </row>
    <row r="140">
      <c r="D140" s="21" t="s">
        <v>733</v>
      </c>
      <c r="J140" s="233"/>
    </row>
    <row r="141">
      <c r="D141" s="21" t="s">
        <v>733</v>
      </c>
      <c r="J141" s="233"/>
    </row>
    <row r="142">
      <c r="D142" s="21" t="s">
        <v>733</v>
      </c>
      <c r="J142" s="233"/>
    </row>
    <row r="143">
      <c r="D143" s="21" t="s">
        <v>733</v>
      </c>
      <c r="J143" s="233"/>
    </row>
    <row r="144">
      <c r="D144" s="21" t="s">
        <v>733</v>
      </c>
      <c r="J144" s="233"/>
    </row>
    <row r="145">
      <c r="D145" s="21" t="s">
        <v>733</v>
      </c>
      <c r="J145" s="233"/>
    </row>
    <row r="146">
      <c r="D146" s="21" t="s">
        <v>733</v>
      </c>
      <c r="J146" s="233"/>
    </row>
    <row r="147">
      <c r="D147" s="21" t="s">
        <v>733</v>
      </c>
      <c r="J147" s="233"/>
    </row>
    <row r="148">
      <c r="D148" s="21" t="s">
        <v>733</v>
      </c>
      <c r="J148" s="233"/>
    </row>
    <row r="149">
      <c r="D149" s="21" t="s">
        <v>733</v>
      </c>
      <c r="J149" s="233"/>
    </row>
    <row r="150">
      <c r="D150" s="21" t="s">
        <v>733</v>
      </c>
      <c r="J150" s="233"/>
    </row>
    <row r="151">
      <c r="D151" s="21" t="s">
        <v>733</v>
      </c>
      <c r="J151" s="233"/>
    </row>
    <row r="152">
      <c r="D152" s="21" t="s">
        <v>733</v>
      </c>
      <c r="J152" s="233"/>
    </row>
    <row r="153">
      <c r="D153" s="21" t="s">
        <v>733</v>
      </c>
      <c r="J153" s="233"/>
    </row>
    <row r="154">
      <c r="D154" s="21" t="s">
        <v>733</v>
      </c>
      <c r="J154" s="233"/>
    </row>
    <row r="155">
      <c r="D155" s="21" t="s">
        <v>733</v>
      </c>
      <c r="J155" s="233"/>
    </row>
    <row r="156">
      <c r="D156" s="21" t="s">
        <v>733</v>
      </c>
      <c r="J156" s="233"/>
    </row>
    <row r="157">
      <c r="D157" s="21" t="s">
        <v>733</v>
      </c>
      <c r="J157" s="233"/>
    </row>
    <row r="158">
      <c r="D158" s="21" t="s">
        <v>733</v>
      </c>
      <c r="J158" s="233"/>
    </row>
    <row r="159">
      <c r="D159" s="21" t="s">
        <v>733</v>
      </c>
      <c r="J159" s="233"/>
    </row>
    <row r="160">
      <c r="D160" s="21" t="s">
        <v>733</v>
      </c>
      <c r="J160" s="233"/>
    </row>
    <row r="161">
      <c r="D161" s="21" t="s">
        <v>733</v>
      </c>
      <c r="J161" s="233"/>
    </row>
    <row r="162">
      <c r="D162" s="21" t="s">
        <v>733</v>
      </c>
      <c r="J162" s="233"/>
    </row>
    <row r="163">
      <c r="D163" s="21" t="s">
        <v>733</v>
      </c>
      <c r="J163" s="233"/>
    </row>
    <row r="164">
      <c r="D164" s="21" t="s">
        <v>733</v>
      </c>
      <c r="J164" s="233"/>
    </row>
    <row r="165">
      <c r="D165" s="21" t="s">
        <v>733</v>
      </c>
      <c r="J165" s="233"/>
    </row>
    <row r="166">
      <c r="D166" s="21" t="s">
        <v>733</v>
      </c>
      <c r="J166" s="233"/>
    </row>
    <row r="167">
      <c r="D167" s="21" t="s">
        <v>733</v>
      </c>
      <c r="J167" s="233"/>
    </row>
    <row r="168">
      <c r="D168" s="21" t="s">
        <v>733</v>
      </c>
      <c r="J168" s="233"/>
    </row>
    <row r="169">
      <c r="D169" s="21" t="s">
        <v>733</v>
      </c>
      <c r="J169" s="233"/>
    </row>
    <row r="170">
      <c r="D170" s="21" t="s">
        <v>733</v>
      </c>
      <c r="J170" s="233"/>
    </row>
    <row r="171">
      <c r="D171" s="21" t="s">
        <v>733</v>
      </c>
      <c r="J171" s="233"/>
    </row>
    <row r="172">
      <c r="D172" s="21" t="s">
        <v>733</v>
      </c>
      <c r="J172" s="233"/>
    </row>
    <row r="173">
      <c r="D173" s="21" t="s">
        <v>733</v>
      </c>
      <c r="J173" s="233"/>
    </row>
    <row r="174">
      <c r="D174" s="21" t="s">
        <v>733</v>
      </c>
      <c r="J174" s="233"/>
    </row>
    <row r="175">
      <c r="D175" s="21" t="s">
        <v>733</v>
      </c>
      <c r="J175" s="233"/>
    </row>
    <row r="176">
      <c r="D176" s="21" t="s">
        <v>733</v>
      </c>
      <c r="J176" s="233"/>
    </row>
    <row r="177">
      <c r="D177" s="21" t="s">
        <v>733</v>
      </c>
      <c r="J177" s="233"/>
    </row>
    <row r="178">
      <c r="D178" s="21" t="s">
        <v>733</v>
      </c>
      <c r="J178" s="233"/>
    </row>
    <row r="179">
      <c r="D179" s="21" t="s">
        <v>733</v>
      </c>
      <c r="J179" s="233"/>
    </row>
    <row r="180">
      <c r="D180" s="21" t="s">
        <v>733</v>
      </c>
      <c r="J180" s="233"/>
    </row>
    <row r="181">
      <c r="D181" s="21" t="s">
        <v>733</v>
      </c>
      <c r="J181" s="233"/>
    </row>
    <row r="182">
      <c r="D182" s="21" t="s">
        <v>733</v>
      </c>
      <c r="J182" s="233"/>
    </row>
    <row r="183">
      <c r="D183" s="21" t="s">
        <v>733</v>
      </c>
      <c r="J183" s="233"/>
    </row>
    <row r="184">
      <c r="D184" s="21" t="s">
        <v>733</v>
      </c>
      <c r="J184" s="233"/>
    </row>
    <row r="185">
      <c r="D185" s="21" t="s">
        <v>733</v>
      </c>
      <c r="J185" s="233"/>
    </row>
    <row r="186">
      <c r="D186" s="21" t="s">
        <v>733</v>
      </c>
      <c r="J186" s="233"/>
    </row>
    <row r="187">
      <c r="D187" s="21" t="s">
        <v>733</v>
      </c>
      <c r="J187" s="233"/>
    </row>
    <row r="188">
      <c r="D188" s="21" t="s">
        <v>733</v>
      </c>
      <c r="J188" s="233"/>
    </row>
    <row r="189">
      <c r="D189" s="21" t="s">
        <v>733</v>
      </c>
      <c r="J189" s="233"/>
    </row>
    <row r="190">
      <c r="D190" s="21" t="s">
        <v>733</v>
      </c>
      <c r="J190" s="233"/>
    </row>
    <row r="191">
      <c r="D191" s="21" t="s">
        <v>733</v>
      </c>
      <c r="J191" s="233"/>
    </row>
    <row r="192">
      <c r="D192" s="21" t="s">
        <v>733</v>
      </c>
      <c r="J192" s="233"/>
    </row>
    <row r="193">
      <c r="D193" s="21" t="s">
        <v>733</v>
      </c>
      <c r="J193" s="233"/>
    </row>
    <row r="194">
      <c r="D194" s="21" t="s">
        <v>733</v>
      </c>
      <c r="J194" s="233"/>
    </row>
    <row r="195">
      <c r="D195" s="21" t="s">
        <v>733</v>
      </c>
      <c r="J195" s="233"/>
    </row>
    <row r="196">
      <c r="D196" s="21" t="s">
        <v>733</v>
      </c>
      <c r="J196" s="233"/>
    </row>
    <row r="197">
      <c r="D197" s="21" t="s">
        <v>733</v>
      </c>
      <c r="J197" s="233"/>
    </row>
    <row r="198">
      <c r="D198" s="21" t="s">
        <v>733</v>
      </c>
      <c r="J198" s="233"/>
    </row>
    <row r="199">
      <c r="D199" s="21" t="s">
        <v>733</v>
      </c>
      <c r="J199" s="233"/>
    </row>
    <row r="200">
      <c r="D200" s="21" t="s">
        <v>733</v>
      </c>
      <c r="J200" s="233"/>
    </row>
    <row r="201">
      <c r="D201" s="21" t="s">
        <v>733</v>
      </c>
      <c r="J201" s="233"/>
    </row>
    <row r="202">
      <c r="D202" s="21" t="s">
        <v>733</v>
      </c>
      <c r="J202" s="233"/>
    </row>
    <row r="203">
      <c r="D203" s="21" t="s">
        <v>733</v>
      </c>
      <c r="J203" s="233"/>
    </row>
    <row r="204">
      <c r="D204" s="21" t="s">
        <v>733</v>
      </c>
      <c r="J204" s="233"/>
    </row>
    <row r="205">
      <c r="D205" s="21" t="s">
        <v>733</v>
      </c>
      <c r="J205" s="233"/>
    </row>
    <row r="206">
      <c r="D206" s="21" t="s">
        <v>733</v>
      </c>
      <c r="J206" s="233"/>
    </row>
    <row r="207">
      <c r="D207" s="21" t="s">
        <v>733</v>
      </c>
      <c r="J207" s="233"/>
    </row>
    <row r="208">
      <c r="D208" s="21" t="s">
        <v>733</v>
      </c>
      <c r="J208" s="233"/>
    </row>
    <row r="209">
      <c r="D209" s="21" t="s">
        <v>733</v>
      </c>
      <c r="J209" s="233"/>
    </row>
    <row r="210">
      <c r="D210" s="21" t="s">
        <v>733</v>
      </c>
      <c r="J210" s="233"/>
    </row>
    <row r="211">
      <c r="D211" s="21" t="s">
        <v>733</v>
      </c>
      <c r="J211" s="233"/>
    </row>
    <row r="212">
      <c r="D212" s="21" t="s">
        <v>733</v>
      </c>
      <c r="J212" s="233"/>
    </row>
    <row r="213">
      <c r="D213" s="21" t="s">
        <v>733</v>
      </c>
      <c r="J213" s="233"/>
    </row>
    <row r="214">
      <c r="D214" s="21" t="s">
        <v>733</v>
      </c>
      <c r="J214" s="233"/>
    </row>
    <row r="215">
      <c r="D215" s="21" t="s">
        <v>733</v>
      </c>
      <c r="J215" s="233"/>
    </row>
    <row r="216">
      <c r="D216" s="21" t="s">
        <v>733</v>
      </c>
      <c r="J216" s="233"/>
    </row>
    <row r="217">
      <c r="D217" s="21" t="s">
        <v>733</v>
      </c>
      <c r="J217" s="233"/>
    </row>
    <row r="218">
      <c r="D218" s="21" t="s">
        <v>733</v>
      </c>
      <c r="J218" s="233"/>
    </row>
    <row r="219">
      <c r="D219" s="21" t="s">
        <v>733</v>
      </c>
      <c r="J219" s="233"/>
    </row>
    <row r="220">
      <c r="D220" s="21" t="s">
        <v>733</v>
      </c>
      <c r="J220" s="233"/>
    </row>
    <row r="221">
      <c r="D221" s="21" t="s">
        <v>733</v>
      </c>
      <c r="J221" s="233"/>
    </row>
    <row r="222">
      <c r="D222" s="21" t="s">
        <v>733</v>
      </c>
      <c r="J222" s="233"/>
    </row>
    <row r="223">
      <c r="D223" s="21" t="s">
        <v>733</v>
      </c>
      <c r="J223" s="233"/>
    </row>
    <row r="224">
      <c r="D224" s="21" t="s">
        <v>733</v>
      </c>
      <c r="J224" s="233"/>
    </row>
    <row r="225">
      <c r="D225" s="21" t="s">
        <v>733</v>
      </c>
      <c r="J225" s="233"/>
    </row>
    <row r="226">
      <c r="D226" s="21" t="s">
        <v>733</v>
      </c>
      <c r="J226" s="233"/>
    </row>
    <row r="227">
      <c r="D227" s="21" t="s">
        <v>733</v>
      </c>
      <c r="J227" s="233"/>
    </row>
    <row r="228">
      <c r="D228" s="21" t="s">
        <v>733</v>
      </c>
      <c r="J228" s="233"/>
    </row>
    <row r="229">
      <c r="D229" s="21" t="s">
        <v>733</v>
      </c>
      <c r="J229" s="233"/>
    </row>
    <row r="230">
      <c r="D230" s="21" t="s">
        <v>733</v>
      </c>
      <c r="J230" s="233"/>
    </row>
    <row r="231">
      <c r="D231" s="21" t="s">
        <v>733</v>
      </c>
      <c r="J231" s="233"/>
    </row>
    <row r="232">
      <c r="D232" s="21" t="s">
        <v>733</v>
      </c>
      <c r="J232" s="233"/>
    </row>
    <row r="233">
      <c r="D233" s="21" t="s">
        <v>733</v>
      </c>
      <c r="J233" s="233"/>
    </row>
    <row r="234">
      <c r="D234" s="21" t="s">
        <v>733</v>
      </c>
      <c r="J234" s="233"/>
    </row>
    <row r="235">
      <c r="D235" s="21" t="s">
        <v>733</v>
      </c>
      <c r="J235" s="233"/>
    </row>
    <row r="236">
      <c r="D236" s="21" t="s">
        <v>733</v>
      </c>
      <c r="J236" s="233"/>
    </row>
    <row r="237">
      <c r="D237" s="21" t="s">
        <v>733</v>
      </c>
      <c r="J237" s="233"/>
    </row>
    <row r="238">
      <c r="D238" s="21" t="s">
        <v>733</v>
      </c>
      <c r="J238" s="233"/>
    </row>
    <row r="239">
      <c r="D239" s="21" t="s">
        <v>733</v>
      </c>
      <c r="J239" s="233"/>
    </row>
    <row r="240">
      <c r="D240" s="21" t="s">
        <v>733</v>
      </c>
      <c r="J240" s="233"/>
    </row>
    <row r="241">
      <c r="D241" s="21" t="s">
        <v>733</v>
      </c>
      <c r="J241" s="233"/>
    </row>
    <row r="242">
      <c r="D242" s="21" t="s">
        <v>733</v>
      </c>
      <c r="J242" s="233"/>
    </row>
    <row r="243">
      <c r="D243" s="21" t="s">
        <v>733</v>
      </c>
      <c r="J243" s="233"/>
    </row>
    <row r="244">
      <c r="D244" s="21" t="s">
        <v>733</v>
      </c>
      <c r="J244" s="233"/>
    </row>
    <row r="245">
      <c r="D245" s="21" t="s">
        <v>733</v>
      </c>
      <c r="J245" s="233"/>
    </row>
    <row r="246">
      <c r="D246" s="21" t="s">
        <v>733</v>
      </c>
      <c r="J246" s="233"/>
    </row>
    <row r="247">
      <c r="D247" s="21" t="s">
        <v>733</v>
      </c>
      <c r="J247" s="233"/>
    </row>
    <row r="248">
      <c r="D248" s="21" t="s">
        <v>733</v>
      </c>
      <c r="J248" s="233"/>
    </row>
    <row r="249">
      <c r="D249" s="21" t="s">
        <v>733</v>
      </c>
      <c r="J249" s="233"/>
    </row>
    <row r="250">
      <c r="D250" s="21" t="s">
        <v>733</v>
      </c>
      <c r="J250" s="233"/>
    </row>
    <row r="251">
      <c r="D251" s="21" t="s">
        <v>733</v>
      </c>
      <c r="J251" s="233"/>
    </row>
    <row r="252">
      <c r="D252" s="21" t="s">
        <v>733</v>
      </c>
      <c r="J252" s="233"/>
    </row>
    <row r="253">
      <c r="D253" s="21" t="s">
        <v>733</v>
      </c>
      <c r="J253" s="233"/>
    </row>
    <row r="254">
      <c r="D254" s="21" t="s">
        <v>733</v>
      </c>
      <c r="J254" s="233"/>
    </row>
    <row r="255">
      <c r="D255" s="21" t="s">
        <v>733</v>
      </c>
      <c r="J255" s="233"/>
    </row>
    <row r="256">
      <c r="D256" s="21" t="s">
        <v>733</v>
      </c>
      <c r="J256" s="233"/>
    </row>
    <row r="257">
      <c r="D257" s="21" t="s">
        <v>733</v>
      </c>
      <c r="J257" s="233"/>
    </row>
    <row r="258">
      <c r="D258" s="21" t="s">
        <v>733</v>
      </c>
      <c r="J258" s="233"/>
    </row>
    <row r="259">
      <c r="D259" s="21" t="s">
        <v>733</v>
      </c>
      <c r="J259" s="233"/>
    </row>
    <row r="260">
      <c r="D260" s="21" t="s">
        <v>733</v>
      </c>
      <c r="J260" s="233"/>
    </row>
    <row r="261">
      <c r="D261" s="21" t="s">
        <v>733</v>
      </c>
      <c r="J261" s="233"/>
    </row>
    <row r="262">
      <c r="D262" s="21" t="s">
        <v>733</v>
      </c>
      <c r="J262" s="233"/>
    </row>
    <row r="263">
      <c r="D263" s="21" t="s">
        <v>733</v>
      </c>
      <c r="J263" s="233"/>
    </row>
    <row r="264">
      <c r="D264" s="21" t="s">
        <v>733</v>
      </c>
      <c r="J264" s="233"/>
    </row>
    <row r="265">
      <c r="D265" s="21" t="s">
        <v>733</v>
      </c>
      <c r="J265" s="233"/>
    </row>
    <row r="266">
      <c r="D266" s="21" t="s">
        <v>733</v>
      </c>
      <c r="J266" s="233"/>
    </row>
    <row r="267">
      <c r="D267" s="21" t="s">
        <v>733</v>
      </c>
      <c r="J267" s="233"/>
    </row>
    <row r="268">
      <c r="D268" s="21" t="s">
        <v>733</v>
      </c>
      <c r="J268" s="233"/>
    </row>
    <row r="269">
      <c r="D269" s="21" t="s">
        <v>733</v>
      </c>
      <c r="J269" s="233"/>
    </row>
    <row r="270">
      <c r="D270" s="21" t="s">
        <v>733</v>
      </c>
      <c r="J270" s="233"/>
    </row>
    <row r="271">
      <c r="D271" s="21" t="s">
        <v>733</v>
      </c>
      <c r="J271" s="233"/>
    </row>
    <row r="272">
      <c r="D272" s="21" t="s">
        <v>733</v>
      </c>
      <c r="J272" s="233"/>
    </row>
    <row r="273">
      <c r="D273" s="21" t="s">
        <v>733</v>
      </c>
      <c r="J273" s="233"/>
    </row>
    <row r="274">
      <c r="D274" s="21" t="s">
        <v>733</v>
      </c>
      <c r="J274" s="233"/>
    </row>
    <row r="275">
      <c r="D275" s="21" t="s">
        <v>733</v>
      </c>
      <c r="J275" s="233"/>
    </row>
    <row r="276">
      <c r="D276" s="21" t="s">
        <v>733</v>
      </c>
      <c r="J276" s="233"/>
    </row>
    <row r="277">
      <c r="D277" s="21" t="s">
        <v>733</v>
      </c>
      <c r="J277" s="233"/>
    </row>
    <row r="278">
      <c r="D278" s="21" t="s">
        <v>733</v>
      </c>
      <c r="J278" s="233"/>
    </row>
    <row r="279">
      <c r="D279" s="21" t="s">
        <v>733</v>
      </c>
      <c r="J279" s="233"/>
    </row>
    <row r="280">
      <c r="D280" s="21" t="s">
        <v>733</v>
      </c>
      <c r="J280" s="233"/>
    </row>
    <row r="281">
      <c r="D281" s="21" t="s">
        <v>733</v>
      </c>
      <c r="J281" s="233"/>
    </row>
    <row r="282">
      <c r="D282" s="21" t="s">
        <v>733</v>
      </c>
      <c r="J282" s="233"/>
    </row>
    <row r="283">
      <c r="D283" s="21" t="s">
        <v>733</v>
      </c>
      <c r="J283" s="233"/>
    </row>
    <row r="284">
      <c r="D284" s="21" t="s">
        <v>733</v>
      </c>
      <c r="J284" s="233"/>
    </row>
    <row r="285">
      <c r="D285" s="21" t="s">
        <v>733</v>
      </c>
      <c r="J285" s="233"/>
    </row>
    <row r="286">
      <c r="D286" s="21" t="s">
        <v>733</v>
      </c>
      <c r="J286" s="233"/>
    </row>
    <row r="287">
      <c r="D287" s="21" t="s">
        <v>733</v>
      </c>
      <c r="J287" s="233"/>
    </row>
    <row r="288">
      <c r="D288" s="21" t="s">
        <v>733</v>
      </c>
      <c r="J288" s="233"/>
    </row>
    <row r="289">
      <c r="D289" s="21" t="s">
        <v>733</v>
      </c>
      <c r="J289" s="233"/>
    </row>
    <row r="290">
      <c r="D290" s="21" t="s">
        <v>733</v>
      </c>
      <c r="J290" s="233"/>
    </row>
    <row r="291">
      <c r="D291" s="21" t="s">
        <v>733</v>
      </c>
      <c r="J291" s="233"/>
    </row>
    <row r="292">
      <c r="D292" s="21" t="s">
        <v>733</v>
      </c>
      <c r="J292" s="233"/>
    </row>
    <row r="293">
      <c r="D293" s="21" t="s">
        <v>733</v>
      </c>
      <c r="J293" s="233"/>
    </row>
    <row r="294">
      <c r="D294" s="21" t="s">
        <v>733</v>
      </c>
      <c r="J294" s="233"/>
    </row>
    <row r="295">
      <c r="D295" s="21" t="s">
        <v>733</v>
      </c>
      <c r="J295" s="233"/>
    </row>
    <row r="296">
      <c r="D296" s="21" t="s">
        <v>733</v>
      </c>
      <c r="J296" s="233"/>
    </row>
    <row r="297">
      <c r="D297" s="21" t="s">
        <v>733</v>
      </c>
      <c r="J297" s="233"/>
    </row>
    <row r="298">
      <c r="D298" s="21" t="s">
        <v>733</v>
      </c>
      <c r="J298" s="233"/>
    </row>
    <row r="299">
      <c r="D299" s="21" t="s">
        <v>733</v>
      </c>
      <c r="J299" s="233"/>
    </row>
    <row r="300">
      <c r="D300" s="21" t="s">
        <v>733</v>
      </c>
      <c r="J300" s="233"/>
    </row>
    <row r="301">
      <c r="D301" s="21" t="s">
        <v>733</v>
      </c>
      <c r="J301" s="233"/>
    </row>
    <row r="302">
      <c r="D302" s="21" t="s">
        <v>733</v>
      </c>
      <c r="J302" s="233"/>
    </row>
    <row r="303">
      <c r="D303" s="21" t="s">
        <v>733</v>
      </c>
      <c r="J303" s="233"/>
    </row>
    <row r="304">
      <c r="D304" s="21" t="s">
        <v>733</v>
      </c>
      <c r="J304" s="233"/>
    </row>
    <row r="305">
      <c r="D305" s="21" t="s">
        <v>733</v>
      </c>
      <c r="J305" s="233"/>
    </row>
    <row r="306">
      <c r="D306" s="21" t="s">
        <v>733</v>
      </c>
      <c r="J306" s="233"/>
    </row>
    <row r="307">
      <c r="D307" s="21" t="s">
        <v>733</v>
      </c>
      <c r="J307" s="233"/>
    </row>
    <row r="308">
      <c r="D308" s="21" t="s">
        <v>733</v>
      </c>
      <c r="J308" s="233"/>
    </row>
    <row r="309">
      <c r="D309" s="21" t="s">
        <v>733</v>
      </c>
      <c r="J309" s="233"/>
    </row>
    <row r="310">
      <c r="D310" s="21" t="s">
        <v>733</v>
      </c>
      <c r="J310" s="233"/>
    </row>
    <row r="311">
      <c r="D311" s="21" t="s">
        <v>733</v>
      </c>
      <c r="J311" s="233"/>
    </row>
    <row r="312">
      <c r="D312" s="21" t="s">
        <v>733</v>
      </c>
      <c r="J312" s="233"/>
    </row>
    <row r="313">
      <c r="D313" s="21" t="s">
        <v>733</v>
      </c>
      <c r="J313" s="233"/>
    </row>
    <row r="314">
      <c r="D314" s="21" t="s">
        <v>733</v>
      </c>
      <c r="J314" s="233"/>
    </row>
    <row r="315">
      <c r="D315" s="21" t="s">
        <v>733</v>
      </c>
      <c r="J315" s="233"/>
    </row>
    <row r="316">
      <c r="D316" s="21" t="s">
        <v>733</v>
      </c>
      <c r="J316" s="233"/>
    </row>
    <row r="317">
      <c r="D317" s="21" t="s">
        <v>733</v>
      </c>
      <c r="J317" s="233"/>
    </row>
    <row r="318">
      <c r="D318" s="21" t="s">
        <v>733</v>
      </c>
      <c r="J318" s="233"/>
    </row>
    <row r="319">
      <c r="D319" s="21" t="s">
        <v>733</v>
      </c>
      <c r="J319" s="233"/>
    </row>
    <row r="320">
      <c r="D320" s="21" t="s">
        <v>733</v>
      </c>
      <c r="J320" s="233"/>
    </row>
    <row r="321">
      <c r="D321" s="21" t="s">
        <v>733</v>
      </c>
      <c r="J321" s="233"/>
    </row>
    <row r="322">
      <c r="D322" s="21" t="s">
        <v>733</v>
      </c>
      <c r="J322" s="233"/>
    </row>
    <row r="323">
      <c r="D323" s="21" t="s">
        <v>733</v>
      </c>
      <c r="J323" s="233"/>
    </row>
    <row r="324">
      <c r="D324" s="21" t="s">
        <v>733</v>
      </c>
      <c r="J324" s="233"/>
    </row>
    <row r="325">
      <c r="D325" s="21" t="s">
        <v>733</v>
      </c>
      <c r="J325" s="233"/>
    </row>
    <row r="326">
      <c r="D326" s="21" t="s">
        <v>733</v>
      </c>
      <c r="J326" s="233"/>
    </row>
    <row r="327">
      <c r="D327" s="21" t="s">
        <v>733</v>
      </c>
      <c r="J327" s="233"/>
    </row>
    <row r="328">
      <c r="D328" s="21" t="s">
        <v>733</v>
      </c>
      <c r="J328" s="233"/>
    </row>
    <row r="329">
      <c r="D329" s="21" t="s">
        <v>733</v>
      </c>
      <c r="J329" s="233"/>
    </row>
    <row r="330">
      <c r="D330" s="21" t="s">
        <v>733</v>
      </c>
      <c r="J330" s="233"/>
    </row>
    <row r="331">
      <c r="D331" s="21" t="s">
        <v>733</v>
      </c>
      <c r="J331" s="233"/>
    </row>
    <row r="332">
      <c r="D332" s="21" t="s">
        <v>733</v>
      </c>
      <c r="J332" s="233"/>
    </row>
    <row r="333">
      <c r="D333" s="21" t="s">
        <v>733</v>
      </c>
      <c r="J333" s="233"/>
    </row>
    <row r="334">
      <c r="D334" s="21" t="s">
        <v>733</v>
      </c>
      <c r="J334" s="233"/>
    </row>
    <row r="335">
      <c r="D335" s="21" t="s">
        <v>733</v>
      </c>
      <c r="J335" s="233"/>
    </row>
    <row r="336">
      <c r="D336" s="21" t="s">
        <v>733</v>
      </c>
      <c r="J336" s="233"/>
    </row>
    <row r="337">
      <c r="D337" s="21" t="s">
        <v>733</v>
      </c>
      <c r="J337" s="233"/>
    </row>
    <row r="338">
      <c r="D338" s="21" t="s">
        <v>733</v>
      </c>
      <c r="J338" s="233"/>
    </row>
    <row r="339">
      <c r="D339" s="21" t="s">
        <v>733</v>
      </c>
      <c r="J339" s="233"/>
    </row>
    <row r="340">
      <c r="D340" s="21" t="s">
        <v>733</v>
      </c>
      <c r="J340" s="233"/>
    </row>
    <row r="341">
      <c r="D341" s="21" t="s">
        <v>733</v>
      </c>
      <c r="J341" s="233"/>
    </row>
    <row r="342">
      <c r="D342" s="21" t="s">
        <v>733</v>
      </c>
      <c r="J342" s="233"/>
    </row>
    <row r="343">
      <c r="D343" s="21" t="s">
        <v>733</v>
      </c>
      <c r="J343" s="233"/>
    </row>
    <row r="344">
      <c r="D344" s="21" t="s">
        <v>733</v>
      </c>
      <c r="J344" s="233"/>
    </row>
    <row r="345">
      <c r="D345" s="21" t="s">
        <v>733</v>
      </c>
      <c r="J345" s="233"/>
    </row>
    <row r="346">
      <c r="D346" s="21" t="s">
        <v>733</v>
      </c>
      <c r="J346" s="233"/>
    </row>
    <row r="347">
      <c r="D347" s="21" t="s">
        <v>733</v>
      </c>
      <c r="J347" s="233"/>
    </row>
    <row r="348">
      <c r="D348" s="21" t="s">
        <v>733</v>
      </c>
      <c r="J348" s="233"/>
    </row>
    <row r="349">
      <c r="D349" s="21" t="s">
        <v>733</v>
      </c>
      <c r="J349" s="233"/>
    </row>
    <row r="350">
      <c r="D350" s="21" t="s">
        <v>733</v>
      </c>
      <c r="J350" s="233"/>
    </row>
    <row r="351">
      <c r="D351" s="21" t="s">
        <v>733</v>
      </c>
      <c r="J351" s="233"/>
    </row>
    <row r="352">
      <c r="D352" s="21" t="s">
        <v>733</v>
      </c>
      <c r="J352" s="233"/>
    </row>
    <row r="353">
      <c r="D353" s="21" t="s">
        <v>733</v>
      </c>
      <c r="J353" s="233"/>
    </row>
    <row r="354">
      <c r="D354" s="21" t="s">
        <v>733</v>
      </c>
      <c r="J354" s="233"/>
    </row>
    <row r="355">
      <c r="D355" s="21" t="s">
        <v>733</v>
      </c>
      <c r="J355" s="233"/>
    </row>
    <row r="356">
      <c r="D356" s="21" t="s">
        <v>733</v>
      </c>
      <c r="J356" s="233"/>
    </row>
    <row r="357">
      <c r="D357" s="21" t="s">
        <v>733</v>
      </c>
      <c r="J357" s="233"/>
    </row>
    <row r="358">
      <c r="D358" s="21" t="s">
        <v>733</v>
      </c>
      <c r="J358" s="233"/>
    </row>
    <row r="359">
      <c r="D359" s="21" t="s">
        <v>733</v>
      </c>
      <c r="J359" s="233"/>
    </row>
    <row r="360">
      <c r="D360" s="21" t="s">
        <v>733</v>
      </c>
      <c r="J360" s="233"/>
    </row>
    <row r="361">
      <c r="D361" s="21" t="s">
        <v>733</v>
      </c>
      <c r="J361" s="233"/>
    </row>
    <row r="362">
      <c r="D362" s="21" t="s">
        <v>733</v>
      </c>
      <c r="J362" s="233"/>
    </row>
    <row r="363">
      <c r="D363" s="21" t="s">
        <v>733</v>
      </c>
      <c r="J363" s="233"/>
    </row>
    <row r="364">
      <c r="D364" s="21" t="s">
        <v>733</v>
      </c>
      <c r="J364" s="233"/>
    </row>
    <row r="365">
      <c r="D365" s="21" t="s">
        <v>733</v>
      </c>
      <c r="J365" s="233"/>
    </row>
    <row r="366">
      <c r="D366" s="21" t="s">
        <v>733</v>
      </c>
      <c r="J366" s="233"/>
    </row>
    <row r="367">
      <c r="D367" s="21" t="s">
        <v>733</v>
      </c>
      <c r="J367" s="233"/>
    </row>
    <row r="368">
      <c r="D368" s="21" t="s">
        <v>733</v>
      </c>
      <c r="J368" s="233"/>
    </row>
    <row r="369">
      <c r="D369" s="21" t="s">
        <v>733</v>
      </c>
      <c r="J369" s="233"/>
    </row>
    <row r="370">
      <c r="D370" s="21" t="s">
        <v>733</v>
      </c>
      <c r="J370" s="233"/>
    </row>
    <row r="371">
      <c r="D371" s="21" t="s">
        <v>733</v>
      </c>
      <c r="J371" s="233"/>
    </row>
    <row r="372">
      <c r="D372" s="21" t="s">
        <v>733</v>
      </c>
      <c r="J372" s="233"/>
    </row>
    <row r="373">
      <c r="D373" s="21" t="s">
        <v>733</v>
      </c>
      <c r="J373" s="233"/>
    </row>
    <row r="374">
      <c r="D374" s="21" t="s">
        <v>733</v>
      </c>
      <c r="J374" s="233"/>
    </row>
    <row r="375">
      <c r="D375" s="21" t="s">
        <v>733</v>
      </c>
      <c r="J375" s="233"/>
    </row>
    <row r="376">
      <c r="D376" s="21" t="s">
        <v>733</v>
      </c>
      <c r="J376" s="233"/>
    </row>
    <row r="377">
      <c r="D377" s="21" t="s">
        <v>733</v>
      </c>
      <c r="J377" s="233"/>
    </row>
    <row r="378">
      <c r="D378" s="21" t="s">
        <v>733</v>
      </c>
      <c r="J378" s="233"/>
    </row>
    <row r="379">
      <c r="D379" s="21" t="s">
        <v>733</v>
      </c>
      <c r="J379" s="233"/>
    </row>
    <row r="380">
      <c r="D380" s="21" t="s">
        <v>733</v>
      </c>
      <c r="J380" s="233"/>
    </row>
    <row r="381">
      <c r="D381" s="21" t="s">
        <v>733</v>
      </c>
      <c r="J381" s="233"/>
    </row>
    <row r="382">
      <c r="D382" s="21" t="s">
        <v>733</v>
      </c>
      <c r="J382" s="233"/>
    </row>
    <row r="383">
      <c r="D383" s="21" t="s">
        <v>733</v>
      </c>
      <c r="J383" s="233"/>
    </row>
    <row r="384">
      <c r="D384" s="21" t="s">
        <v>733</v>
      </c>
      <c r="J384" s="233"/>
    </row>
    <row r="385">
      <c r="D385" s="21" t="s">
        <v>733</v>
      </c>
      <c r="J385" s="233"/>
    </row>
    <row r="386">
      <c r="D386" s="21" t="s">
        <v>733</v>
      </c>
      <c r="J386" s="233"/>
    </row>
    <row r="387">
      <c r="D387" s="21" t="s">
        <v>733</v>
      </c>
      <c r="J387" s="233"/>
    </row>
    <row r="388">
      <c r="D388" s="21" t="s">
        <v>733</v>
      </c>
      <c r="J388" s="233"/>
    </row>
    <row r="389">
      <c r="D389" s="21" t="s">
        <v>733</v>
      </c>
      <c r="J389" s="233"/>
    </row>
    <row r="390">
      <c r="D390" s="21" t="s">
        <v>733</v>
      </c>
      <c r="J390" s="233"/>
    </row>
    <row r="391">
      <c r="D391" s="21" t="s">
        <v>733</v>
      </c>
      <c r="J391" s="233"/>
    </row>
    <row r="392">
      <c r="D392" s="21" t="s">
        <v>733</v>
      </c>
      <c r="J392" s="233"/>
    </row>
    <row r="393">
      <c r="D393" s="21" t="s">
        <v>733</v>
      </c>
      <c r="J393" s="233"/>
    </row>
    <row r="394">
      <c r="D394" s="21" t="s">
        <v>733</v>
      </c>
      <c r="J394" s="233"/>
    </row>
    <row r="395">
      <c r="D395" s="21" t="s">
        <v>733</v>
      </c>
      <c r="J395" s="233"/>
    </row>
    <row r="396">
      <c r="D396" s="21" t="s">
        <v>733</v>
      </c>
      <c r="J396" s="233"/>
    </row>
    <row r="397">
      <c r="D397" s="21" t="s">
        <v>733</v>
      </c>
      <c r="J397" s="233"/>
    </row>
    <row r="398">
      <c r="D398" s="21" t="s">
        <v>733</v>
      </c>
      <c r="J398" s="233"/>
    </row>
    <row r="399">
      <c r="D399" s="21" t="s">
        <v>733</v>
      </c>
      <c r="J399" s="233"/>
    </row>
    <row r="400">
      <c r="D400" s="21" t="s">
        <v>733</v>
      </c>
      <c r="J400" s="233"/>
    </row>
    <row r="401">
      <c r="D401" s="21" t="s">
        <v>733</v>
      </c>
      <c r="J401" s="233"/>
    </row>
    <row r="402">
      <c r="D402" s="21" t="s">
        <v>733</v>
      </c>
      <c r="J402" s="233"/>
    </row>
    <row r="403">
      <c r="D403" s="21" t="s">
        <v>733</v>
      </c>
      <c r="J403" s="233"/>
    </row>
    <row r="404">
      <c r="D404" s="21" t="s">
        <v>733</v>
      </c>
      <c r="J404" s="233"/>
    </row>
    <row r="405">
      <c r="D405" s="21" t="s">
        <v>733</v>
      </c>
      <c r="J405" s="233"/>
    </row>
    <row r="406">
      <c r="D406" s="21" t="s">
        <v>733</v>
      </c>
      <c r="J406" s="233"/>
    </row>
    <row r="407">
      <c r="D407" s="21" t="s">
        <v>733</v>
      </c>
      <c r="J407" s="233"/>
    </row>
    <row r="408">
      <c r="D408" s="21" t="s">
        <v>733</v>
      </c>
      <c r="J408" s="233"/>
    </row>
    <row r="409">
      <c r="D409" s="21" t="s">
        <v>733</v>
      </c>
      <c r="J409" s="233"/>
    </row>
    <row r="410">
      <c r="D410" s="21" t="s">
        <v>733</v>
      </c>
      <c r="J410" s="233"/>
    </row>
    <row r="411">
      <c r="D411" s="21" t="s">
        <v>733</v>
      </c>
      <c r="J411" s="233"/>
    </row>
    <row r="412">
      <c r="D412" s="21" t="s">
        <v>733</v>
      </c>
      <c r="J412" s="233"/>
    </row>
    <row r="413">
      <c r="D413" s="21" t="s">
        <v>733</v>
      </c>
      <c r="J413" s="233"/>
    </row>
    <row r="414">
      <c r="D414" s="21" t="s">
        <v>733</v>
      </c>
      <c r="J414" s="233"/>
    </row>
    <row r="415">
      <c r="D415" s="21" t="s">
        <v>733</v>
      </c>
      <c r="J415" s="233"/>
    </row>
    <row r="416">
      <c r="D416" s="21" t="s">
        <v>733</v>
      </c>
      <c r="J416" s="233"/>
    </row>
    <row r="417">
      <c r="D417" s="21" t="s">
        <v>733</v>
      </c>
      <c r="J417" s="233"/>
    </row>
    <row r="418">
      <c r="D418" s="21" t="s">
        <v>733</v>
      </c>
      <c r="J418" s="233"/>
    </row>
    <row r="419">
      <c r="D419" s="21" t="s">
        <v>733</v>
      </c>
      <c r="J419" s="233"/>
    </row>
    <row r="420">
      <c r="D420" s="21" t="s">
        <v>733</v>
      </c>
      <c r="J420" s="233"/>
    </row>
    <row r="421">
      <c r="D421" s="21" t="s">
        <v>733</v>
      </c>
      <c r="J421" s="233"/>
    </row>
    <row r="422">
      <c r="D422" s="21" t="s">
        <v>733</v>
      </c>
      <c r="J422" s="233"/>
    </row>
    <row r="423">
      <c r="D423" s="21" t="s">
        <v>733</v>
      </c>
      <c r="J423" s="233"/>
    </row>
    <row r="424">
      <c r="D424" s="21" t="s">
        <v>733</v>
      </c>
      <c r="J424" s="233"/>
    </row>
    <row r="425">
      <c r="D425" s="21" t="s">
        <v>733</v>
      </c>
      <c r="J425" s="233"/>
    </row>
    <row r="426">
      <c r="D426" s="21" t="s">
        <v>733</v>
      </c>
      <c r="J426" s="233"/>
    </row>
    <row r="427">
      <c r="D427" s="21" t="s">
        <v>733</v>
      </c>
      <c r="J427" s="233"/>
    </row>
    <row r="428">
      <c r="D428" s="21" t="s">
        <v>733</v>
      </c>
      <c r="J428" s="233"/>
    </row>
    <row r="429">
      <c r="D429" s="21" t="s">
        <v>733</v>
      </c>
      <c r="J429" s="233"/>
    </row>
    <row r="430">
      <c r="D430" s="21" t="s">
        <v>733</v>
      </c>
      <c r="J430" s="233"/>
    </row>
    <row r="431">
      <c r="D431" s="21" t="s">
        <v>733</v>
      </c>
      <c r="J431" s="233"/>
    </row>
    <row r="432">
      <c r="D432" s="21" t="s">
        <v>733</v>
      </c>
      <c r="J432" s="233"/>
    </row>
    <row r="433">
      <c r="D433" s="21" t="s">
        <v>733</v>
      </c>
      <c r="J433" s="233"/>
    </row>
    <row r="434">
      <c r="D434" s="21" t="s">
        <v>733</v>
      </c>
      <c r="J434" s="233"/>
    </row>
    <row r="435">
      <c r="D435" s="21" t="s">
        <v>733</v>
      </c>
      <c r="J435" s="233"/>
    </row>
    <row r="436">
      <c r="D436" s="21" t="s">
        <v>733</v>
      </c>
      <c r="J436" s="233"/>
    </row>
    <row r="437">
      <c r="D437" s="21" t="s">
        <v>733</v>
      </c>
      <c r="J437" s="233"/>
    </row>
    <row r="438">
      <c r="D438" s="21" t="s">
        <v>733</v>
      </c>
      <c r="J438" s="233"/>
    </row>
    <row r="439">
      <c r="D439" s="21" t="s">
        <v>733</v>
      </c>
      <c r="J439" s="233"/>
    </row>
    <row r="440">
      <c r="D440" s="21" t="s">
        <v>733</v>
      </c>
      <c r="J440" s="233"/>
    </row>
    <row r="441">
      <c r="D441" s="21" t="s">
        <v>733</v>
      </c>
      <c r="J441" s="233"/>
    </row>
    <row r="442">
      <c r="D442" s="21" t="s">
        <v>733</v>
      </c>
      <c r="J442" s="233"/>
    </row>
    <row r="443">
      <c r="D443" s="21" t="s">
        <v>733</v>
      </c>
      <c r="J443" s="233"/>
    </row>
    <row r="444">
      <c r="D444" s="21" t="s">
        <v>733</v>
      </c>
      <c r="J444" s="233"/>
    </row>
    <row r="445">
      <c r="D445" s="21" t="s">
        <v>733</v>
      </c>
      <c r="J445" s="233"/>
    </row>
    <row r="446">
      <c r="D446" s="21" t="s">
        <v>733</v>
      </c>
      <c r="J446" s="233"/>
    </row>
    <row r="447">
      <c r="D447" s="21" t="s">
        <v>733</v>
      </c>
      <c r="J447" s="233"/>
    </row>
    <row r="448">
      <c r="D448" s="21" t="s">
        <v>733</v>
      </c>
      <c r="J448" s="233"/>
    </row>
    <row r="449">
      <c r="D449" s="21" t="s">
        <v>733</v>
      </c>
      <c r="J449" s="233"/>
    </row>
    <row r="450">
      <c r="D450" s="21" t="s">
        <v>733</v>
      </c>
      <c r="J450" s="233"/>
    </row>
    <row r="451">
      <c r="D451" s="21" t="s">
        <v>733</v>
      </c>
      <c r="J451" s="233"/>
    </row>
    <row r="452">
      <c r="D452" s="21" t="s">
        <v>733</v>
      </c>
      <c r="J452" s="233"/>
    </row>
    <row r="453">
      <c r="D453" s="21" t="s">
        <v>733</v>
      </c>
      <c r="J453" s="233"/>
    </row>
    <row r="454">
      <c r="D454" s="21" t="s">
        <v>733</v>
      </c>
      <c r="J454" s="233"/>
    </row>
    <row r="455">
      <c r="D455" s="21" t="s">
        <v>733</v>
      </c>
      <c r="J455" s="233"/>
    </row>
    <row r="456">
      <c r="D456" s="21" t="s">
        <v>733</v>
      </c>
      <c r="J456" s="233"/>
    </row>
    <row r="457">
      <c r="D457" s="21" t="s">
        <v>733</v>
      </c>
      <c r="J457" s="233"/>
    </row>
    <row r="458">
      <c r="D458" s="21" t="s">
        <v>733</v>
      </c>
      <c r="J458" s="233"/>
    </row>
    <row r="459">
      <c r="D459" s="21" t="s">
        <v>733</v>
      </c>
      <c r="J459" s="233"/>
    </row>
    <row r="460">
      <c r="D460" s="21" t="s">
        <v>733</v>
      </c>
      <c r="J460" s="233"/>
    </row>
    <row r="461">
      <c r="D461" s="21" t="s">
        <v>733</v>
      </c>
      <c r="J461" s="233"/>
    </row>
    <row r="462">
      <c r="D462" s="21" t="s">
        <v>733</v>
      </c>
      <c r="J462" s="233"/>
    </row>
    <row r="463">
      <c r="D463" s="21" t="s">
        <v>733</v>
      </c>
      <c r="J463" s="233"/>
    </row>
    <row r="464">
      <c r="D464" s="21" t="s">
        <v>733</v>
      </c>
      <c r="J464" s="233"/>
    </row>
    <row r="465">
      <c r="D465" s="21" t="s">
        <v>733</v>
      </c>
      <c r="J465" s="233"/>
    </row>
    <row r="466">
      <c r="D466" s="21" t="s">
        <v>733</v>
      </c>
      <c r="J466" s="233"/>
    </row>
    <row r="467">
      <c r="D467" s="21" t="s">
        <v>733</v>
      </c>
      <c r="J467" s="233"/>
    </row>
    <row r="468">
      <c r="D468" s="21" t="s">
        <v>733</v>
      </c>
      <c r="J468" s="233"/>
    </row>
    <row r="469">
      <c r="D469" s="21" t="s">
        <v>733</v>
      </c>
      <c r="J469" s="233"/>
    </row>
    <row r="470">
      <c r="D470" s="21" t="s">
        <v>733</v>
      </c>
      <c r="J470" s="233"/>
    </row>
    <row r="471">
      <c r="D471" s="21" t="s">
        <v>733</v>
      </c>
      <c r="J471" s="233"/>
    </row>
    <row r="472">
      <c r="D472" s="21" t="s">
        <v>733</v>
      </c>
      <c r="J472" s="233"/>
    </row>
    <row r="473">
      <c r="D473" s="21" t="s">
        <v>733</v>
      </c>
      <c r="J473" s="233"/>
    </row>
    <row r="474">
      <c r="D474" s="21" t="s">
        <v>733</v>
      </c>
      <c r="J474" s="233"/>
    </row>
    <row r="475">
      <c r="D475" s="21" t="s">
        <v>733</v>
      </c>
      <c r="J475" s="233"/>
    </row>
    <row r="476">
      <c r="D476" s="21" t="s">
        <v>733</v>
      </c>
      <c r="J476" s="233"/>
    </row>
    <row r="477">
      <c r="D477" s="21" t="s">
        <v>733</v>
      </c>
      <c r="J477" s="233"/>
    </row>
    <row r="478">
      <c r="D478" s="21" t="s">
        <v>733</v>
      </c>
      <c r="J478" s="233"/>
    </row>
    <row r="479">
      <c r="D479" s="21" t="s">
        <v>733</v>
      </c>
      <c r="J479" s="233"/>
    </row>
    <row r="480">
      <c r="D480" s="21" t="s">
        <v>733</v>
      </c>
      <c r="J480" s="233"/>
    </row>
    <row r="481">
      <c r="D481" s="21" t="s">
        <v>733</v>
      </c>
      <c r="J481" s="233"/>
    </row>
    <row r="482">
      <c r="D482" s="21" t="s">
        <v>733</v>
      </c>
      <c r="J482" s="233"/>
    </row>
    <row r="483">
      <c r="D483" s="21" t="s">
        <v>733</v>
      </c>
      <c r="J483" s="233"/>
    </row>
    <row r="484">
      <c r="D484" s="21" t="s">
        <v>733</v>
      </c>
      <c r="J484" s="233"/>
    </row>
    <row r="485">
      <c r="D485" s="21" t="s">
        <v>733</v>
      </c>
      <c r="J485" s="233"/>
    </row>
    <row r="486">
      <c r="D486" s="21" t="s">
        <v>733</v>
      </c>
      <c r="J486" s="233"/>
    </row>
    <row r="487">
      <c r="D487" s="21" t="s">
        <v>733</v>
      </c>
      <c r="J487" s="233"/>
    </row>
    <row r="488">
      <c r="D488" s="21" t="s">
        <v>733</v>
      </c>
      <c r="J488" s="233"/>
    </row>
    <row r="489">
      <c r="D489" s="21" t="s">
        <v>733</v>
      </c>
      <c r="J489" s="233"/>
    </row>
    <row r="490">
      <c r="D490" s="21" t="s">
        <v>733</v>
      </c>
      <c r="J490" s="233"/>
    </row>
    <row r="491">
      <c r="D491" s="21" t="s">
        <v>733</v>
      </c>
      <c r="J491" s="233"/>
    </row>
    <row r="492">
      <c r="D492" s="21" t="s">
        <v>733</v>
      </c>
      <c r="J492" s="233"/>
    </row>
    <row r="493">
      <c r="D493" s="21" t="s">
        <v>733</v>
      </c>
      <c r="J493" s="233"/>
    </row>
    <row r="494">
      <c r="D494" s="21" t="s">
        <v>733</v>
      </c>
      <c r="J494" s="233"/>
    </row>
    <row r="495">
      <c r="D495" s="21" t="s">
        <v>733</v>
      </c>
      <c r="J495" s="233"/>
    </row>
    <row r="496">
      <c r="D496" s="21" t="s">
        <v>733</v>
      </c>
      <c r="J496" s="233"/>
    </row>
    <row r="497">
      <c r="D497" s="21" t="s">
        <v>733</v>
      </c>
      <c r="J497" s="233"/>
    </row>
    <row r="498">
      <c r="D498" s="21" t="s">
        <v>733</v>
      </c>
      <c r="J498" s="233"/>
    </row>
    <row r="499">
      <c r="D499" s="21" t="s">
        <v>733</v>
      </c>
      <c r="J499" s="233"/>
    </row>
    <row r="500">
      <c r="D500" s="21" t="s">
        <v>733</v>
      </c>
      <c r="J500" s="233"/>
    </row>
    <row r="501">
      <c r="D501" s="21" t="s">
        <v>733</v>
      </c>
      <c r="J501" s="233"/>
    </row>
    <row r="502">
      <c r="D502" s="21" t="s">
        <v>733</v>
      </c>
      <c r="J502" s="233"/>
    </row>
    <row r="503">
      <c r="D503" s="21" t="s">
        <v>733</v>
      </c>
      <c r="J503" s="233"/>
    </row>
    <row r="504">
      <c r="D504" s="21" t="s">
        <v>733</v>
      </c>
      <c r="J504" s="233"/>
    </row>
    <row r="505">
      <c r="D505" s="21" t="s">
        <v>733</v>
      </c>
      <c r="J505" s="233"/>
    </row>
    <row r="506">
      <c r="D506" s="21" t="s">
        <v>733</v>
      </c>
      <c r="J506" s="233"/>
    </row>
    <row r="507">
      <c r="D507" s="21" t="s">
        <v>733</v>
      </c>
      <c r="J507" s="233"/>
    </row>
    <row r="508">
      <c r="D508" s="21" t="s">
        <v>733</v>
      </c>
      <c r="J508" s="233"/>
    </row>
    <row r="509">
      <c r="D509" s="21" t="s">
        <v>733</v>
      </c>
      <c r="J509" s="233"/>
    </row>
    <row r="510">
      <c r="D510" s="21" t="s">
        <v>733</v>
      </c>
      <c r="J510" s="233"/>
    </row>
    <row r="511">
      <c r="D511" s="21" t="s">
        <v>733</v>
      </c>
      <c r="J511" s="233"/>
    </row>
    <row r="512">
      <c r="D512" s="21" t="s">
        <v>733</v>
      </c>
      <c r="J512" s="233"/>
    </row>
    <row r="513">
      <c r="D513" s="21" t="s">
        <v>733</v>
      </c>
      <c r="J513" s="233"/>
    </row>
    <row r="514">
      <c r="D514" s="21" t="s">
        <v>733</v>
      </c>
      <c r="J514" s="233"/>
    </row>
    <row r="515">
      <c r="D515" s="21" t="s">
        <v>733</v>
      </c>
      <c r="J515" s="233"/>
    </row>
    <row r="516">
      <c r="D516" s="21" t="s">
        <v>733</v>
      </c>
      <c r="J516" s="233"/>
    </row>
    <row r="517">
      <c r="D517" s="21" t="s">
        <v>733</v>
      </c>
      <c r="J517" s="233"/>
    </row>
    <row r="518">
      <c r="D518" s="21" t="s">
        <v>733</v>
      </c>
      <c r="J518" s="233"/>
    </row>
    <row r="519">
      <c r="D519" s="21" t="s">
        <v>733</v>
      </c>
      <c r="J519" s="233"/>
    </row>
    <row r="520">
      <c r="D520" s="21" t="s">
        <v>733</v>
      </c>
      <c r="J520" s="233"/>
    </row>
    <row r="521">
      <c r="D521" s="21" t="s">
        <v>733</v>
      </c>
      <c r="J521" s="233"/>
    </row>
    <row r="522">
      <c r="D522" s="21" t="s">
        <v>733</v>
      </c>
      <c r="J522" s="233"/>
    </row>
    <row r="523">
      <c r="D523" s="21" t="s">
        <v>733</v>
      </c>
      <c r="J523" s="233"/>
    </row>
    <row r="524">
      <c r="D524" s="21" t="s">
        <v>733</v>
      </c>
      <c r="J524" s="233"/>
    </row>
    <row r="525">
      <c r="D525" s="21" t="s">
        <v>733</v>
      </c>
      <c r="J525" s="233"/>
    </row>
    <row r="526">
      <c r="D526" s="21" t="s">
        <v>733</v>
      </c>
      <c r="J526" s="233"/>
    </row>
    <row r="527">
      <c r="D527" s="21" t="s">
        <v>733</v>
      </c>
      <c r="J527" s="233"/>
    </row>
    <row r="528">
      <c r="D528" s="21" t="s">
        <v>733</v>
      </c>
      <c r="J528" s="233"/>
    </row>
    <row r="529">
      <c r="D529" s="21" t="s">
        <v>733</v>
      </c>
      <c r="J529" s="233"/>
    </row>
    <row r="530">
      <c r="D530" s="21" t="s">
        <v>733</v>
      </c>
      <c r="J530" s="233"/>
    </row>
    <row r="531">
      <c r="D531" s="21" t="s">
        <v>733</v>
      </c>
      <c r="J531" s="233"/>
    </row>
    <row r="532">
      <c r="D532" s="21" t="s">
        <v>733</v>
      </c>
      <c r="J532" s="233"/>
    </row>
    <row r="533">
      <c r="D533" s="21" t="s">
        <v>733</v>
      </c>
      <c r="J533" s="233"/>
    </row>
    <row r="534">
      <c r="D534" s="21" t="s">
        <v>733</v>
      </c>
      <c r="J534" s="233"/>
    </row>
    <row r="535">
      <c r="D535" s="21" t="s">
        <v>733</v>
      </c>
      <c r="J535" s="233"/>
    </row>
    <row r="536">
      <c r="D536" s="21" t="s">
        <v>733</v>
      </c>
      <c r="J536" s="233"/>
    </row>
    <row r="537">
      <c r="D537" s="21" t="s">
        <v>733</v>
      </c>
      <c r="J537" s="233"/>
    </row>
    <row r="538">
      <c r="D538" s="21" t="s">
        <v>733</v>
      </c>
      <c r="J538" s="233"/>
    </row>
    <row r="539">
      <c r="D539" s="21" t="s">
        <v>733</v>
      </c>
      <c r="J539" s="233"/>
    </row>
    <row r="540">
      <c r="D540" s="21" t="s">
        <v>733</v>
      </c>
      <c r="J540" s="233"/>
    </row>
    <row r="541">
      <c r="D541" s="21" t="s">
        <v>733</v>
      </c>
      <c r="J541" s="233"/>
    </row>
    <row r="542">
      <c r="D542" s="21" t="s">
        <v>733</v>
      </c>
      <c r="J542" s="233"/>
    </row>
    <row r="543">
      <c r="D543" s="21" t="s">
        <v>733</v>
      </c>
      <c r="J543" s="233"/>
    </row>
    <row r="544">
      <c r="D544" s="21" t="s">
        <v>733</v>
      </c>
      <c r="J544" s="233"/>
    </row>
    <row r="545">
      <c r="D545" s="21" t="s">
        <v>733</v>
      </c>
      <c r="J545" s="233"/>
    </row>
    <row r="546">
      <c r="D546" s="21" t="s">
        <v>733</v>
      </c>
      <c r="J546" s="233"/>
    </row>
    <row r="547">
      <c r="D547" s="21" t="s">
        <v>733</v>
      </c>
      <c r="J547" s="233"/>
    </row>
    <row r="548">
      <c r="D548" s="21" t="s">
        <v>733</v>
      </c>
      <c r="J548" s="233"/>
    </row>
    <row r="549">
      <c r="D549" s="21" t="s">
        <v>733</v>
      </c>
      <c r="J549" s="233"/>
    </row>
    <row r="550">
      <c r="D550" s="21" t="s">
        <v>733</v>
      </c>
      <c r="J550" s="233"/>
    </row>
    <row r="551">
      <c r="D551" s="21" t="s">
        <v>733</v>
      </c>
      <c r="J551" s="233"/>
    </row>
    <row r="552">
      <c r="D552" s="21" t="s">
        <v>733</v>
      </c>
      <c r="J552" s="233"/>
    </row>
    <row r="553">
      <c r="D553" s="21" t="s">
        <v>733</v>
      </c>
      <c r="J553" s="233"/>
    </row>
    <row r="554">
      <c r="D554" s="21" t="s">
        <v>733</v>
      </c>
      <c r="J554" s="233"/>
    </row>
    <row r="555">
      <c r="D555" s="21" t="s">
        <v>733</v>
      </c>
      <c r="J555" s="233"/>
    </row>
    <row r="556">
      <c r="D556" s="21" t="s">
        <v>733</v>
      </c>
      <c r="J556" s="233"/>
    </row>
    <row r="557">
      <c r="D557" s="21" t="s">
        <v>733</v>
      </c>
      <c r="J557" s="233"/>
    </row>
    <row r="558">
      <c r="D558" s="21" t="s">
        <v>733</v>
      </c>
      <c r="J558" s="233"/>
    </row>
    <row r="559">
      <c r="D559" s="21" t="s">
        <v>733</v>
      </c>
      <c r="J559" s="233"/>
    </row>
    <row r="560">
      <c r="D560" s="21" t="s">
        <v>733</v>
      </c>
      <c r="J560" s="233"/>
    </row>
    <row r="561">
      <c r="D561" s="21" t="s">
        <v>733</v>
      </c>
      <c r="J561" s="233"/>
    </row>
    <row r="562">
      <c r="D562" s="21" t="s">
        <v>733</v>
      </c>
      <c r="J562" s="233"/>
    </row>
    <row r="563">
      <c r="D563" s="21" t="s">
        <v>733</v>
      </c>
      <c r="J563" s="233"/>
    </row>
    <row r="564">
      <c r="D564" s="21" t="s">
        <v>733</v>
      </c>
      <c r="J564" s="233"/>
    </row>
    <row r="565">
      <c r="D565" s="21" t="s">
        <v>733</v>
      </c>
      <c r="J565" s="233"/>
    </row>
    <row r="566">
      <c r="D566" s="21" t="s">
        <v>733</v>
      </c>
      <c r="J566" s="233"/>
    </row>
    <row r="567">
      <c r="D567" s="21" t="s">
        <v>733</v>
      </c>
      <c r="J567" s="233"/>
    </row>
    <row r="568">
      <c r="D568" s="21" t="s">
        <v>733</v>
      </c>
      <c r="J568" s="233"/>
    </row>
    <row r="569">
      <c r="D569" s="21" t="s">
        <v>733</v>
      </c>
      <c r="J569" s="233"/>
    </row>
    <row r="570">
      <c r="D570" s="21" t="s">
        <v>733</v>
      </c>
      <c r="J570" s="233"/>
    </row>
    <row r="571">
      <c r="D571" s="21" t="s">
        <v>733</v>
      </c>
      <c r="J571" s="233"/>
    </row>
    <row r="572">
      <c r="D572" s="21" t="s">
        <v>733</v>
      </c>
      <c r="J572" s="233"/>
    </row>
    <row r="573">
      <c r="D573" s="21" t="s">
        <v>733</v>
      </c>
      <c r="J573" s="233"/>
    </row>
    <row r="574">
      <c r="D574" s="21" t="s">
        <v>733</v>
      </c>
      <c r="J574" s="233"/>
    </row>
    <row r="575">
      <c r="D575" s="21" t="s">
        <v>733</v>
      </c>
      <c r="J575" s="233"/>
    </row>
    <row r="576">
      <c r="D576" s="21" t="s">
        <v>733</v>
      </c>
      <c r="J576" s="233"/>
    </row>
    <row r="577">
      <c r="D577" s="21" t="s">
        <v>733</v>
      </c>
      <c r="J577" s="233"/>
    </row>
    <row r="578">
      <c r="D578" s="21" t="s">
        <v>733</v>
      </c>
      <c r="J578" s="233"/>
    </row>
    <row r="579">
      <c r="D579" s="21" t="s">
        <v>733</v>
      </c>
      <c r="J579" s="233"/>
    </row>
    <row r="580">
      <c r="D580" s="21" t="s">
        <v>733</v>
      </c>
      <c r="J580" s="233"/>
    </row>
    <row r="581">
      <c r="D581" s="21" t="s">
        <v>733</v>
      </c>
      <c r="J581" s="233"/>
    </row>
    <row r="582">
      <c r="D582" s="21" t="s">
        <v>733</v>
      </c>
      <c r="J582" s="233"/>
    </row>
    <row r="583">
      <c r="D583" s="21" t="s">
        <v>733</v>
      </c>
      <c r="J583" s="233"/>
    </row>
    <row r="584">
      <c r="D584" s="21" t="s">
        <v>733</v>
      </c>
      <c r="J584" s="233"/>
    </row>
    <row r="585">
      <c r="D585" s="21" t="s">
        <v>733</v>
      </c>
      <c r="J585" s="233"/>
    </row>
    <row r="586">
      <c r="D586" s="21" t="s">
        <v>733</v>
      </c>
      <c r="J586" s="233"/>
    </row>
    <row r="587">
      <c r="D587" s="21" t="s">
        <v>733</v>
      </c>
      <c r="J587" s="233"/>
    </row>
    <row r="588">
      <c r="D588" s="21" t="s">
        <v>733</v>
      </c>
      <c r="J588" s="233"/>
    </row>
    <row r="589">
      <c r="D589" s="21" t="s">
        <v>733</v>
      </c>
      <c r="J589" s="233"/>
    </row>
    <row r="590">
      <c r="D590" s="21" t="s">
        <v>733</v>
      </c>
      <c r="J590" s="233"/>
    </row>
    <row r="591">
      <c r="D591" s="21" t="s">
        <v>733</v>
      </c>
      <c r="J591" s="233"/>
    </row>
    <row r="592">
      <c r="D592" s="21" t="s">
        <v>733</v>
      </c>
      <c r="J592" s="233"/>
    </row>
    <row r="593">
      <c r="D593" s="21" t="s">
        <v>733</v>
      </c>
      <c r="J593" s="233"/>
    </row>
    <row r="594">
      <c r="D594" s="21" t="s">
        <v>733</v>
      </c>
      <c r="J594" s="233"/>
    </row>
    <row r="595">
      <c r="D595" s="21" t="s">
        <v>733</v>
      </c>
      <c r="J595" s="233"/>
    </row>
    <row r="596">
      <c r="D596" s="21" t="s">
        <v>733</v>
      </c>
      <c r="J596" s="233"/>
    </row>
    <row r="597">
      <c r="D597" s="21" t="s">
        <v>733</v>
      </c>
      <c r="J597" s="233"/>
    </row>
    <row r="598">
      <c r="D598" s="21" t="s">
        <v>733</v>
      </c>
      <c r="J598" s="233"/>
    </row>
    <row r="599">
      <c r="D599" s="21" t="s">
        <v>733</v>
      </c>
      <c r="J599" s="233"/>
    </row>
    <row r="600">
      <c r="D600" s="21" t="s">
        <v>733</v>
      </c>
      <c r="J600" s="233"/>
    </row>
    <row r="601">
      <c r="D601" s="21" t="s">
        <v>733</v>
      </c>
      <c r="J601" s="233"/>
    </row>
    <row r="602">
      <c r="D602" s="21" t="s">
        <v>733</v>
      </c>
      <c r="J602" s="233"/>
    </row>
    <row r="603">
      <c r="D603" s="21" t="s">
        <v>733</v>
      </c>
      <c r="J603" s="233"/>
    </row>
    <row r="604">
      <c r="D604" s="21" t="s">
        <v>733</v>
      </c>
      <c r="J604" s="233"/>
    </row>
    <row r="605">
      <c r="D605" s="21" t="s">
        <v>733</v>
      </c>
      <c r="J605" s="233"/>
    </row>
    <row r="606">
      <c r="D606" s="21" t="s">
        <v>733</v>
      </c>
      <c r="J606" s="233"/>
    </row>
    <row r="607">
      <c r="D607" s="21" t="s">
        <v>733</v>
      </c>
      <c r="J607" s="233"/>
    </row>
    <row r="608">
      <c r="D608" s="21" t="s">
        <v>733</v>
      </c>
      <c r="J608" s="233"/>
    </row>
    <row r="609">
      <c r="D609" s="21" t="s">
        <v>733</v>
      </c>
      <c r="J609" s="233"/>
    </row>
    <row r="610">
      <c r="D610" s="21" t="s">
        <v>733</v>
      </c>
      <c r="J610" s="233"/>
    </row>
    <row r="611">
      <c r="D611" s="21" t="s">
        <v>733</v>
      </c>
      <c r="J611" s="233"/>
    </row>
    <row r="612">
      <c r="D612" s="21" t="s">
        <v>733</v>
      </c>
      <c r="J612" s="233"/>
    </row>
    <row r="613">
      <c r="D613" s="21" t="s">
        <v>733</v>
      </c>
      <c r="J613" s="233"/>
    </row>
    <row r="614">
      <c r="D614" s="21" t="s">
        <v>733</v>
      </c>
      <c r="J614" s="233"/>
    </row>
    <row r="615">
      <c r="D615" s="21" t="s">
        <v>733</v>
      </c>
      <c r="J615" s="233"/>
    </row>
    <row r="616">
      <c r="D616" s="21" t="s">
        <v>733</v>
      </c>
      <c r="J616" s="233"/>
    </row>
    <row r="617">
      <c r="D617" s="21" t="s">
        <v>733</v>
      </c>
      <c r="J617" s="233"/>
    </row>
    <row r="618">
      <c r="D618" s="21" t="s">
        <v>733</v>
      </c>
      <c r="J618" s="233"/>
    </row>
    <row r="619">
      <c r="D619" s="21" t="s">
        <v>733</v>
      </c>
      <c r="J619" s="233"/>
    </row>
    <row r="620">
      <c r="D620" s="21" t="s">
        <v>733</v>
      </c>
      <c r="J620" s="233"/>
    </row>
    <row r="621">
      <c r="D621" s="21" t="s">
        <v>733</v>
      </c>
      <c r="J621" s="233"/>
    </row>
    <row r="622">
      <c r="D622" s="21" t="s">
        <v>733</v>
      </c>
      <c r="J622" s="233"/>
    </row>
    <row r="623">
      <c r="D623" s="21" t="s">
        <v>733</v>
      </c>
      <c r="J623" s="233"/>
    </row>
    <row r="624">
      <c r="D624" s="21" t="s">
        <v>733</v>
      </c>
      <c r="J624" s="233"/>
    </row>
    <row r="625">
      <c r="D625" s="21" t="s">
        <v>733</v>
      </c>
      <c r="J625" s="233"/>
    </row>
    <row r="626">
      <c r="D626" s="21" t="s">
        <v>733</v>
      </c>
      <c r="J626" s="233"/>
    </row>
    <row r="627">
      <c r="D627" s="21" t="s">
        <v>733</v>
      </c>
      <c r="J627" s="233"/>
    </row>
    <row r="628">
      <c r="D628" s="21" t="s">
        <v>733</v>
      </c>
      <c r="J628" s="233"/>
    </row>
    <row r="629">
      <c r="D629" s="21" t="s">
        <v>733</v>
      </c>
      <c r="J629" s="233"/>
    </row>
    <row r="630">
      <c r="D630" s="21" t="s">
        <v>733</v>
      </c>
      <c r="J630" s="233"/>
    </row>
    <row r="631">
      <c r="D631" s="21" t="s">
        <v>733</v>
      </c>
      <c r="J631" s="233"/>
    </row>
    <row r="632">
      <c r="D632" s="21" t="s">
        <v>733</v>
      </c>
      <c r="J632" s="233"/>
    </row>
    <row r="633">
      <c r="D633" s="21" t="s">
        <v>733</v>
      </c>
      <c r="J633" s="233"/>
    </row>
    <row r="634">
      <c r="D634" s="21" t="s">
        <v>733</v>
      </c>
      <c r="J634" s="233"/>
    </row>
    <row r="635">
      <c r="D635" s="21" t="s">
        <v>733</v>
      </c>
      <c r="J635" s="233"/>
    </row>
    <row r="636">
      <c r="D636" s="21" t="s">
        <v>733</v>
      </c>
      <c r="J636" s="233"/>
    </row>
    <row r="637">
      <c r="D637" s="21" t="s">
        <v>733</v>
      </c>
      <c r="J637" s="233"/>
    </row>
    <row r="638">
      <c r="D638" s="21" t="s">
        <v>733</v>
      </c>
      <c r="J638" s="233"/>
    </row>
    <row r="639">
      <c r="D639" s="21" t="s">
        <v>733</v>
      </c>
      <c r="J639" s="233"/>
    </row>
    <row r="640">
      <c r="D640" s="21" t="s">
        <v>733</v>
      </c>
      <c r="J640" s="233"/>
    </row>
    <row r="641">
      <c r="D641" s="21" t="s">
        <v>733</v>
      </c>
      <c r="J641" s="233"/>
    </row>
    <row r="642">
      <c r="D642" s="21" t="s">
        <v>733</v>
      </c>
      <c r="J642" s="233"/>
    </row>
    <row r="643">
      <c r="D643" s="21" t="s">
        <v>733</v>
      </c>
      <c r="J643" s="233"/>
    </row>
    <row r="644">
      <c r="D644" s="21" t="s">
        <v>733</v>
      </c>
      <c r="J644" s="233"/>
    </row>
    <row r="645">
      <c r="D645" s="21" t="s">
        <v>733</v>
      </c>
      <c r="J645" s="233"/>
    </row>
    <row r="646">
      <c r="D646" s="21" t="s">
        <v>733</v>
      </c>
      <c r="J646" s="233"/>
    </row>
    <row r="647">
      <c r="D647" s="21" t="s">
        <v>733</v>
      </c>
      <c r="J647" s="233"/>
    </row>
    <row r="648">
      <c r="D648" s="21" t="s">
        <v>733</v>
      </c>
      <c r="J648" s="233"/>
    </row>
    <row r="649">
      <c r="D649" s="21" t="s">
        <v>733</v>
      </c>
      <c r="J649" s="233"/>
    </row>
    <row r="650">
      <c r="D650" s="21" t="s">
        <v>733</v>
      </c>
      <c r="J650" s="233"/>
    </row>
    <row r="651">
      <c r="D651" s="21" t="s">
        <v>733</v>
      </c>
      <c r="J651" s="233"/>
    </row>
    <row r="652">
      <c r="D652" s="21" t="s">
        <v>733</v>
      </c>
      <c r="J652" s="233"/>
    </row>
    <row r="653">
      <c r="D653" s="21" t="s">
        <v>733</v>
      </c>
      <c r="J653" s="233"/>
    </row>
    <row r="654">
      <c r="D654" s="21" t="s">
        <v>733</v>
      </c>
      <c r="J654" s="233"/>
    </row>
    <row r="655">
      <c r="D655" s="21" t="s">
        <v>733</v>
      </c>
      <c r="J655" s="233"/>
    </row>
    <row r="656">
      <c r="D656" s="21" t="s">
        <v>733</v>
      </c>
      <c r="J656" s="233"/>
    </row>
    <row r="657">
      <c r="D657" s="21" t="s">
        <v>733</v>
      </c>
      <c r="J657" s="233"/>
    </row>
    <row r="658">
      <c r="D658" s="21" t="s">
        <v>733</v>
      </c>
      <c r="J658" s="233"/>
    </row>
    <row r="659">
      <c r="D659" s="21" t="s">
        <v>733</v>
      </c>
      <c r="J659" s="233"/>
    </row>
    <row r="660">
      <c r="D660" s="21" t="s">
        <v>733</v>
      </c>
      <c r="J660" s="233"/>
    </row>
    <row r="661">
      <c r="D661" s="21" t="s">
        <v>733</v>
      </c>
      <c r="J661" s="233"/>
    </row>
    <row r="662">
      <c r="D662" s="21" t="s">
        <v>733</v>
      </c>
      <c r="J662" s="233"/>
    </row>
    <row r="663">
      <c r="D663" s="21" t="s">
        <v>733</v>
      </c>
      <c r="J663" s="233"/>
    </row>
    <row r="664">
      <c r="D664" s="21" t="s">
        <v>733</v>
      </c>
      <c r="J664" s="233"/>
    </row>
    <row r="665">
      <c r="D665" s="21" t="s">
        <v>733</v>
      </c>
      <c r="J665" s="233"/>
    </row>
    <row r="666">
      <c r="D666" s="21" t="s">
        <v>733</v>
      </c>
      <c r="J666" s="233"/>
    </row>
    <row r="667">
      <c r="D667" s="21" t="s">
        <v>733</v>
      </c>
      <c r="J667" s="233"/>
    </row>
    <row r="668">
      <c r="D668" s="21" t="s">
        <v>733</v>
      </c>
      <c r="J668" s="233"/>
    </row>
    <row r="669">
      <c r="D669" s="21" t="s">
        <v>733</v>
      </c>
      <c r="J669" s="233"/>
    </row>
    <row r="670">
      <c r="D670" s="21" t="s">
        <v>733</v>
      </c>
      <c r="J670" s="233"/>
    </row>
    <row r="671">
      <c r="D671" s="21" t="s">
        <v>733</v>
      </c>
      <c r="J671" s="233"/>
    </row>
    <row r="672">
      <c r="D672" s="21" t="s">
        <v>733</v>
      </c>
      <c r="J672" s="233"/>
    </row>
    <row r="673">
      <c r="D673" s="21" t="s">
        <v>733</v>
      </c>
      <c r="J673" s="233"/>
    </row>
    <row r="674">
      <c r="D674" s="21" t="s">
        <v>733</v>
      </c>
      <c r="J674" s="233"/>
    </row>
    <row r="675">
      <c r="D675" s="21" t="s">
        <v>733</v>
      </c>
      <c r="J675" s="233"/>
    </row>
    <row r="676">
      <c r="D676" s="21" t="s">
        <v>733</v>
      </c>
      <c r="J676" s="233"/>
    </row>
    <row r="677">
      <c r="D677" s="21" t="s">
        <v>733</v>
      </c>
      <c r="J677" s="233"/>
    </row>
    <row r="678">
      <c r="D678" s="21" t="s">
        <v>733</v>
      </c>
      <c r="J678" s="233"/>
    </row>
    <row r="679">
      <c r="D679" s="21" t="s">
        <v>733</v>
      </c>
      <c r="J679" s="233"/>
    </row>
    <row r="680">
      <c r="D680" s="21" t="s">
        <v>733</v>
      </c>
      <c r="J680" s="233"/>
    </row>
    <row r="681">
      <c r="D681" s="21" t="s">
        <v>733</v>
      </c>
      <c r="J681" s="233"/>
    </row>
    <row r="682">
      <c r="D682" s="21" t="s">
        <v>733</v>
      </c>
      <c r="J682" s="233"/>
    </row>
    <row r="683">
      <c r="D683" s="21" t="s">
        <v>733</v>
      </c>
      <c r="J683" s="233"/>
    </row>
    <row r="684">
      <c r="D684" s="21" t="s">
        <v>733</v>
      </c>
      <c r="J684" s="233"/>
    </row>
    <row r="685">
      <c r="D685" s="21" t="s">
        <v>733</v>
      </c>
      <c r="J685" s="233"/>
    </row>
    <row r="686">
      <c r="D686" s="21" t="s">
        <v>733</v>
      </c>
      <c r="J686" s="233"/>
    </row>
    <row r="687">
      <c r="D687" s="21" t="s">
        <v>733</v>
      </c>
      <c r="J687" s="233"/>
    </row>
    <row r="688">
      <c r="D688" s="21" t="s">
        <v>733</v>
      </c>
      <c r="J688" s="233"/>
    </row>
    <row r="689">
      <c r="D689" s="21" t="s">
        <v>733</v>
      </c>
      <c r="J689" s="233"/>
    </row>
    <row r="690">
      <c r="D690" s="21" t="s">
        <v>733</v>
      </c>
      <c r="J690" s="233"/>
    </row>
    <row r="691">
      <c r="D691" s="21" t="s">
        <v>733</v>
      </c>
      <c r="J691" s="233"/>
    </row>
    <row r="692">
      <c r="D692" s="21" t="s">
        <v>733</v>
      </c>
      <c r="J692" s="233"/>
    </row>
    <row r="693">
      <c r="D693" s="21" t="s">
        <v>733</v>
      </c>
      <c r="J693" s="233"/>
    </row>
    <row r="694">
      <c r="D694" s="21" t="s">
        <v>733</v>
      </c>
      <c r="J694" s="233"/>
    </row>
    <row r="695">
      <c r="D695" s="21" t="s">
        <v>733</v>
      </c>
      <c r="J695" s="233"/>
    </row>
    <row r="696">
      <c r="D696" s="21" t="s">
        <v>733</v>
      </c>
      <c r="J696" s="233"/>
    </row>
    <row r="697">
      <c r="D697" s="21" t="s">
        <v>733</v>
      </c>
      <c r="J697" s="233"/>
    </row>
    <row r="698">
      <c r="D698" s="21" t="s">
        <v>733</v>
      </c>
      <c r="J698" s="233"/>
    </row>
    <row r="699">
      <c r="D699" s="21" t="s">
        <v>733</v>
      </c>
      <c r="J699" s="233"/>
    </row>
    <row r="700">
      <c r="D700" s="21" t="s">
        <v>733</v>
      </c>
      <c r="J700" s="233"/>
    </row>
    <row r="701">
      <c r="D701" s="21" t="s">
        <v>733</v>
      </c>
      <c r="J701" s="233"/>
    </row>
    <row r="702">
      <c r="D702" s="21" t="s">
        <v>733</v>
      </c>
      <c r="J702" s="233"/>
    </row>
    <row r="703">
      <c r="D703" s="21" t="s">
        <v>733</v>
      </c>
      <c r="J703" s="233"/>
    </row>
    <row r="704">
      <c r="D704" s="21" t="s">
        <v>733</v>
      </c>
      <c r="J704" s="233"/>
    </row>
    <row r="705">
      <c r="D705" s="21" t="s">
        <v>733</v>
      </c>
      <c r="J705" s="233"/>
    </row>
    <row r="706">
      <c r="D706" s="21" t="s">
        <v>733</v>
      </c>
      <c r="J706" s="233"/>
    </row>
    <row r="707">
      <c r="D707" s="21" t="s">
        <v>733</v>
      </c>
      <c r="J707" s="233"/>
    </row>
    <row r="708">
      <c r="D708" s="21" t="s">
        <v>733</v>
      </c>
      <c r="J708" s="233"/>
    </row>
    <row r="709">
      <c r="D709" s="21" t="s">
        <v>733</v>
      </c>
      <c r="J709" s="233"/>
    </row>
    <row r="710">
      <c r="D710" s="21" t="s">
        <v>733</v>
      </c>
      <c r="J710" s="233"/>
    </row>
    <row r="711">
      <c r="D711" s="21" t="s">
        <v>733</v>
      </c>
      <c r="J711" s="233"/>
    </row>
    <row r="712">
      <c r="D712" s="21" t="s">
        <v>733</v>
      </c>
      <c r="J712" s="233"/>
    </row>
    <row r="713">
      <c r="D713" s="21" t="s">
        <v>733</v>
      </c>
      <c r="J713" s="233"/>
    </row>
    <row r="714">
      <c r="D714" s="21" t="s">
        <v>733</v>
      </c>
      <c r="J714" s="233"/>
    </row>
    <row r="715">
      <c r="D715" s="21" t="s">
        <v>733</v>
      </c>
      <c r="J715" s="233"/>
    </row>
    <row r="716">
      <c r="D716" s="21" t="s">
        <v>733</v>
      </c>
      <c r="J716" s="233"/>
    </row>
    <row r="717">
      <c r="D717" s="21" t="s">
        <v>733</v>
      </c>
      <c r="J717" s="233"/>
    </row>
    <row r="718">
      <c r="D718" s="21" t="s">
        <v>733</v>
      </c>
      <c r="J718" s="233"/>
    </row>
    <row r="719">
      <c r="D719" s="21" t="s">
        <v>733</v>
      </c>
      <c r="J719" s="233"/>
    </row>
    <row r="720">
      <c r="D720" s="21" t="s">
        <v>733</v>
      </c>
      <c r="J720" s="233"/>
    </row>
    <row r="721">
      <c r="D721" s="21" t="s">
        <v>733</v>
      </c>
      <c r="J721" s="233"/>
    </row>
    <row r="722">
      <c r="D722" s="21" t="s">
        <v>733</v>
      </c>
      <c r="J722" s="233"/>
    </row>
    <row r="723">
      <c r="D723" s="21" t="s">
        <v>733</v>
      </c>
      <c r="J723" s="233"/>
    </row>
    <row r="724">
      <c r="D724" s="21" t="s">
        <v>733</v>
      </c>
      <c r="J724" s="233"/>
    </row>
    <row r="725">
      <c r="D725" s="21" t="s">
        <v>733</v>
      </c>
      <c r="J725" s="233"/>
    </row>
    <row r="726">
      <c r="D726" s="21" t="s">
        <v>733</v>
      </c>
      <c r="J726" s="233"/>
    </row>
    <row r="727">
      <c r="D727" s="21" t="s">
        <v>733</v>
      </c>
      <c r="J727" s="233"/>
    </row>
    <row r="728">
      <c r="D728" s="21" t="s">
        <v>733</v>
      </c>
      <c r="J728" s="233"/>
    </row>
    <row r="729">
      <c r="D729" s="21" t="s">
        <v>733</v>
      </c>
      <c r="J729" s="233"/>
    </row>
    <row r="730">
      <c r="D730" s="21" t="s">
        <v>733</v>
      </c>
      <c r="J730" s="233"/>
    </row>
    <row r="731">
      <c r="D731" s="21" t="s">
        <v>733</v>
      </c>
      <c r="J731" s="233"/>
    </row>
    <row r="732">
      <c r="D732" s="21" t="s">
        <v>733</v>
      </c>
      <c r="J732" s="233"/>
    </row>
    <row r="733">
      <c r="D733" s="21" t="s">
        <v>733</v>
      </c>
      <c r="J733" s="233"/>
    </row>
    <row r="734">
      <c r="D734" s="21" t="s">
        <v>733</v>
      </c>
      <c r="J734" s="233"/>
    </row>
    <row r="735">
      <c r="D735" s="21" t="s">
        <v>733</v>
      </c>
      <c r="J735" s="233"/>
    </row>
    <row r="736">
      <c r="D736" s="21" t="s">
        <v>733</v>
      </c>
      <c r="J736" s="233"/>
    </row>
    <row r="737">
      <c r="D737" s="21" t="s">
        <v>733</v>
      </c>
      <c r="J737" s="233"/>
    </row>
    <row r="738">
      <c r="D738" s="21" t="s">
        <v>733</v>
      </c>
      <c r="J738" s="233"/>
    </row>
    <row r="739">
      <c r="D739" s="21" t="s">
        <v>733</v>
      </c>
      <c r="J739" s="233"/>
    </row>
    <row r="740">
      <c r="D740" s="21" t="s">
        <v>733</v>
      </c>
      <c r="J740" s="233"/>
    </row>
    <row r="741">
      <c r="D741" s="21" t="s">
        <v>733</v>
      </c>
      <c r="J741" s="233"/>
    </row>
    <row r="742">
      <c r="D742" s="21" t="s">
        <v>733</v>
      </c>
      <c r="J742" s="233"/>
    </row>
    <row r="743">
      <c r="D743" s="21" t="s">
        <v>733</v>
      </c>
      <c r="J743" s="233"/>
    </row>
    <row r="744">
      <c r="D744" s="21" t="s">
        <v>733</v>
      </c>
      <c r="J744" s="233"/>
    </row>
    <row r="745">
      <c r="D745" s="21" t="s">
        <v>733</v>
      </c>
      <c r="J745" s="233"/>
    </row>
    <row r="746">
      <c r="D746" s="21" t="s">
        <v>733</v>
      </c>
      <c r="J746" s="233"/>
    </row>
    <row r="747">
      <c r="D747" s="21" t="s">
        <v>733</v>
      </c>
      <c r="J747" s="233"/>
    </row>
    <row r="748">
      <c r="D748" s="21" t="s">
        <v>733</v>
      </c>
      <c r="J748" s="233"/>
    </row>
    <row r="749">
      <c r="D749" s="21" t="s">
        <v>733</v>
      </c>
      <c r="J749" s="233"/>
    </row>
    <row r="750">
      <c r="D750" s="21" t="s">
        <v>733</v>
      </c>
      <c r="J750" s="233"/>
    </row>
    <row r="751">
      <c r="D751" s="21" t="s">
        <v>733</v>
      </c>
      <c r="J751" s="233"/>
    </row>
    <row r="752">
      <c r="D752" s="21" t="s">
        <v>733</v>
      </c>
      <c r="J752" s="233"/>
    </row>
    <row r="753">
      <c r="D753" s="21" t="s">
        <v>733</v>
      </c>
      <c r="J753" s="233"/>
    </row>
    <row r="754">
      <c r="D754" s="21" t="s">
        <v>733</v>
      </c>
      <c r="J754" s="233"/>
    </row>
    <row r="755">
      <c r="D755" s="21" t="s">
        <v>733</v>
      </c>
      <c r="J755" s="233"/>
    </row>
    <row r="756">
      <c r="D756" s="21" t="s">
        <v>733</v>
      </c>
      <c r="J756" s="233"/>
    </row>
    <row r="757">
      <c r="D757" s="21" t="s">
        <v>733</v>
      </c>
      <c r="J757" s="233"/>
    </row>
    <row r="758">
      <c r="D758" s="21" t="s">
        <v>733</v>
      </c>
      <c r="J758" s="233"/>
    </row>
    <row r="759">
      <c r="D759" s="21" t="s">
        <v>733</v>
      </c>
      <c r="J759" s="233"/>
    </row>
    <row r="760">
      <c r="D760" s="21" t="s">
        <v>733</v>
      </c>
      <c r="J760" s="233"/>
    </row>
    <row r="761">
      <c r="D761" s="21" t="s">
        <v>733</v>
      </c>
      <c r="J761" s="233"/>
    </row>
    <row r="762">
      <c r="D762" s="21" t="s">
        <v>733</v>
      </c>
      <c r="J762" s="233"/>
    </row>
    <row r="763">
      <c r="D763" s="21" t="s">
        <v>733</v>
      </c>
      <c r="J763" s="233"/>
    </row>
    <row r="764">
      <c r="D764" s="21" t="s">
        <v>733</v>
      </c>
      <c r="J764" s="233"/>
    </row>
    <row r="765">
      <c r="D765" s="21" t="s">
        <v>733</v>
      </c>
      <c r="J765" s="233"/>
    </row>
    <row r="766">
      <c r="D766" s="21" t="s">
        <v>733</v>
      </c>
      <c r="J766" s="233"/>
    </row>
    <row r="767">
      <c r="D767" s="21" t="s">
        <v>733</v>
      </c>
      <c r="J767" s="233"/>
    </row>
    <row r="768">
      <c r="D768" s="21" t="s">
        <v>733</v>
      </c>
      <c r="J768" s="233"/>
    </row>
    <row r="769">
      <c r="D769" s="21" t="s">
        <v>733</v>
      </c>
      <c r="J769" s="233"/>
    </row>
    <row r="770">
      <c r="D770" s="21" t="s">
        <v>733</v>
      </c>
      <c r="J770" s="233"/>
    </row>
    <row r="771">
      <c r="D771" s="21" t="s">
        <v>733</v>
      </c>
      <c r="J771" s="233"/>
    </row>
    <row r="772">
      <c r="D772" s="21" t="s">
        <v>733</v>
      </c>
      <c r="J772" s="233"/>
    </row>
    <row r="773">
      <c r="D773" s="21" t="s">
        <v>733</v>
      </c>
      <c r="J773" s="233"/>
    </row>
    <row r="774">
      <c r="D774" s="21" t="s">
        <v>733</v>
      </c>
      <c r="J774" s="233"/>
    </row>
    <row r="775">
      <c r="D775" s="21" t="s">
        <v>733</v>
      </c>
      <c r="J775" s="233"/>
    </row>
    <row r="776">
      <c r="D776" s="21" t="s">
        <v>733</v>
      </c>
      <c r="J776" s="233"/>
    </row>
    <row r="777">
      <c r="D777" s="21" t="s">
        <v>733</v>
      </c>
      <c r="J777" s="233"/>
    </row>
    <row r="778">
      <c r="D778" s="21" t="s">
        <v>733</v>
      </c>
      <c r="J778" s="233"/>
    </row>
    <row r="779">
      <c r="D779" s="21" t="s">
        <v>733</v>
      </c>
      <c r="J779" s="233"/>
    </row>
    <row r="780">
      <c r="D780" s="21" t="s">
        <v>733</v>
      </c>
      <c r="J780" s="233"/>
    </row>
    <row r="781">
      <c r="D781" s="21" t="s">
        <v>733</v>
      </c>
      <c r="J781" s="233"/>
    </row>
    <row r="782">
      <c r="D782" s="21" t="s">
        <v>733</v>
      </c>
      <c r="J782" s="233"/>
    </row>
    <row r="783">
      <c r="D783" s="21" t="s">
        <v>733</v>
      </c>
      <c r="J783" s="233"/>
    </row>
    <row r="784">
      <c r="D784" s="21" t="s">
        <v>733</v>
      </c>
      <c r="J784" s="233"/>
    </row>
    <row r="785">
      <c r="D785" s="21" t="s">
        <v>733</v>
      </c>
      <c r="J785" s="233"/>
    </row>
    <row r="786">
      <c r="D786" s="21" t="s">
        <v>733</v>
      </c>
      <c r="J786" s="233"/>
    </row>
    <row r="787">
      <c r="D787" s="21" t="s">
        <v>733</v>
      </c>
      <c r="J787" s="233"/>
    </row>
    <row r="788">
      <c r="D788" s="21" t="s">
        <v>733</v>
      </c>
      <c r="J788" s="233"/>
    </row>
    <row r="789">
      <c r="D789" s="21" t="s">
        <v>733</v>
      </c>
      <c r="J789" s="233"/>
    </row>
    <row r="790">
      <c r="D790" s="21" t="s">
        <v>733</v>
      </c>
      <c r="J790" s="233"/>
    </row>
    <row r="791">
      <c r="D791" s="21" t="s">
        <v>733</v>
      </c>
      <c r="J791" s="233"/>
    </row>
    <row r="792">
      <c r="D792" s="21" t="s">
        <v>733</v>
      </c>
      <c r="J792" s="233"/>
    </row>
    <row r="793">
      <c r="D793" s="21" t="s">
        <v>733</v>
      </c>
      <c r="J793" s="233"/>
    </row>
    <row r="794">
      <c r="D794" s="21" t="s">
        <v>733</v>
      </c>
      <c r="J794" s="233"/>
    </row>
    <row r="795">
      <c r="D795" s="21" t="s">
        <v>733</v>
      </c>
      <c r="J795" s="233"/>
    </row>
    <row r="796">
      <c r="D796" s="21" t="s">
        <v>733</v>
      </c>
      <c r="J796" s="233"/>
    </row>
    <row r="797">
      <c r="D797" s="21" t="s">
        <v>733</v>
      </c>
      <c r="J797" s="233"/>
    </row>
    <row r="798">
      <c r="D798" s="21" t="s">
        <v>733</v>
      </c>
      <c r="J798" s="233"/>
    </row>
    <row r="799">
      <c r="D799" s="21" t="s">
        <v>733</v>
      </c>
      <c r="J799" s="233"/>
    </row>
    <row r="800">
      <c r="D800" s="21" t="s">
        <v>733</v>
      </c>
      <c r="J800" s="233"/>
    </row>
    <row r="801">
      <c r="D801" s="21" t="s">
        <v>733</v>
      </c>
      <c r="J801" s="233"/>
    </row>
    <row r="802">
      <c r="D802" s="21" t="s">
        <v>733</v>
      </c>
      <c r="J802" s="233"/>
    </row>
    <row r="803">
      <c r="D803" s="21" t="s">
        <v>733</v>
      </c>
      <c r="J803" s="233"/>
    </row>
    <row r="804">
      <c r="D804" s="21" t="s">
        <v>733</v>
      </c>
      <c r="J804" s="233"/>
    </row>
    <row r="805">
      <c r="D805" s="21" t="s">
        <v>733</v>
      </c>
      <c r="J805" s="233"/>
    </row>
    <row r="806">
      <c r="D806" s="21" t="s">
        <v>733</v>
      </c>
      <c r="J806" s="233"/>
    </row>
    <row r="807">
      <c r="D807" s="21" t="s">
        <v>733</v>
      </c>
      <c r="J807" s="233"/>
    </row>
    <row r="808">
      <c r="D808" s="21" t="s">
        <v>733</v>
      </c>
      <c r="J808" s="233"/>
    </row>
    <row r="809">
      <c r="D809" s="21" t="s">
        <v>733</v>
      </c>
      <c r="J809" s="233"/>
    </row>
    <row r="810">
      <c r="D810" s="21" t="s">
        <v>733</v>
      </c>
      <c r="J810" s="233"/>
    </row>
    <row r="811">
      <c r="D811" s="21" t="s">
        <v>733</v>
      </c>
      <c r="J811" s="233"/>
    </row>
    <row r="812">
      <c r="D812" s="21" t="s">
        <v>733</v>
      </c>
      <c r="J812" s="233"/>
    </row>
    <row r="813">
      <c r="D813" s="21" t="s">
        <v>733</v>
      </c>
      <c r="J813" s="233"/>
    </row>
    <row r="814">
      <c r="D814" s="21" t="s">
        <v>733</v>
      </c>
      <c r="J814" s="233"/>
    </row>
    <row r="815">
      <c r="D815" s="21" t="s">
        <v>733</v>
      </c>
      <c r="J815" s="233"/>
    </row>
    <row r="816">
      <c r="D816" s="21" t="s">
        <v>733</v>
      </c>
      <c r="J816" s="233"/>
    </row>
    <row r="817">
      <c r="D817" s="21" t="s">
        <v>733</v>
      </c>
      <c r="J817" s="233"/>
    </row>
    <row r="818">
      <c r="D818" s="21" t="s">
        <v>733</v>
      </c>
      <c r="J818" s="233"/>
    </row>
    <row r="819">
      <c r="D819" s="21" t="s">
        <v>733</v>
      </c>
      <c r="J819" s="233"/>
    </row>
    <row r="820">
      <c r="D820" s="21" t="s">
        <v>733</v>
      </c>
      <c r="J820" s="233"/>
    </row>
    <row r="821">
      <c r="D821" s="21" t="s">
        <v>733</v>
      </c>
      <c r="J821" s="233"/>
    </row>
    <row r="822">
      <c r="D822" s="21" t="s">
        <v>733</v>
      </c>
      <c r="J822" s="233"/>
    </row>
    <row r="823">
      <c r="D823" s="21" t="s">
        <v>733</v>
      </c>
      <c r="J823" s="233"/>
    </row>
    <row r="824">
      <c r="D824" s="21" t="s">
        <v>733</v>
      </c>
      <c r="J824" s="233"/>
    </row>
    <row r="825">
      <c r="D825" s="21" t="s">
        <v>733</v>
      </c>
      <c r="J825" s="233"/>
    </row>
    <row r="826">
      <c r="D826" s="21" t="s">
        <v>733</v>
      </c>
      <c r="J826" s="233"/>
    </row>
    <row r="827">
      <c r="D827" s="21" t="s">
        <v>733</v>
      </c>
      <c r="J827" s="233"/>
    </row>
    <row r="828">
      <c r="D828" s="21" t="s">
        <v>733</v>
      </c>
      <c r="J828" s="233"/>
    </row>
    <row r="829">
      <c r="D829" s="21" t="s">
        <v>733</v>
      </c>
      <c r="J829" s="233"/>
    </row>
    <row r="830">
      <c r="D830" s="21" t="s">
        <v>733</v>
      </c>
      <c r="J830" s="233"/>
    </row>
    <row r="831">
      <c r="D831" s="21" t="s">
        <v>733</v>
      </c>
      <c r="J831" s="233"/>
    </row>
    <row r="832">
      <c r="D832" s="21" t="s">
        <v>733</v>
      </c>
      <c r="J832" s="233"/>
    </row>
    <row r="833">
      <c r="D833" s="21" t="s">
        <v>733</v>
      </c>
      <c r="J833" s="233"/>
    </row>
    <row r="834">
      <c r="D834" s="21" t="s">
        <v>733</v>
      </c>
      <c r="J834" s="233"/>
    </row>
    <row r="835">
      <c r="D835" s="21" t="s">
        <v>733</v>
      </c>
      <c r="J835" s="233"/>
    </row>
    <row r="836">
      <c r="D836" s="21" t="s">
        <v>733</v>
      </c>
      <c r="J836" s="233"/>
    </row>
    <row r="837">
      <c r="D837" s="21" t="s">
        <v>733</v>
      </c>
      <c r="J837" s="233"/>
    </row>
    <row r="838">
      <c r="D838" s="21" t="s">
        <v>733</v>
      </c>
      <c r="J838" s="233"/>
    </row>
    <row r="839">
      <c r="D839" s="21" t="s">
        <v>733</v>
      </c>
      <c r="J839" s="233"/>
    </row>
    <row r="840">
      <c r="D840" s="21" t="s">
        <v>733</v>
      </c>
      <c r="J840" s="233"/>
    </row>
    <row r="841">
      <c r="D841" s="21" t="s">
        <v>733</v>
      </c>
      <c r="J841" s="233"/>
    </row>
    <row r="842">
      <c r="D842" s="21" t="s">
        <v>733</v>
      </c>
      <c r="J842" s="233"/>
    </row>
    <row r="843">
      <c r="D843" s="21" t="s">
        <v>733</v>
      </c>
      <c r="J843" s="233"/>
    </row>
    <row r="844">
      <c r="D844" s="21" t="s">
        <v>733</v>
      </c>
      <c r="J844" s="233"/>
    </row>
    <row r="845">
      <c r="D845" s="21" t="s">
        <v>733</v>
      </c>
      <c r="J845" s="233"/>
    </row>
    <row r="846">
      <c r="D846" s="21" t="s">
        <v>733</v>
      </c>
      <c r="J846" s="233"/>
    </row>
    <row r="847">
      <c r="D847" s="21" t="s">
        <v>733</v>
      </c>
      <c r="J847" s="233"/>
    </row>
    <row r="848">
      <c r="D848" s="21" t="s">
        <v>733</v>
      </c>
      <c r="J848" s="233"/>
    </row>
    <row r="849">
      <c r="D849" s="21" t="s">
        <v>733</v>
      </c>
      <c r="J849" s="233"/>
    </row>
    <row r="850">
      <c r="D850" s="21" t="s">
        <v>733</v>
      </c>
      <c r="J850" s="233"/>
    </row>
    <row r="851">
      <c r="D851" s="21" t="s">
        <v>733</v>
      </c>
      <c r="J851" s="233"/>
    </row>
    <row r="852">
      <c r="D852" s="21" t="s">
        <v>733</v>
      </c>
      <c r="J852" s="233"/>
    </row>
    <row r="853">
      <c r="D853" s="21" t="s">
        <v>733</v>
      </c>
      <c r="J853" s="233"/>
    </row>
    <row r="854">
      <c r="D854" s="21" t="s">
        <v>733</v>
      </c>
      <c r="J854" s="233"/>
    </row>
    <row r="855">
      <c r="D855" s="21" t="s">
        <v>733</v>
      </c>
      <c r="J855" s="233"/>
    </row>
    <row r="856">
      <c r="D856" s="21" t="s">
        <v>733</v>
      </c>
      <c r="J856" s="233"/>
    </row>
    <row r="857">
      <c r="D857" s="21" t="s">
        <v>733</v>
      </c>
      <c r="J857" s="233"/>
    </row>
    <row r="858">
      <c r="D858" s="21" t="s">
        <v>733</v>
      </c>
      <c r="J858" s="233"/>
    </row>
    <row r="859">
      <c r="D859" s="21" t="s">
        <v>733</v>
      </c>
      <c r="J859" s="233"/>
    </row>
    <row r="860">
      <c r="D860" s="21" t="s">
        <v>733</v>
      </c>
      <c r="J860" s="233"/>
    </row>
    <row r="861">
      <c r="D861" s="21" t="s">
        <v>733</v>
      </c>
      <c r="J861" s="233"/>
    </row>
    <row r="862">
      <c r="D862" s="21" t="s">
        <v>733</v>
      </c>
      <c r="J862" s="233"/>
    </row>
    <row r="863">
      <c r="D863" s="21" t="s">
        <v>733</v>
      </c>
      <c r="J863" s="233"/>
    </row>
    <row r="864">
      <c r="D864" s="21" t="s">
        <v>733</v>
      </c>
      <c r="J864" s="233"/>
    </row>
    <row r="865">
      <c r="D865" s="21" t="s">
        <v>733</v>
      </c>
      <c r="J865" s="233"/>
    </row>
    <row r="866">
      <c r="D866" s="21" t="s">
        <v>733</v>
      </c>
      <c r="J866" s="233"/>
    </row>
    <row r="867">
      <c r="D867" s="21" t="s">
        <v>733</v>
      </c>
      <c r="J867" s="233"/>
    </row>
    <row r="868">
      <c r="D868" s="21" t="s">
        <v>733</v>
      </c>
      <c r="J868" s="233"/>
    </row>
    <row r="869">
      <c r="D869" s="21" t="s">
        <v>733</v>
      </c>
      <c r="J869" s="233"/>
    </row>
    <row r="870">
      <c r="D870" s="21" t="s">
        <v>733</v>
      </c>
      <c r="J870" s="233"/>
    </row>
    <row r="871">
      <c r="D871" s="21" t="s">
        <v>733</v>
      </c>
      <c r="J871" s="233"/>
    </row>
    <row r="872">
      <c r="D872" s="21" t="s">
        <v>733</v>
      </c>
      <c r="J872" s="233"/>
    </row>
    <row r="873">
      <c r="D873" s="21" t="s">
        <v>733</v>
      </c>
      <c r="J873" s="233"/>
    </row>
    <row r="874">
      <c r="D874" s="21" t="s">
        <v>733</v>
      </c>
      <c r="J874" s="233"/>
    </row>
    <row r="875">
      <c r="D875" s="21" t="s">
        <v>733</v>
      </c>
      <c r="J875" s="233"/>
    </row>
    <row r="876">
      <c r="D876" s="21" t="s">
        <v>733</v>
      </c>
      <c r="J876" s="233"/>
    </row>
    <row r="877">
      <c r="D877" s="21" t="s">
        <v>733</v>
      </c>
      <c r="J877" s="233"/>
    </row>
    <row r="878">
      <c r="D878" s="21" t="s">
        <v>733</v>
      </c>
      <c r="J878" s="233"/>
    </row>
    <row r="879">
      <c r="D879" s="21" t="s">
        <v>733</v>
      </c>
      <c r="J879" s="233"/>
    </row>
    <row r="880">
      <c r="D880" s="21" t="s">
        <v>733</v>
      </c>
      <c r="J880" s="233"/>
    </row>
    <row r="881">
      <c r="D881" s="21" t="s">
        <v>733</v>
      </c>
      <c r="J881" s="233"/>
    </row>
    <row r="882">
      <c r="D882" s="21" t="s">
        <v>733</v>
      </c>
      <c r="J882" s="233"/>
    </row>
    <row r="883">
      <c r="D883" s="21" t="s">
        <v>733</v>
      </c>
      <c r="J883" s="233"/>
    </row>
    <row r="884">
      <c r="D884" s="21" t="s">
        <v>733</v>
      </c>
      <c r="J884" s="233"/>
    </row>
    <row r="885">
      <c r="D885" s="21" t="s">
        <v>733</v>
      </c>
      <c r="J885" s="233"/>
    </row>
    <row r="886">
      <c r="D886" s="21" t="s">
        <v>733</v>
      </c>
      <c r="J886" s="233"/>
    </row>
    <row r="887">
      <c r="D887" s="21" t="s">
        <v>733</v>
      </c>
      <c r="J887" s="233"/>
    </row>
    <row r="888">
      <c r="D888" s="21" t="s">
        <v>733</v>
      </c>
      <c r="J888" s="233"/>
    </row>
    <row r="889">
      <c r="D889" s="21" t="s">
        <v>733</v>
      </c>
      <c r="J889" s="233"/>
    </row>
    <row r="890">
      <c r="D890" s="21" t="s">
        <v>733</v>
      </c>
      <c r="J890" s="233"/>
    </row>
    <row r="891">
      <c r="D891" s="21" t="s">
        <v>733</v>
      </c>
      <c r="J891" s="233"/>
    </row>
    <row r="892">
      <c r="D892" s="21" t="s">
        <v>733</v>
      </c>
      <c r="J892" s="233"/>
    </row>
    <row r="893">
      <c r="D893" s="21" t="s">
        <v>733</v>
      </c>
      <c r="J893" s="233"/>
    </row>
    <row r="894">
      <c r="D894" s="21" t="s">
        <v>733</v>
      </c>
      <c r="J894" s="233"/>
    </row>
    <row r="895">
      <c r="D895" s="21" t="s">
        <v>733</v>
      </c>
      <c r="J895" s="233"/>
    </row>
    <row r="896">
      <c r="D896" s="21" t="s">
        <v>733</v>
      </c>
      <c r="J896" s="233"/>
    </row>
    <row r="897">
      <c r="D897" s="21" t="s">
        <v>733</v>
      </c>
      <c r="J897" s="233"/>
    </row>
    <row r="898">
      <c r="D898" s="21" t="s">
        <v>733</v>
      </c>
      <c r="J898" s="233"/>
    </row>
    <row r="899">
      <c r="D899" s="21" t="s">
        <v>733</v>
      </c>
      <c r="J899" s="233"/>
    </row>
    <row r="900">
      <c r="D900" s="21" t="s">
        <v>733</v>
      </c>
      <c r="J900" s="233"/>
    </row>
    <row r="901">
      <c r="D901" s="21" t="s">
        <v>733</v>
      </c>
      <c r="J901" s="233"/>
    </row>
    <row r="902">
      <c r="D902" s="21" t="s">
        <v>733</v>
      </c>
      <c r="J902" s="233"/>
    </row>
    <row r="903">
      <c r="D903" s="21" t="s">
        <v>733</v>
      </c>
      <c r="J903" s="233"/>
    </row>
    <row r="904">
      <c r="D904" s="21" t="s">
        <v>733</v>
      </c>
      <c r="J904" s="233"/>
    </row>
    <row r="905">
      <c r="D905" s="21" t="s">
        <v>733</v>
      </c>
      <c r="J905" s="233"/>
    </row>
    <row r="906">
      <c r="D906" s="21" t="s">
        <v>733</v>
      </c>
      <c r="J906" s="233"/>
    </row>
    <row r="907">
      <c r="D907" s="21" t="s">
        <v>733</v>
      </c>
      <c r="J907" s="233"/>
    </row>
    <row r="908">
      <c r="D908" s="21" t="s">
        <v>733</v>
      </c>
      <c r="J908" s="233"/>
    </row>
    <row r="909">
      <c r="D909" s="21" t="s">
        <v>733</v>
      </c>
      <c r="J909" s="233"/>
    </row>
    <row r="910">
      <c r="D910" s="21" t="s">
        <v>733</v>
      </c>
      <c r="J910" s="233"/>
    </row>
    <row r="911">
      <c r="D911" s="21" t="s">
        <v>733</v>
      </c>
      <c r="J911" s="233"/>
    </row>
    <row r="912">
      <c r="D912" s="21" t="s">
        <v>733</v>
      </c>
      <c r="J912" s="233"/>
    </row>
    <row r="913">
      <c r="D913" s="21" t="s">
        <v>733</v>
      </c>
      <c r="J913" s="233"/>
    </row>
    <row r="914">
      <c r="D914" s="21" t="s">
        <v>733</v>
      </c>
      <c r="J914" s="233"/>
    </row>
    <row r="915">
      <c r="D915" s="21" t="s">
        <v>733</v>
      </c>
      <c r="J915" s="233"/>
    </row>
    <row r="916">
      <c r="D916" s="21" t="s">
        <v>733</v>
      </c>
      <c r="J916" s="233"/>
    </row>
    <row r="917">
      <c r="D917" s="21" t="s">
        <v>733</v>
      </c>
      <c r="J917" s="233"/>
    </row>
    <row r="918">
      <c r="D918" s="21" t="s">
        <v>733</v>
      </c>
      <c r="J918" s="233"/>
    </row>
    <row r="919">
      <c r="D919" s="21" t="s">
        <v>733</v>
      </c>
      <c r="J919" s="233"/>
    </row>
    <row r="920">
      <c r="D920" s="21" t="s">
        <v>733</v>
      </c>
      <c r="J920" s="233"/>
    </row>
    <row r="921">
      <c r="D921" s="21" t="s">
        <v>733</v>
      </c>
      <c r="J921" s="233"/>
    </row>
    <row r="922">
      <c r="D922" s="21" t="s">
        <v>733</v>
      </c>
      <c r="J922" s="233"/>
    </row>
    <row r="923">
      <c r="D923" s="21" t="s">
        <v>733</v>
      </c>
      <c r="J923" s="233"/>
    </row>
    <row r="924">
      <c r="D924" s="21" t="s">
        <v>733</v>
      </c>
      <c r="J924" s="233"/>
    </row>
    <row r="925">
      <c r="D925" s="21" t="s">
        <v>733</v>
      </c>
      <c r="J925" s="233"/>
    </row>
    <row r="926">
      <c r="D926" s="21" t="s">
        <v>733</v>
      </c>
      <c r="J926" s="233"/>
    </row>
    <row r="927">
      <c r="D927" s="21" t="s">
        <v>733</v>
      </c>
      <c r="J927" s="233"/>
    </row>
    <row r="928">
      <c r="D928" s="21" t="s">
        <v>733</v>
      </c>
      <c r="J928" s="233"/>
    </row>
    <row r="929">
      <c r="D929" s="21" t="s">
        <v>733</v>
      </c>
      <c r="J929" s="233"/>
    </row>
    <row r="930">
      <c r="D930" s="21" t="s">
        <v>733</v>
      </c>
      <c r="J930" s="233"/>
    </row>
    <row r="931">
      <c r="D931" s="21" t="s">
        <v>733</v>
      </c>
      <c r="J931" s="233"/>
    </row>
    <row r="932">
      <c r="D932" s="21" t="s">
        <v>733</v>
      </c>
      <c r="J932" s="233"/>
    </row>
    <row r="933">
      <c r="D933" s="21" t="s">
        <v>733</v>
      </c>
      <c r="J933" s="233"/>
    </row>
    <row r="934">
      <c r="D934" s="21" t="s">
        <v>733</v>
      </c>
      <c r="J934" s="233"/>
    </row>
    <row r="935">
      <c r="D935" s="21" t="s">
        <v>733</v>
      </c>
      <c r="J935" s="233"/>
    </row>
    <row r="936">
      <c r="D936" s="21" t="s">
        <v>733</v>
      </c>
      <c r="J936" s="233"/>
    </row>
    <row r="937">
      <c r="D937" s="21" t="s">
        <v>733</v>
      </c>
      <c r="J937" s="233"/>
    </row>
    <row r="938">
      <c r="D938" s="21" t="s">
        <v>733</v>
      </c>
      <c r="J938" s="233"/>
    </row>
    <row r="939">
      <c r="D939" s="21" t="s">
        <v>733</v>
      </c>
      <c r="J939" s="233"/>
    </row>
    <row r="940">
      <c r="D940" s="21" t="s">
        <v>733</v>
      </c>
      <c r="J940" s="233"/>
    </row>
    <row r="941">
      <c r="D941" s="21" t="s">
        <v>733</v>
      </c>
      <c r="J941" s="233"/>
    </row>
    <row r="942">
      <c r="D942" s="21" t="s">
        <v>733</v>
      </c>
      <c r="J942" s="233"/>
    </row>
    <row r="943">
      <c r="D943" s="21" t="s">
        <v>733</v>
      </c>
      <c r="J943" s="233"/>
    </row>
    <row r="944">
      <c r="D944" s="21" t="s">
        <v>733</v>
      </c>
      <c r="J944" s="233"/>
    </row>
    <row r="945">
      <c r="D945" s="21" t="s">
        <v>733</v>
      </c>
      <c r="J945" s="233"/>
    </row>
    <row r="946">
      <c r="D946" s="21" t="s">
        <v>733</v>
      </c>
      <c r="J946" s="233"/>
    </row>
    <row r="947">
      <c r="D947" s="21" t="s">
        <v>733</v>
      </c>
      <c r="J947" s="233"/>
    </row>
    <row r="948">
      <c r="D948" s="21" t="s">
        <v>733</v>
      </c>
      <c r="J948" s="233"/>
    </row>
    <row r="949">
      <c r="D949" s="21" t="s">
        <v>733</v>
      </c>
      <c r="J949" s="233"/>
    </row>
    <row r="950">
      <c r="D950" s="21" t="s">
        <v>733</v>
      </c>
      <c r="J950" s="233"/>
    </row>
    <row r="951">
      <c r="D951" s="21" t="s">
        <v>733</v>
      </c>
      <c r="J951" s="233"/>
    </row>
    <row r="952">
      <c r="D952" s="21" t="s">
        <v>733</v>
      </c>
      <c r="J952" s="233"/>
    </row>
    <row r="953">
      <c r="D953" s="21" t="s">
        <v>733</v>
      </c>
      <c r="J953" s="233"/>
    </row>
    <row r="954">
      <c r="D954" s="21" t="s">
        <v>733</v>
      </c>
      <c r="J954" s="233"/>
    </row>
    <row r="955">
      <c r="D955" s="21" t="s">
        <v>733</v>
      </c>
      <c r="J955" s="233"/>
    </row>
    <row r="956">
      <c r="D956" s="21" t="s">
        <v>733</v>
      </c>
      <c r="J956" s="233"/>
    </row>
    <row r="957">
      <c r="D957" s="21" t="s">
        <v>733</v>
      </c>
      <c r="J957" s="233"/>
    </row>
    <row r="958">
      <c r="D958" s="21" t="s">
        <v>733</v>
      </c>
      <c r="J958" s="233"/>
    </row>
    <row r="959">
      <c r="D959" s="21" t="s">
        <v>733</v>
      </c>
      <c r="J959" s="233"/>
    </row>
    <row r="960">
      <c r="D960" s="21" t="s">
        <v>733</v>
      </c>
      <c r="J960" s="233"/>
    </row>
    <row r="961">
      <c r="D961" s="21" t="s">
        <v>733</v>
      </c>
      <c r="J961" s="233"/>
    </row>
    <row r="962">
      <c r="D962" s="21" t="s">
        <v>733</v>
      </c>
      <c r="J962" s="233"/>
    </row>
    <row r="963">
      <c r="D963" s="21" t="s">
        <v>733</v>
      </c>
      <c r="J963" s="233"/>
    </row>
    <row r="964">
      <c r="D964" s="21" t="s">
        <v>733</v>
      </c>
      <c r="J964" s="233"/>
    </row>
    <row r="965">
      <c r="D965" s="21" t="s">
        <v>733</v>
      </c>
      <c r="J965" s="233"/>
    </row>
    <row r="966">
      <c r="D966" s="21" t="s">
        <v>733</v>
      </c>
      <c r="J966" s="233"/>
    </row>
    <row r="967">
      <c r="D967" s="21" t="s">
        <v>733</v>
      </c>
      <c r="J967" s="233"/>
    </row>
    <row r="968">
      <c r="D968" s="21" t="s">
        <v>733</v>
      </c>
      <c r="J968" s="233"/>
    </row>
    <row r="969">
      <c r="D969" s="21" t="s">
        <v>733</v>
      </c>
      <c r="J969" s="233"/>
    </row>
    <row r="970">
      <c r="D970" s="21" t="s">
        <v>733</v>
      </c>
      <c r="J970" s="233"/>
    </row>
    <row r="971">
      <c r="D971" s="21" t="s">
        <v>733</v>
      </c>
      <c r="J971" s="233"/>
    </row>
    <row r="972">
      <c r="D972" s="21" t="s">
        <v>733</v>
      </c>
      <c r="J972" s="233"/>
    </row>
    <row r="973">
      <c r="D973" s="21" t="s">
        <v>733</v>
      </c>
      <c r="J973" s="233"/>
    </row>
    <row r="974">
      <c r="D974" s="21" t="s">
        <v>733</v>
      </c>
      <c r="J974" s="233"/>
    </row>
    <row r="975">
      <c r="D975" s="21" t="s">
        <v>733</v>
      </c>
      <c r="J975" s="233"/>
    </row>
    <row r="976">
      <c r="D976" s="21" t="s">
        <v>733</v>
      </c>
      <c r="J976" s="233"/>
    </row>
    <row r="977">
      <c r="D977" s="21" t="s">
        <v>733</v>
      </c>
      <c r="J977" s="233"/>
    </row>
    <row r="978">
      <c r="D978" s="21" t="s">
        <v>733</v>
      </c>
      <c r="J978" s="233"/>
    </row>
    <row r="979">
      <c r="D979" s="21" t="s">
        <v>733</v>
      </c>
      <c r="J979" s="233"/>
    </row>
    <row r="980">
      <c r="D980" s="21" t="s">
        <v>733</v>
      </c>
      <c r="J980" s="233"/>
    </row>
    <row r="981">
      <c r="D981" s="21" t="s">
        <v>733</v>
      </c>
      <c r="J981" s="233"/>
    </row>
    <row r="982">
      <c r="D982" s="21" t="s">
        <v>733</v>
      </c>
      <c r="J982" s="233"/>
    </row>
    <row r="983">
      <c r="D983" s="21" t="s">
        <v>733</v>
      </c>
      <c r="J983" s="233"/>
    </row>
    <row r="984">
      <c r="D984" s="21" t="s">
        <v>733</v>
      </c>
      <c r="J984" s="233"/>
    </row>
    <row r="985">
      <c r="D985" s="21" t="s">
        <v>733</v>
      </c>
      <c r="J985" s="233"/>
    </row>
    <row r="986">
      <c r="D986" s="21" t="s">
        <v>733</v>
      </c>
      <c r="J986" s="233"/>
    </row>
    <row r="987">
      <c r="D987" s="21" t="s">
        <v>733</v>
      </c>
      <c r="J987" s="233"/>
    </row>
    <row r="988">
      <c r="D988" s="21" t="s">
        <v>733</v>
      </c>
      <c r="J988" s="233"/>
    </row>
    <row r="989">
      <c r="D989" s="21" t="s">
        <v>733</v>
      </c>
      <c r="J989" s="233"/>
    </row>
    <row r="990">
      <c r="D990" s="21" t="s">
        <v>733</v>
      </c>
      <c r="J990" s="233"/>
    </row>
    <row r="991">
      <c r="D991" s="21" t="s">
        <v>733</v>
      </c>
      <c r="J991" s="233"/>
    </row>
    <row r="992">
      <c r="D992" s="21" t="s">
        <v>733</v>
      </c>
      <c r="J992" s="233"/>
    </row>
    <row r="993">
      <c r="D993" s="21" t="s">
        <v>733</v>
      </c>
      <c r="J993" s="233"/>
    </row>
    <row r="994">
      <c r="D994" s="21" t="s">
        <v>733</v>
      </c>
      <c r="J994" s="233"/>
    </row>
    <row r="995">
      <c r="D995" s="21" t="s">
        <v>733</v>
      </c>
      <c r="J995" s="233"/>
    </row>
    <row r="996">
      <c r="D996" s="21" t="s">
        <v>733</v>
      </c>
      <c r="J996" s="233"/>
    </row>
    <row r="997">
      <c r="D997" s="21" t="s">
        <v>733</v>
      </c>
      <c r="J997" s="233"/>
    </row>
    <row r="998">
      <c r="D998" s="21" t="s">
        <v>733</v>
      </c>
      <c r="J998" s="233"/>
    </row>
    <row r="999">
      <c r="D999" s="21" t="s">
        <v>733</v>
      </c>
      <c r="J999" s="233"/>
    </row>
    <row r="1000">
      <c r="D1000" s="21" t="s">
        <v>733</v>
      </c>
      <c r="J1000" s="23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1528.036865</v>
      </c>
    </row>
    <row r="2">
      <c r="A2" s="21" t="str">
        <f>IFERROR(__xludf.DUMMYFUNCTION("QUERY(Pedidos!A2:E1000, ""SELECT A, D, (E/2) WHERE lower(B) CONTAINS 'old farmers'"",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IFERROR(__xludf.DUMMYFUNCTION("""COMPUTED_VALUE"""),46098.43564730324)</f>
        <v>46098.43565</v>
      </c>
      <c r="B3" s="197">
        <f>IFERROR(__xludf.DUMMYFUNCTION("""COMPUTED_VALUE"""),2136.0)</f>
        <v>2136</v>
      </c>
      <c r="C3" s="21">
        <f>IFERROR(__xludf.DUMMYFUNCTION("""COMPUTED_VALUE"""),278.75985999999995)</f>
        <v>278.75986</v>
      </c>
      <c r="D3" s="21">
        <v>1857.24014</v>
      </c>
      <c r="E3" s="122">
        <v>46023.0</v>
      </c>
      <c r="F3" s="4">
        <v>0.0</v>
      </c>
    </row>
    <row r="4">
      <c r="A4" s="135">
        <f>IFERROR(__xludf.DUMMYFUNCTION("""COMPUTED_VALUE"""),46098.516406979164)</f>
        <v>46098.51641</v>
      </c>
      <c r="B4" s="197">
        <f>IFERROR(__xludf.DUMMYFUNCTION("""COMPUTED_VALUE"""),280.0)</f>
        <v>280</v>
      </c>
      <c r="C4" s="21">
        <f>IFERROR(__xludf.DUMMYFUNCTION("""COMPUTED_VALUE"""),36.204494386099775)</f>
        <v>36.20449439</v>
      </c>
      <c r="D4" s="21">
        <v>243.79550561390022</v>
      </c>
      <c r="E4" s="122">
        <v>46163.0</v>
      </c>
      <c r="F4" s="4">
        <v>1158.0</v>
      </c>
      <c r="G4" s="4" t="s">
        <v>1468</v>
      </c>
    </row>
    <row r="5">
      <c r="A5" s="135">
        <f>IFERROR(__xludf.DUMMYFUNCTION("""COMPUTED_VALUE"""),46203.45964513889)</f>
        <v>46203.45965</v>
      </c>
      <c r="B5" s="197">
        <f>IFERROR(__xludf.DUMMYFUNCTION("""COMPUTED_VALUE"""),390.0)</f>
        <v>390</v>
      </c>
      <c r="C5" s="21">
        <f>IFERROR(__xludf.DUMMYFUNCTION("""COMPUTED_VALUE"""),43.52638999999999)</f>
        <v>43.52639</v>
      </c>
      <c r="D5" s="21">
        <v>346.47361</v>
      </c>
      <c r="E5" s="122">
        <v>46163.0</v>
      </c>
      <c r="F5" s="4">
        <v>500.0</v>
      </c>
      <c r="G5" s="4" t="s">
        <v>1469</v>
      </c>
    </row>
    <row r="6">
      <c r="A6" s="135">
        <f>IFERROR(__xludf.DUMMYFUNCTION("""COMPUTED_VALUE"""),46283.588189594906)</f>
        <v>46283.58819</v>
      </c>
      <c r="B6" s="197">
        <f>IFERROR(__xludf.DUMMYFUNCTION("""COMPUTED_VALUE"""),1659.0)</f>
        <v>1659</v>
      </c>
      <c r="C6" s="21">
        <f>IFERROR(__xludf.DUMMYFUNCTION("""COMPUTED_VALUE"""),130.9623904547367)</f>
        <v>130.9623905</v>
      </c>
      <c r="D6" s="21">
        <v>1528.0376095452634</v>
      </c>
      <c r="E6" s="122">
        <v>46274.0</v>
      </c>
      <c r="F6" s="4">
        <v>789.51</v>
      </c>
      <c r="G6" s="234">
        <v>1216601.76</v>
      </c>
      <c r="H6" s="4" t="s">
        <v>1470</v>
      </c>
      <c r="I6" s="4" t="s">
        <v>1471</v>
      </c>
    </row>
    <row r="7">
      <c r="D7" s="21" t="s">
        <v>733</v>
      </c>
    </row>
    <row r="8">
      <c r="D8" s="21" t="s">
        <v>733</v>
      </c>
    </row>
    <row r="9">
      <c r="D9" s="21" t="s">
        <v>733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8" max="8" width="14.13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2952.36338</v>
      </c>
    </row>
    <row r="2">
      <c r="A2" s="21" t="str">
        <f>IFERROR(__xludf.DUMMYFUNCTION("QUERY(Pedidos!A2:E1000, ""SELECT A, D, (E/2) WHERE lower(B) CONTAINS 'vaporever'"",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IFERROR(__xludf.DUMMYFUNCTION("""COMPUTED_VALUE"""),46112.688090497686)</f>
        <v>46112.68809</v>
      </c>
      <c r="B3" s="197">
        <f>IFERROR(__xludf.DUMMYFUNCTION("""COMPUTED_VALUE"""),220.0)</f>
        <v>220</v>
      </c>
      <c r="C3" s="21">
        <f>IFERROR(__xludf.DUMMYFUNCTION("""COMPUTED_VALUE"""),30.260000000000005)</f>
        <v>30.26</v>
      </c>
      <c r="D3" s="21">
        <v>189.74</v>
      </c>
      <c r="E3" s="122">
        <v>46170.0</v>
      </c>
      <c r="F3" s="4">
        <v>557.73</v>
      </c>
      <c r="G3" s="4">
        <v>803131.0</v>
      </c>
    </row>
    <row r="4">
      <c r="A4" s="135">
        <f>IFERROR(__xludf.DUMMYFUNCTION("""COMPUTED_VALUE"""),46136.678152939814)</f>
        <v>46136.67815</v>
      </c>
      <c r="B4" s="197">
        <f>IFERROR(__xludf.DUMMYFUNCTION("""COMPUTED_VALUE"""),310.0)</f>
        <v>310</v>
      </c>
      <c r="C4" s="21">
        <f>IFERROR(__xludf.DUMMYFUNCTION("""COMPUTED_VALUE"""),36.876)</f>
        <v>36.876</v>
      </c>
      <c r="D4" s="21">
        <v>273.124</v>
      </c>
      <c r="E4" s="122">
        <v>46249.0</v>
      </c>
      <c r="F4" s="4">
        <v>6587.24</v>
      </c>
    </row>
    <row r="5">
      <c r="A5" s="135">
        <f>IFERROR(__xludf.DUMMYFUNCTION("""COMPUTED_VALUE"""),46139.99635841435)</f>
        <v>46139.99636</v>
      </c>
      <c r="B5" s="197">
        <f>IFERROR(__xludf.DUMMYFUNCTION("""COMPUTED_VALUE"""),110.0)</f>
        <v>110</v>
      </c>
      <c r="C5" s="21">
        <f>IFERROR(__xludf.DUMMYFUNCTION("""COMPUTED_VALUE"""),15.130000000000003)</f>
        <v>15.13</v>
      </c>
      <c r="D5" s="21">
        <v>94.87</v>
      </c>
      <c r="E5" s="122">
        <v>46263.0</v>
      </c>
      <c r="F5" s="4">
        <v>280.0</v>
      </c>
      <c r="H5" s="4">
        <v>400000.0</v>
      </c>
    </row>
    <row r="6">
      <c r="A6" s="135">
        <f>IFERROR(__xludf.DUMMYFUNCTION("""COMPUTED_VALUE"""),46238.41461115741)</f>
        <v>46238.41461</v>
      </c>
      <c r="B6" s="197">
        <f>IFERROR(__xludf.DUMMYFUNCTION("""COMPUTED_VALUE"""),240.0)</f>
        <v>240</v>
      </c>
      <c r="C6" s="21">
        <f>IFERROR(__xludf.DUMMYFUNCTION("""COMPUTED_VALUE"""),24.622344999999996)</f>
        <v>24.622345</v>
      </c>
      <c r="D6" s="21">
        <v>215.377655</v>
      </c>
      <c r="E6" s="122">
        <v>46263.0</v>
      </c>
      <c r="F6" s="4">
        <v>280.0</v>
      </c>
      <c r="H6" s="4">
        <v>400000.0</v>
      </c>
    </row>
    <row r="7">
      <c r="A7" s="135">
        <f>IFERROR(__xludf.DUMMYFUNCTION("""COMPUTED_VALUE"""),46249.566469722224)</f>
        <v>46249.56647</v>
      </c>
      <c r="B7" s="197">
        <f>IFERROR(__xludf.DUMMYFUNCTION("""COMPUTED_VALUE"""),7122.0)</f>
        <v>7122</v>
      </c>
      <c r="C7" s="21">
        <f>IFERROR(__xludf.DUMMYFUNCTION("""COMPUTED_VALUE"""),750.140015)</f>
        <v>750.140015</v>
      </c>
      <c r="D7" s="21">
        <v>6371.859985</v>
      </c>
      <c r="E7" s="122">
        <v>46295.0</v>
      </c>
      <c r="F7" s="4">
        <v>138.0</v>
      </c>
      <c r="H7" s="4">
        <v>210000.0</v>
      </c>
    </row>
    <row r="8">
      <c r="A8" s="135">
        <f>IFERROR(__xludf.DUMMYFUNCTION("""COMPUTED_VALUE"""),46263.45023096065)</f>
        <v>46263.45023</v>
      </c>
      <c r="B8" s="197">
        <f>IFERROR(__xludf.DUMMYFUNCTION("""COMPUTED_VALUE"""),4804.0)</f>
        <v>4804</v>
      </c>
      <c r="C8" s="21">
        <f>IFERROR(__xludf.DUMMYFUNCTION("""COMPUTED_VALUE"""),594.41716)</f>
        <v>594.41716</v>
      </c>
      <c r="D8" s="21">
        <v>4209.58284</v>
      </c>
      <c r="E8" s="122">
        <v>46295.0</v>
      </c>
      <c r="F8" s="4">
        <v>60.0</v>
      </c>
      <c r="H8" s="4">
        <v>90000.0</v>
      </c>
    </row>
    <row r="9">
      <c r="A9" s="135">
        <f>IFERROR(__xludf.DUMMYFUNCTION("""COMPUTED_VALUE"""),46294.73748532407)</f>
        <v>46294.73749</v>
      </c>
      <c r="B9" s="197">
        <f>IFERROR(__xludf.DUMMYFUNCTION("""COMPUTED_VALUE"""),815.0)</f>
        <v>815</v>
      </c>
      <c r="C9" s="21">
        <f>IFERROR(__xludf.DUMMYFUNCTION("""COMPUTED_VALUE"""),76.22110000000004)</f>
        <v>76.2211</v>
      </c>
      <c r="D9" s="21">
        <v>738.7789</v>
      </c>
      <c r="E9" s="122">
        <v>46277.0</v>
      </c>
      <c r="F9" s="4">
        <v>588.0</v>
      </c>
      <c r="H9" s="4">
        <v>900000.0</v>
      </c>
    </row>
    <row r="10">
      <c r="D10" s="21" t="s">
        <v>733</v>
      </c>
      <c r="E10" s="122">
        <v>46277.0</v>
      </c>
      <c r="F10" s="4">
        <v>650.0</v>
      </c>
      <c r="H10" s="4">
        <v>1000000.0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8" max="8" width="14.13"/>
    <col customWidth="1" min="10" max="10" width="49.63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SUM(F3:F1000)</f>
        <v>309.7628814</v>
      </c>
      <c r="J1" s="4" t="s">
        <v>1472</v>
      </c>
    </row>
    <row r="2">
      <c r="A2" s="21" t="str">
        <f>IFERROR(__xludf.DUMMYFUNCTION("QUERY(Pedidos!A2:E1000, ""SELECT A, D, (E/2) WHERE lower(B) CONTAINS 'lean tegridad'"",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22">
        <v>46023.0</v>
      </c>
      <c r="F2" s="4">
        <v>0.0</v>
      </c>
      <c r="K2" s="4" t="s">
        <v>1403</v>
      </c>
    </row>
    <row r="3">
      <c r="A3" s="135">
        <f>IFERROR(__xludf.DUMMYFUNCTION("""COMPUTED_VALUE"""),46122.71392361111)</f>
        <v>46122.71392</v>
      </c>
      <c r="B3" s="197">
        <f>IFERROR(__xludf.DUMMYFUNCTION("""COMPUTED_VALUE"""),1300.0)</f>
        <v>1300</v>
      </c>
      <c r="C3" s="21">
        <f>IFERROR(__xludf.DUMMYFUNCTION("""COMPUTED_VALUE"""),140.13400000000001)</f>
        <v>140.134</v>
      </c>
      <c r="D3" s="21">
        <v>1159.866</v>
      </c>
      <c r="E3" s="122">
        <v>46122.0</v>
      </c>
      <c r="F3" s="4">
        <v>1160.0</v>
      </c>
      <c r="J3" s="4" t="s">
        <v>387</v>
      </c>
    </row>
    <row r="4">
      <c r="A4" s="135">
        <f>IFERROR(__xludf.DUMMYFUNCTION("""COMPUTED_VALUE"""),46130.448365185184)</f>
        <v>46130.44837</v>
      </c>
      <c r="B4" s="197">
        <f>IFERROR(__xludf.DUMMYFUNCTION("""COMPUTED_VALUE"""),808.0)</f>
        <v>808</v>
      </c>
      <c r="C4" s="21">
        <f>IFERROR(__xludf.DUMMYFUNCTION("""COMPUTED_VALUE"""),110.36939)</f>
        <v>110.36939</v>
      </c>
      <c r="D4" s="21">
        <v>697.63061</v>
      </c>
      <c r="E4" s="122">
        <v>46130.0</v>
      </c>
      <c r="F4" s="4">
        <v>698.0</v>
      </c>
      <c r="J4" s="4" t="s">
        <v>387</v>
      </c>
    </row>
    <row r="5">
      <c r="A5" s="135">
        <f>IFERROR(__xludf.DUMMYFUNCTION("""COMPUTED_VALUE"""),46136.970866157404)</f>
        <v>46136.97087</v>
      </c>
      <c r="B5" s="197">
        <f>IFERROR(__xludf.DUMMYFUNCTION("""COMPUTED_VALUE"""),1195.0)</f>
        <v>1195</v>
      </c>
      <c r="C5" s="21">
        <f>IFERROR(__xludf.DUMMYFUNCTION("""COMPUTED_VALUE"""),147.15203999999994)</f>
        <v>147.15204</v>
      </c>
      <c r="D5" s="21">
        <v>1047.84796</v>
      </c>
      <c r="E5" s="122">
        <v>46147.0</v>
      </c>
      <c r="F5" s="4">
        <v>2016.59</v>
      </c>
      <c r="G5" s="21">
        <f>H5/F5</f>
        <v>1432.172132</v>
      </c>
      <c r="H5" s="4">
        <v>2888104.0</v>
      </c>
    </row>
    <row r="6">
      <c r="A6" s="135">
        <f>IFERROR(__xludf.DUMMYFUNCTION("""COMPUTED_VALUE"""),46146.64253208334)</f>
        <v>46146.64253</v>
      </c>
      <c r="B6" s="197">
        <f>IFERROR(__xludf.DUMMYFUNCTION("""COMPUTED_VALUE"""),1090.0)</f>
        <v>1090</v>
      </c>
      <c r="C6" s="21">
        <f>IFERROR(__xludf.DUMMYFUNCTION("""COMPUTED_VALUE"""),120.75307999999998)</f>
        <v>120.75308</v>
      </c>
      <c r="D6" s="21">
        <v>969.24692</v>
      </c>
      <c r="E6" s="122">
        <v>46164.0</v>
      </c>
      <c r="F6" s="4">
        <v>1600.0</v>
      </c>
    </row>
    <row r="7">
      <c r="A7" s="135">
        <f>IFERROR(__xludf.DUMMYFUNCTION("""COMPUTED_VALUE"""),46154.64714717593)</f>
        <v>46154.64715</v>
      </c>
      <c r="B7" s="197">
        <f>IFERROR(__xludf.DUMMYFUNCTION("""COMPUTED_VALUE"""),825.0)</f>
        <v>825</v>
      </c>
      <c r="C7" s="21">
        <f>IFERROR(__xludf.DUMMYFUNCTION("""COMPUTED_VALUE"""),105.10104)</f>
        <v>105.10104</v>
      </c>
      <c r="D7" s="21">
        <v>719.89896</v>
      </c>
      <c r="E7" s="122">
        <v>46164.0</v>
      </c>
      <c r="F7" s="4">
        <v>700.0</v>
      </c>
    </row>
    <row r="8">
      <c r="A8" s="135">
        <f>IFERROR(__xludf.DUMMYFUNCTION("""COMPUTED_VALUE"""),46164.68017103009)</f>
        <v>46164.68017</v>
      </c>
      <c r="B8" s="197">
        <f>IFERROR(__xludf.DUMMYFUNCTION("""COMPUTED_VALUE"""),1809.0)</f>
        <v>1809</v>
      </c>
      <c r="C8" s="21">
        <f>IFERROR(__xludf.DUMMYFUNCTION("""COMPUTED_VALUE"""),228.99200000000005)</f>
        <v>228.992</v>
      </c>
      <c r="D8" s="21">
        <v>1580.008</v>
      </c>
      <c r="E8" s="122">
        <v>46171.0</v>
      </c>
      <c r="F8" s="4">
        <v>600.0</v>
      </c>
    </row>
    <row r="9">
      <c r="A9" s="135">
        <f>IFERROR(__xludf.DUMMYFUNCTION("""COMPUTED_VALUE"""),46171.5776268287)</f>
        <v>46171.57763</v>
      </c>
      <c r="B9" s="197">
        <f>IFERROR(__xludf.DUMMYFUNCTION("""COMPUTED_VALUE"""),585.0)</f>
        <v>585</v>
      </c>
      <c r="C9" s="21">
        <f>IFERROR(__xludf.DUMMYFUNCTION("""COMPUTED_VALUE"""),83.63700000000001)</f>
        <v>83.637</v>
      </c>
      <c r="D9" s="21">
        <v>501.363</v>
      </c>
      <c r="E9" s="122">
        <v>46183.0</v>
      </c>
      <c r="F9" s="4">
        <v>277.98</v>
      </c>
    </row>
    <row r="10">
      <c r="A10" s="135">
        <f>IFERROR(__xludf.DUMMYFUNCTION("""COMPUTED_VALUE"""),46171.578646064816)</f>
        <v>46171.57865</v>
      </c>
      <c r="B10" s="197">
        <f>IFERROR(__xludf.DUMMYFUNCTION("""COMPUTED_VALUE"""),110.0)</f>
        <v>110</v>
      </c>
      <c r="C10" s="21">
        <f>IFERROR(__xludf.DUMMYFUNCTION("""COMPUTED_VALUE"""),15.130000000000003)</f>
        <v>15.13</v>
      </c>
      <c r="D10" s="21">
        <v>94.87</v>
      </c>
      <c r="E10" s="122">
        <v>46191.0</v>
      </c>
      <c r="F10" s="4">
        <v>409.9</v>
      </c>
      <c r="G10" s="4">
        <v>603930.0</v>
      </c>
    </row>
    <row r="11">
      <c r="A11" s="135">
        <f>IFERROR(__xludf.DUMMYFUNCTION("""COMPUTED_VALUE"""),46183.98585234954)</f>
        <v>46183.98585</v>
      </c>
      <c r="B11" s="197">
        <f>IFERROR(__xludf.DUMMYFUNCTION("""COMPUTED_VALUE"""),340.0)</f>
        <v>340</v>
      </c>
      <c r="C11" s="21">
        <f>IFERROR(__xludf.DUMMYFUNCTION("""COMPUTED_VALUE"""),58.16)</f>
        <v>58.16</v>
      </c>
      <c r="D11" s="21">
        <v>281.84000000000003</v>
      </c>
      <c r="E11" s="122">
        <v>46210.0</v>
      </c>
      <c r="F11" s="4">
        <v>11017.86</v>
      </c>
      <c r="J11" s="4" t="s">
        <v>1473</v>
      </c>
    </row>
    <row r="12">
      <c r="A12" s="135">
        <f>IFERROR(__xludf.DUMMYFUNCTION("""COMPUTED_VALUE"""),46191.665239340284)</f>
        <v>46191.66524</v>
      </c>
      <c r="B12" s="197">
        <f>IFERROR(__xludf.DUMMYFUNCTION("""COMPUTED_VALUE"""),460.0)</f>
        <v>460</v>
      </c>
      <c r="C12" s="21">
        <f>IFERROR(__xludf.DUMMYFUNCTION("""COMPUTED_VALUE"""),50.101000000000006)</f>
        <v>50.101</v>
      </c>
      <c r="D12" s="21">
        <v>409.899</v>
      </c>
      <c r="E12" s="122">
        <v>46224.0</v>
      </c>
      <c r="F12" s="4">
        <v>1440.0</v>
      </c>
      <c r="J12" s="4" t="s">
        <v>1474</v>
      </c>
    </row>
    <row r="13">
      <c r="A13" s="135">
        <f>IFERROR(__xludf.DUMMYFUNCTION("""COMPUTED_VALUE"""),46210.78553421296)</f>
        <v>46210.78553</v>
      </c>
      <c r="B13" s="197">
        <f>IFERROR(__xludf.DUMMYFUNCTION("""COMPUTED_VALUE"""),12445.0)</f>
        <v>12445</v>
      </c>
      <c r="C13" s="21">
        <f>IFERROR(__xludf.DUMMYFUNCTION("""COMPUTED_VALUE"""),1427.1440000000002)</f>
        <v>1427.144</v>
      </c>
      <c r="D13" s="21">
        <v>11017.856</v>
      </c>
      <c r="E13" s="122">
        <v>46225.0</v>
      </c>
      <c r="F13" s="4">
        <v>1100.0</v>
      </c>
      <c r="J13" s="4" t="s">
        <v>1474</v>
      </c>
    </row>
    <row r="14">
      <c r="A14" s="135">
        <f>IFERROR(__xludf.DUMMYFUNCTION("""COMPUTED_VALUE"""),46224.486922372686)</f>
        <v>46224.48692</v>
      </c>
      <c r="B14" s="197">
        <f>IFERROR(__xludf.DUMMYFUNCTION("""COMPUTED_VALUE"""),1254.0)</f>
        <v>1254</v>
      </c>
      <c r="C14" s="21">
        <f>IFERROR(__xludf.DUMMYFUNCTION("""COMPUTED_VALUE"""),233.35750500000003)</f>
        <v>233.357505</v>
      </c>
      <c r="D14" s="21">
        <v>1020.6424949999999</v>
      </c>
      <c r="E14" s="122">
        <v>46225.0</v>
      </c>
      <c r="F14" s="4">
        <v>1100.0</v>
      </c>
      <c r="G14" s="4">
        <v>1700000.0</v>
      </c>
      <c r="J14" s="4" t="s">
        <v>1474</v>
      </c>
    </row>
    <row r="15">
      <c r="A15" s="135">
        <f>IFERROR(__xludf.DUMMYFUNCTION("""COMPUTED_VALUE"""),46224.48717997685)</f>
        <v>46224.48718</v>
      </c>
      <c r="B15" s="197">
        <f>IFERROR(__xludf.DUMMYFUNCTION("""COMPUTED_VALUE"""),441.0)</f>
        <v>441</v>
      </c>
      <c r="C15" s="21">
        <f>IFERROR(__xludf.DUMMYFUNCTION("""COMPUTED_VALUE"""),20.01375)</f>
        <v>20.01375</v>
      </c>
      <c r="D15" s="21">
        <v>420.98625</v>
      </c>
      <c r="E15" s="122">
        <v>46228.0</v>
      </c>
      <c r="F15" s="4">
        <v>3325.0</v>
      </c>
      <c r="J15" s="4" t="s">
        <v>1475</v>
      </c>
    </row>
    <row r="16">
      <c r="A16" s="135">
        <f>IFERROR(__xludf.DUMMYFUNCTION("""COMPUTED_VALUE"""),46225.663124004626)</f>
        <v>46225.66312</v>
      </c>
      <c r="B16" s="197">
        <f>IFERROR(__xludf.DUMMYFUNCTION("""COMPUTED_VALUE"""),3233.0)</f>
        <v>3233</v>
      </c>
      <c r="C16" s="21">
        <f>IFERROR(__xludf.DUMMYFUNCTION("""COMPUTED_VALUE"""),452.1589879185521)</f>
        <v>452.1589879</v>
      </c>
      <c r="D16" s="21">
        <v>2780.841012081448</v>
      </c>
      <c r="E16" s="122">
        <v>46237.0</v>
      </c>
      <c r="F16" s="4">
        <v>1840.0</v>
      </c>
      <c r="J16" s="4" t="s">
        <v>1476</v>
      </c>
    </row>
    <row r="17">
      <c r="A17" s="135">
        <f>IFERROR(__xludf.DUMMYFUNCTION("""COMPUTED_VALUE"""),46228.40393230324)</f>
        <v>46228.40393</v>
      </c>
      <c r="B17" s="197">
        <f>IFERROR(__xludf.DUMMYFUNCTION("""COMPUTED_VALUE"""),5115.0)</f>
        <v>5115</v>
      </c>
      <c r="C17" s="21">
        <f>IFERROR(__xludf.DUMMYFUNCTION("""COMPUTED_VALUE"""),599.1519499999999)</f>
        <v>599.15195</v>
      </c>
      <c r="D17" s="21">
        <v>4515.8480500000005</v>
      </c>
      <c r="E17" s="122">
        <v>46237.0</v>
      </c>
      <c r="F17" s="4">
        <v>1700.0</v>
      </c>
      <c r="J17" s="4" t="s">
        <v>1477</v>
      </c>
    </row>
    <row r="18">
      <c r="A18" s="135">
        <f>IFERROR(__xludf.DUMMYFUNCTION("""COMPUTED_VALUE"""),46228.41806815973)</f>
        <v>46228.41807</v>
      </c>
      <c r="B18" s="197">
        <f>IFERROR(__xludf.DUMMYFUNCTION("""COMPUTED_VALUE"""),85.0)</f>
        <v>85</v>
      </c>
      <c r="C18" s="21">
        <f>IFERROR(__xludf.DUMMYFUNCTION("""COMPUTED_VALUE"""),16.70783)</f>
        <v>16.70783</v>
      </c>
      <c r="D18" s="21">
        <v>68.29217</v>
      </c>
      <c r="E18" s="122">
        <v>46245.0</v>
      </c>
      <c r="F18" s="4">
        <v>1000.0</v>
      </c>
      <c r="G18" s="4">
        <v>1550000.0</v>
      </c>
      <c r="J18" s="4" t="s">
        <v>1471</v>
      </c>
    </row>
    <row r="19">
      <c r="A19" s="135">
        <f>IFERROR(__xludf.DUMMYFUNCTION("""COMPUTED_VALUE"""),46237.83157892361)</f>
        <v>46237.83158</v>
      </c>
      <c r="B19" s="197">
        <f>IFERROR(__xludf.DUMMYFUNCTION("""COMPUTED_VALUE"""),2770.0)</f>
        <v>2770</v>
      </c>
      <c r="C19" s="21">
        <f>IFERROR(__xludf.DUMMYFUNCTION("""COMPUTED_VALUE"""),450.9694)</f>
        <v>450.9694</v>
      </c>
      <c r="D19" s="21">
        <v>2319.0306</v>
      </c>
      <c r="E19" s="122">
        <v>46245.0</v>
      </c>
      <c r="F19" s="4">
        <v>760.0</v>
      </c>
      <c r="J19" s="4" t="s">
        <v>1479</v>
      </c>
    </row>
    <row r="20">
      <c r="A20" s="135">
        <f>IFERROR(__xludf.DUMMYFUNCTION("""COMPUTED_VALUE"""),46245.54310108796)</f>
        <v>46245.5431</v>
      </c>
      <c r="B20" s="197">
        <f>IFERROR(__xludf.DUMMYFUNCTION("""COMPUTED_VALUE"""),1341.0)</f>
        <v>1341</v>
      </c>
      <c r="C20" s="21">
        <f>IFERROR(__xludf.DUMMYFUNCTION("""COMPUTED_VALUE"""),244.74556887721997)</f>
        <v>244.7455689</v>
      </c>
      <c r="D20" s="21">
        <v>1096.25443112278</v>
      </c>
      <c r="E20" s="122">
        <v>46246.0</v>
      </c>
      <c r="F20" s="4">
        <v>2080.0</v>
      </c>
      <c r="J20" s="4" t="s">
        <v>1447</v>
      </c>
    </row>
    <row r="21">
      <c r="A21" s="135">
        <f>IFERROR(__xludf.DUMMYFUNCTION("""COMPUTED_VALUE"""),46245.54457604167)</f>
        <v>46245.54458</v>
      </c>
      <c r="B21" s="197">
        <f>IFERROR(__xludf.DUMMYFUNCTION("""COMPUTED_VALUE"""),60.0)</f>
        <v>60</v>
      </c>
      <c r="C21" s="21">
        <f>IFERROR(__xludf.DUMMYFUNCTION("""COMPUTED_VALUE"""),17.5)</f>
        <v>17.5</v>
      </c>
      <c r="D21" s="21">
        <v>42.5</v>
      </c>
      <c r="E21" s="122">
        <v>46255.0</v>
      </c>
      <c r="F21" s="4">
        <v>720.0</v>
      </c>
      <c r="G21" s="4">
        <v>1116000.0</v>
      </c>
      <c r="J21" s="4" t="s">
        <v>1480</v>
      </c>
    </row>
    <row r="22">
      <c r="A22" s="135">
        <f>IFERROR(__xludf.DUMMYFUNCTION("""COMPUTED_VALUE"""),46246.70077945601)</f>
        <v>46246.70078</v>
      </c>
      <c r="B22" s="197">
        <f>IFERROR(__xludf.DUMMYFUNCTION("""COMPUTED_VALUE"""),3090.0)</f>
        <v>3090</v>
      </c>
      <c r="C22" s="21">
        <f>IFERROR(__xludf.DUMMYFUNCTION("""COMPUTED_VALUE"""),290.06880000000007)</f>
        <v>290.0688</v>
      </c>
      <c r="D22" s="21">
        <v>2799.9312</v>
      </c>
      <c r="E22" s="122">
        <v>46255.0</v>
      </c>
      <c r="F22" s="4">
        <v>1882.0</v>
      </c>
    </row>
    <row r="23">
      <c r="A23" s="135">
        <f>IFERROR(__xludf.DUMMYFUNCTION("""COMPUTED_VALUE"""),46255.77603686342)</f>
        <v>46255.77604</v>
      </c>
      <c r="B23" s="197">
        <f>IFERROR(__xludf.DUMMYFUNCTION("""COMPUTED_VALUE"""),7466.5)</f>
        <v>7466.5</v>
      </c>
      <c r="C23" s="21">
        <f>IFERROR(__xludf.DUMMYFUNCTION("""COMPUTED_VALUE"""),597.8928950000002)</f>
        <v>597.892895</v>
      </c>
      <c r="D23" s="21">
        <v>6868.607105</v>
      </c>
      <c r="E23" s="122">
        <v>46261.0</v>
      </c>
      <c r="F23" s="4">
        <v>6370.0</v>
      </c>
      <c r="J23" s="4" t="s">
        <v>1222</v>
      </c>
    </row>
    <row r="24">
      <c r="A24" s="135">
        <f>IFERROR(__xludf.DUMMYFUNCTION("""COMPUTED_VALUE"""),46256.943496018524)</f>
        <v>46256.9435</v>
      </c>
      <c r="B24" s="197">
        <f>IFERROR(__xludf.DUMMYFUNCTION("""COMPUTED_VALUE"""),1535.0)</f>
        <v>1535</v>
      </c>
      <c r="C24" s="21">
        <f>IFERROR(__xludf.DUMMYFUNCTION("""COMPUTED_VALUE"""),289.83396)</f>
        <v>289.83396</v>
      </c>
      <c r="D24" s="21">
        <v>1245.16604</v>
      </c>
      <c r="E24" s="122">
        <v>46261.0</v>
      </c>
      <c r="F24" s="4">
        <v>690.0</v>
      </c>
    </row>
    <row r="25">
      <c r="A25" s="135">
        <f>IFERROR(__xludf.DUMMYFUNCTION("""COMPUTED_VALUE"""),46256.944102361114)</f>
        <v>46256.9441</v>
      </c>
      <c r="B25" s="197">
        <f>IFERROR(__xludf.DUMMYFUNCTION("""COMPUTED_VALUE"""),170.0)</f>
        <v>170</v>
      </c>
      <c r="C25" s="21">
        <f>IFERROR(__xludf.DUMMYFUNCTION("""COMPUTED_VALUE"""),32.19)</f>
        <v>32.19</v>
      </c>
      <c r="D25" s="21">
        <v>137.81</v>
      </c>
      <c r="E25" s="122">
        <v>46263.0</v>
      </c>
      <c r="F25" s="4">
        <v>1100.0</v>
      </c>
      <c r="J25" s="4" t="s">
        <v>1481</v>
      </c>
    </row>
    <row r="26">
      <c r="A26" s="135">
        <f>IFERROR(__xludf.DUMMYFUNCTION("""COMPUTED_VALUE"""),46261.835714687506)</f>
        <v>46261.83571</v>
      </c>
      <c r="B26" s="197">
        <f>IFERROR(__xludf.DUMMYFUNCTION("""COMPUTED_VALUE"""),854.0)</f>
        <v>854</v>
      </c>
      <c r="C26" s="21">
        <f>IFERROR(__xludf.DUMMYFUNCTION("""COMPUTED_VALUE"""),161.0781)</f>
        <v>161.0781</v>
      </c>
      <c r="D26" s="21">
        <v>692.9219</v>
      </c>
      <c r="E26" s="122">
        <v>46268.0</v>
      </c>
      <c r="F26" s="4">
        <v>487.0</v>
      </c>
      <c r="G26" s="4">
        <v>752500.0</v>
      </c>
    </row>
    <row r="27">
      <c r="A27" s="135">
        <f>IFERROR(__xludf.DUMMYFUNCTION("""COMPUTED_VALUE"""),46263.83928075231)</f>
        <v>46263.83928</v>
      </c>
      <c r="B27" s="197">
        <f>IFERROR(__xludf.DUMMYFUNCTION("""COMPUTED_VALUE"""),4010.0)</f>
        <v>4010</v>
      </c>
      <c r="C27" s="21">
        <f>IFERROR(__xludf.DUMMYFUNCTION("""COMPUTED_VALUE"""),424.07350999999994)</f>
        <v>424.07351</v>
      </c>
      <c r="D27" s="21">
        <v>3585.92649</v>
      </c>
      <c r="E27" s="122">
        <v>46269.0</v>
      </c>
      <c r="F27" s="4">
        <v>2500.0</v>
      </c>
      <c r="J27" s="4" t="s">
        <v>1482</v>
      </c>
    </row>
    <row r="28">
      <c r="A28" s="135">
        <f>IFERROR(__xludf.DUMMYFUNCTION("""COMPUTED_VALUE"""),46275.52091565972)</f>
        <v>46275.52092</v>
      </c>
      <c r="B28" s="197">
        <f>IFERROR(__xludf.DUMMYFUNCTION("""COMPUTED_VALUE"""),2421.0)</f>
        <v>2421</v>
      </c>
      <c r="C28" s="21">
        <f>IFERROR(__xludf.DUMMYFUNCTION("""COMPUTED_VALUE"""),370.406845)</f>
        <v>370.406845</v>
      </c>
      <c r="D28" s="21">
        <v>2050.593155</v>
      </c>
      <c r="E28" s="203">
        <v>46277.55812642361</v>
      </c>
      <c r="F28" s="205">
        <v>2200.0</v>
      </c>
      <c r="K28" s="4" t="s">
        <v>1403</v>
      </c>
    </row>
    <row r="29">
      <c r="A29" s="135">
        <f>IFERROR(__xludf.DUMMYFUNCTION("""COMPUTED_VALUE"""),46277.50937497685)</f>
        <v>46277.50937</v>
      </c>
      <c r="B29" s="197">
        <f>IFERROR(__xludf.DUMMYFUNCTION("""COMPUTED_VALUE"""),1781.0)</f>
        <v>1781</v>
      </c>
      <c r="C29" s="21">
        <f>IFERROR(__xludf.DUMMYFUNCTION("""COMPUTED_VALUE"""),208.17358291855209)</f>
        <v>208.1735829</v>
      </c>
      <c r="D29" s="21">
        <v>1572.826417081448</v>
      </c>
      <c r="E29" s="122">
        <v>46280.0</v>
      </c>
      <c r="F29" s="4">
        <v>400.0</v>
      </c>
      <c r="G29" s="4">
        <v>622000.0</v>
      </c>
    </row>
    <row r="30">
      <c r="A30" s="135">
        <f>IFERROR(__xludf.DUMMYFUNCTION("""COMPUTED_VALUE"""),46287.893129386575)</f>
        <v>46287.89313</v>
      </c>
      <c r="B30" s="197">
        <f>IFERROR(__xludf.DUMMYFUNCTION("""COMPUTED_VALUE"""),1412.0)</f>
        <v>1412</v>
      </c>
      <c r="C30" s="21">
        <f>IFERROR(__xludf.DUMMYFUNCTION("""COMPUTED_VALUE"""),151.41088387722002)</f>
        <v>151.4108839</v>
      </c>
      <c r="D30" s="21">
        <v>1260.58911612278</v>
      </c>
      <c r="E30" s="122">
        <v>46282.0</v>
      </c>
      <c r="F30" s="4">
        <v>240.0</v>
      </c>
      <c r="G30" s="4">
        <v>483000.0</v>
      </c>
    </row>
    <row r="31">
      <c r="D31" s="21" t="s">
        <v>733</v>
      </c>
      <c r="E31" s="122">
        <v>46287.0</v>
      </c>
      <c r="F31" s="4">
        <v>1235.0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1501</v>
      </c>
    </row>
    <row r="2">
      <c r="A2" s="21" t="str">
        <f>IFERROR(__xludf.DUMMYFUNCTION("QUERY(Pedidos!A2:E1000, ""SELECT A, D, (E/0) WHERE lower(B) CONTAINS 'alto vuelo'"", 0)"),"")</f>
        <v/>
      </c>
      <c r="B2" s="17" t="str">
        <f>IFERROR(__xludf.DUMMYFUNCTION("""COMPUTED_VALUE"""),"")</f>
        <v/>
      </c>
      <c r="C2" s="17" t="str">
        <f>IFERROR(__xludf.DUMMYFUNCTION("""COMPUTED_VALUE"""),"quotient(0())")</f>
        <v>quotient(0())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IFERROR(__xludf.DUMMYFUNCTION("""COMPUTED_VALUE"""),46136.969090590275)</f>
        <v>46136.96909</v>
      </c>
      <c r="B3" s="197">
        <f>IFERROR(__xludf.DUMMYFUNCTION("""COMPUTED_VALUE"""),707.0)</f>
        <v>707</v>
      </c>
      <c r="C3" s="21"/>
      <c r="D3" s="21">
        <v>707.0</v>
      </c>
      <c r="E3" s="122">
        <v>46147.0</v>
      </c>
      <c r="F3" s="4">
        <v>161.0</v>
      </c>
      <c r="G3" s="21">
        <f>H3/F3</f>
        <v>1406.21118</v>
      </c>
      <c r="H3" s="4">
        <v>226400.0</v>
      </c>
    </row>
    <row r="4">
      <c r="A4" s="135">
        <f>IFERROR(__xludf.DUMMYFUNCTION("""COMPUTED_VALUE"""),46161.95204901621)</f>
        <v>46161.95205</v>
      </c>
      <c r="B4" s="197">
        <f>IFERROR(__xludf.DUMMYFUNCTION("""COMPUTED_VALUE"""),400.0)</f>
        <v>400</v>
      </c>
      <c r="C4" s="21"/>
      <c r="D4" s="21">
        <v>400.0</v>
      </c>
      <c r="E4" s="122">
        <v>46163.0</v>
      </c>
      <c r="F4" s="4">
        <v>500.0</v>
      </c>
      <c r="H4" s="4">
        <v>700000.0</v>
      </c>
      <c r="I4" s="4" t="s">
        <v>1478</v>
      </c>
    </row>
    <row r="5">
      <c r="A5" s="135">
        <f>IFERROR(__xludf.DUMMYFUNCTION("""COMPUTED_VALUE"""),46163.68672037037)</f>
        <v>46163.68672</v>
      </c>
      <c r="B5" s="197">
        <f>IFERROR(__xludf.DUMMYFUNCTION("""COMPUTED_VALUE"""),740.0)</f>
        <v>740</v>
      </c>
      <c r="C5" s="21"/>
      <c r="D5" s="21">
        <v>740.0</v>
      </c>
      <c r="E5" s="122">
        <v>46238.0</v>
      </c>
      <c r="F5" s="4">
        <v>510.0</v>
      </c>
      <c r="H5" s="4">
        <v>785000.0</v>
      </c>
    </row>
    <row r="6">
      <c r="A6" s="135">
        <f>IFERROR(__xludf.DUMMYFUNCTION("""COMPUTED_VALUE"""),46238.51557577546)</f>
        <v>46238.51558</v>
      </c>
      <c r="B6" s="197">
        <f>IFERROR(__xludf.DUMMYFUNCTION("""COMPUTED_VALUE"""),595.0)</f>
        <v>595</v>
      </c>
      <c r="C6" s="21"/>
      <c r="D6" s="21">
        <v>595.0</v>
      </c>
    </row>
    <row r="7">
      <c r="A7" s="135">
        <f>IFERROR(__xludf.DUMMYFUNCTION("""COMPUTED_VALUE"""),46238.51717708333)</f>
        <v>46238.51718</v>
      </c>
      <c r="B7" s="197">
        <f>IFERROR(__xludf.DUMMYFUNCTION("""COMPUTED_VALUE"""),200.0)</f>
        <v>200</v>
      </c>
      <c r="C7" s="21"/>
      <c r="D7" s="21">
        <v>200.0</v>
      </c>
    </row>
    <row r="8">
      <c r="A8" s="135">
        <f>IFERROR(__xludf.DUMMYFUNCTION("""COMPUTED_VALUE"""),46238.540006979165)</f>
        <v>46238.54001</v>
      </c>
      <c r="B8" s="197">
        <f>IFERROR(__xludf.DUMMYFUNCTION("""COMPUTED_VALUE"""),30.0)</f>
        <v>30</v>
      </c>
      <c r="C8" s="21"/>
      <c r="D8" s="21">
        <v>30.0</v>
      </c>
    </row>
    <row r="9">
      <c r="D9" s="21" t="s">
        <v>733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SUM(F2:F1000)</f>
        <v>1426.872171</v>
      </c>
      <c r="J1" s="4" t="s">
        <v>1472</v>
      </c>
    </row>
    <row r="2">
      <c r="A2" s="21" t="str">
        <f>IFERROR(__xludf.DUMMYFUNCTION("QUERY(Pedidos!A2:E1000, ""SELECT A, D, (E/2) WHERE lower(B) CONTAINS 'lt grow'"",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30">
        <v>46023.0</v>
      </c>
      <c r="F2" s="9">
        <v>0.0</v>
      </c>
    </row>
    <row r="3">
      <c r="A3" s="135">
        <f>IFERROR(__xludf.DUMMYFUNCTION("""COMPUTED_VALUE"""),46275.502366388886)</f>
        <v>46275.50237</v>
      </c>
      <c r="B3" s="197">
        <f>IFERROR(__xludf.DUMMYFUNCTION("""COMPUTED_VALUE"""),5714.0)</f>
        <v>5714</v>
      </c>
      <c r="C3" s="21">
        <f>IFERROR(__xludf.DUMMYFUNCTION("""COMPUTED_VALUE"""),817.12782863151)</f>
        <v>817.1278286</v>
      </c>
      <c r="D3" s="21">
        <v>4896.87217136849</v>
      </c>
      <c r="E3" s="122">
        <v>46275.0</v>
      </c>
      <c r="F3" s="4">
        <v>1300.0</v>
      </c>
      <c r="H3" s="4" t="s">
        <v>1222</v>
      </c>
    </row>
    <row r="4">
      <c r="D4" s="21" t="s">
        <v>733</v>
      </c>
      <c r="E4" s="122">
        <v>46275.0</v>
      </c>
      <c r="F4" s="4">
        <v>700.0</v>
      </c>
      <c r="H4" s="4">
        <v>1000000.0</v>
      </c>
      <c r="I4" s="4" t="s">
        <v>1483</v>
      </c>
    </row>
    <row r="5">
      <c r="D5" s="21" t="s">
        <v>733</v>
      </c>
      <c r="F5" s="4">
        <v>252.0</v>
      </c>
      <c r="G5" s="4">
        <v>390000.0</v>
      </c>
    </row>
    <row r="6">
      <c r="D6" s="21" t="s">
        <v>733</v>
      </c>
      <c r="F6" s="4">
        <v>129.0</v>
      </c>
      <c r="G6" s="4">
        <v>200000.0</v>
      </c>
    </row>
    <row r="7">
      <c r="D7" s="21" t="s">
        <v>733</v>
      </c>
      <c r="F7" s="4">
        <v>668.0</v>
      </c>
      <c r="G7" s="4">
        <v>1027200.0</v>
      </c>
    </row>
    <row r="8">
      <c r="D8" s="21" t="s">
        <v>733</v>
      </c>
      <c r="F8" s="4">
        <v>227.0</v>
      </c>
      <c r="G8" s="4">
        <v>350000.0</v>
      </c>
    </row>
    <row r="9">
      <c r="D9" s="21" t="s">
        <v>733</v>
      </c>
      <c r="E9" s="122">
        <v>46282.0</v>
      </c>
      <c r="F9" s="4">
        <v>194.0</v>
      </c>
      <c r="G9" s="4">
        <v>300000.0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</cols>
  <sheetData>
    <row r="1">
      <c r="A1" s="14" t="s">
        <v>1150</v>
      </c>
      <c r="B1" s="9" t="s">
        <v>1171</v>
      </c>
      <c r="C1" s="9" t="s">
        <v>1172</v>
      </c>
      <c r="D1" s="9" t="s">
        <v>1173</v>
      </c>
      <c r="E1" s="14" t="s">
        <v>1174</v>
      </c>
      <c r="F1" s="9" t="s">
        <v>1175</v>
      </c>
      <c r="G1" s="14" t="s">
        <v>1157</v>
      </c>
      <c r="H1" s="14" t="s">
        <v>1176</v>
      </c>
      <c r="I1" s="61">
        <f>SUM(D2:D1000) - SUM(F3:F1000)</f>
        <v>10095.39087</v>
      </c>
    </row>
    <row r="2">
      <c r="A2" s="21" t="str">
        <f>IFERROR(__xludf.DUMMYFUNCTION("QUERY(Pedidos!A2:E1000, ""SELECT A, D, (E/2) WHERE lower(B) CONTAINS 'conex distribuidora'"", 0)"),"")</f>
        <v/>
      </c>
      <c r="B2" s="17" t="str">
        <f>IFERROR(__xludf.DUMMYFUNCTION("""COMPUTED_VALUE"""),"")</f>
        <v/>
      </c>
      <c r="C2" s="17" t="str">
        <f>IFERROR(__xludf.DUMMYFUNCTION("""COMPUTED_VALUE"""),"quotient(2())")</f>
        <v>quotient(2())</v>
      </c>
      <c r="D2" s="17" t="str">
        <f t="array" ref="D2:D1000">IF(B2:B1000="", "", B2:B1000 - C2:C1000)</f>
        <v/>
      </c>
      <c r="E2" s="122">
        <v>46023.0</v>
      </c>
      <c r="F2" s="4">
        <v>0.0</v>
      </c>
    </row>
    <row r="3">
      <c r="A3" s="135">
        <f>IFERROR(__xludf.DUMMYFUNCTION("""COMPUTED_VALUE"""),46280.87146792824)</f>
        <v>46280.87147</v>
      </c>
      <c r="B3" s="197">
        <f>IFERROR(__xludf.DUMMYFUNCTION("""COMPUTED_VALUE"""),11058.0)</f>
        <v>11058</v>
      </c>
      <c r="C3" s="21">
        <f>IFERROR(__xludf.DUMMYFUNCTION("""COMPUTED_VALUE"""),962.609135)</f>
        <v>962.609135</v>
      </c>
      <c r="D3" s="21">
        <v>10095.390865</v>
      </c>
    </row>
    <row r="4">
      <c r="D4" s="21" t="s">
        <v>733</v>
      </c>
    </row>
    <row r="5">
      <c r="D5" s="21" t="s">
        <v>733</v>
      </c>
    </row>
    <row r="6">
      <c r="D6" s="21" t="s">
        <v>733</v>
      </c>
    </row>
    <row r="7">
      <c r="D7" s="21" t="s">
        <v>733</v>
      </c>
    </row>
    <row r="8">
      <c r="D8" s="21" t="s">
        <v>733</v>
      </c>
    </row>
    <row r="9">
      <c r="D9" s="21" t="s">
        <v>733</v>
      </c>
    </row>
    <row r="10">
      <c r="D10" s="21" t="s">
        <v>733</v>
      </c>
    </row>
    <row r="11">
      <c r="D11" s="21" t="s">
        <v>733</v>
      </c>
    </row>
    <row r="12">
      <c r="D12" s="21" t="s">
        <v>733</v>
      </c>
    </row>
    <row r="13">
      <c r="D13" s="21" t="s">
        <v>733</v>
      </c>
    </row>
    <row r="14">
      <c r="D14" s="21" t="s">
        <v>733</v>
      </c>
    </row>
    <row r="15">
      <c r="D15" s="21" t="s">
        <v>733</v>
      </c>
    </row>
    <row r="16">
      <c r="D16" s="21" t="s">
        <v>733</v>
      </c>
    </row>
    <row r="17">
      <c r="D17" s="21" t="s">
        <v>733</v>
      </c>
    </row>
    <row r="18">
      <c r="D18" s="21" t="s">
        <v>733</v>
      </c>
    </row>
    <row r="19">
      <c r="D19" s="21" t="s">
        <v>733</v>
      </c>
    </row>
    <row r="20">
      <c r="D20" s="21" t="s">
        <v>733</v>
      </c>
    </row>
    <row r="21">
      <c r="D21" s="21" t="s">
        <v>733</v>
      </c>
    </row>
    <row r="22">
      <c r="D22" s="21" t="s">
        <v>733</v>
      </c>
    </row>
    <row r="23">
      <c r="D23" s="21" t="s">
        <v>733</v>
      </c>
    </row>
    <row r="24">
      <c r="D24" s="21" t="s">
        <v>733</v>
      </c>
    </row>
    <row r="25">
      <c r="D25" s="21" t="s">
        <v>733</v>
      </c>
    </row>
    <row r="26">
      <c r="D26" s="21" t="s">
        <v>733</v>
      </c>
    </row>
    <row r="27">
      <c r="D27" s="21" t="s">
        <v>733</v>
      </c>
    </row>
    <row r="28">
      <c r="D28" s="21" t="s">
        <v>733</v>
      </c>
    </row>
    <row r="29">
      <c r="D29" s="21" t="s">
        <v>733</v>
      </c>
    </row>
    <row r="30">
      <c r="D30" s="21" t="s">
        <v>733</v>
      </c>
    </row>
    <row r="31">
      <c r="D31" s="21" t="s">
        <v>733</v>
      </c>
    </row>
    <row r="32">
      <c r="D32" s="21" t="s">
        <v>733</v>
      </c>
    </row>
    <row r="33">
      <c r="D33" s="21" t="s">
        <v>733</v>
      </c>
    </row>
    <row r="34">
      <c r="D34" s="21" t="s">
        <v>733</v>
      </c>
    </row>
    <row r="35">
      <c r="D35" s="21" t="s">
        <v>733</v>
      </c>
    </row>
    <row r="36">
      <c r="D36" s="21" t="s">
        <v>733</v>
      </c>
    </row>
    <row r="37">
      <c r="D37" s="21" t="s">
        <v>733</v>
      </c>
    </row>
    <row r="38">
      <c r="D38" s="21" t="s">
        <v>733</v>
      </c>
    </row>
    <row r="39">
      <c r="D39" s="21" t="s">
        <v>733</v>
      </c>
    </row>
    <row r="40">
      <c r="D40" s="21" t="s">
        <v>733</v>
      </c>
    </row>
    <row r="41">
      <c r="D41" s="21" t="s">
        <v>733</v>
      </c>
    </row>
    <row r="42">
      <c r="D42" s="21" t="s">
        <v>733</v>
      </c>
    </row>
    <row r="43">
      <c r="D43" s="21" t="s">
        <v>733</v>
      </c>
    </row>
    <row r="44">
      <c r="D44" s="21" t="s">
        <v>733</v>
      </c>
    </row>
    <row r="45">
      <c r="D45" s="21" t="s">
        <v>733</v>
      </c>
    </row>
    <row r="46">
      <c r="D46" s="21" t="s">
        <v>733</v>
      </c>
    </row>
    <row r="47">
      <c r="D47" s="21" t="s">
        <v>733</v>
      </c>
    </row>
    <row r="48">
      <c r="D48" s="21" t="s">
        <v>733</v>
      </c>
    </row>
    <row r="49">
      <c r="D49" s="21" t="s">
        <v>733</v>
      </c>
    </row>
    <row r="50">
      <c r="D50" s="21" t="s">
        <v>733</v>
      </c>
    </row>
    <row r="51">
      <c r="D51" s="21" t="s">
        <v>733</v>
      </c>
    </row>
    <row r="52">
      <c r="D52" s="21" t="s">
        <v>733</v>
      </c>
    </row>
    <row r="53">
      <c r="D53" s="21" t="s">
        <v>733</v>
      </c>
    </row>
    <row r="54">
      <c r="D54" s="21" t="s">
        <v>733</v>
      </c>
    </row>
    <row r="55">
      <c r="D55" s="21" t="s">
        <v>733</v>
      </c>
    </row>
    <row r="56">
      <c r="D56" s="21" t="s">
        <v>733</v>
      </c>
    </row>
    <row r="57">
      <c r="D57" s="21" t="s">
        <v>733</v>
      </c>
    </row>
    <row r="58">
      <c r="D58" s="21" t="s">
        <v>733</v>
      </c>
    </row>
    <row r="59">
      <c r="D59" s="21" t="s">
        <v>733</v>
      </c>
    </row>
    <row r="60">
      <c r="D60" s="21" t="s">
        <v>733</v>
      </c>
    </row>
    <row r="61">
      <c r="D61" s="21" t="s">
        <v>733</v>
      </c>
    </row>
    <row r="62">
      <c r="D62" s="21" t="s">
        <v>733</v>
      </c>
    </row>
    <row r="63">
      <c r="D63" s="21" t="s">
        <v>733</v>
      </c>
    </row>
    <row r="64">
      <c r="D64" s="21" t="s">
        <v>733</v>
      </c>
    </row>
    <row r="65">
      <c r="D65" s="21" t="s">
        <v>733</v>
      </c>
    </row>
    <row r="66">
      <c r="D66" s="21" t="s">
        <v>733</v>
      </c>
    </row>
    <row r="67">
      <c r="D67" s="21" t="s">
        <v>733</v>
      </c>
    </row>
    <row r="68">
      <c r="D68" s="21" t="s">
        <v>733</v>
      </c>
    </row>
    <row r="69">
      <c r="D69" s="21" t="s">
        <v>733</v>
      </c>
    </row>
    <row r="70">
      <c r="D70" s="21" t="s">
        <v>733</v>
      </c>
    </row>
    <row r="71">
      <c r="D71" s="21" t="s">
        <v>733</v>
      </c>
    </row>
    <row r="72">
      <c r="D72" s="21" t="s">
        <v>733</v>
      </c>
    </row>
    <row r="73">
      <c r="D73" s="21" t="s">
        <v>733</v>
      </c>
    </row>
    <row r="74">
      <c r="D74" s="21" t="s">
        <v>733</v>
      </c>
    </row>
    <row r="75">
      <c r="D75" s="21" t="s">
        <v>733</v>
      </c>
    </row>
    <row r="76">
      <c r="D76" s="21" t="s">
        <v>733</v>
      </c>
    </row>
    <row r="77">
      <c r="D77" s="21" t="s">
        <v>733</v>
      </c>
    </row>
    <row r="78">
      <c r="D78" s="21" t="s">
        <v>733</v>
      </c>
    </row>
    <row r="79">
      <c r="D79" s="21" t="s">
        <v>733</v>
      </c>
    </row>
    <row r="80">
      <c r="D80" s="21" t="s">
        <v>733</v>
      </c>
    </row>
    <row r="81">
      <c r="D81" s="21" t="s">
        <v>733</v>
      </c>
    </row>
    <row r="82">
      <c r="D82" s="21" t="s">
        <v>733</v>
      </c>
    </row>
    <row r="83">
      <c r="D83" s="21" t="s">
        <v>733</v>
      </c>
    </row>
    <row r="84">
      <c r="D84" s="21" t="s">
        <v>733</v>
      </c>
    </row>
    <row r="85">
      <c r="D85" s="21" t="s">
        <v>733</v>
      </c>
    </row>
    <row r="86">
      <c r="D86" s="21" t="s">
        <v>733</v>
      </c>
    </row>
    <row r="87">
      <c r="D87" s="21" t="s">
        <v>733</v>
      </c>
    </row>
    <row r="88">
      <c r="D88" s="21" t="s">
        <v>733</v>
      </c>
    </row>
    <row r="89">
      <c r="D89" s="21" t="s">
        <v>733</v>
      </c>
    </row>
    <row r="90">
      <c r="D90" s="21" t="s">
        <v>733</v>
      </c>
    </row>
    <row r="91">
      <c r="D91" s="21" t="s">
        <v>733</v>
      </c>
    </row>
    <row r="92">
      <c r="D92" s="21" t="s">
        <v>733</v>
      </c>
    </row>
    <row r="93">
      <c r="D93" s="21" t="s">
        <v>733</v>
      </c>
    </row>
    <row r="94">
      <c r="D94" s="21" t="s">
        <v>733</v>
      </c>
    </row>
    <row r="95">
      <c r="D95" s="21" t="s">
        <v>733</v>
      </c>
    </row>
    <row r="96">
      <c r="D96" s="21" t="s">
        <v>733</v>
      </c>
    </row>
    <row r="97">
      <c r="D97" s="21" t="s">
        <v>733</v>
      </c>
    </row>
    <row r="98">
      <c r="D98" s="21" t="s">
        <v>733</v>
      </c>
    </row>
    <row r="99">
      <c r="D99" s="21" t="s">
        <v>733</v>
      </c>
    </row>
    <row r="100">
      <c r="D100" s="21" t="s">
        <v>733</v>
      </c>
    </row>
    <row r="101">
      <c r="D101" s="21" t="s">
        <v>733</v>
      </c>
    </row>
    <row r="102">
      <c r="D102" s="21" t="s">
        <v>733</v>
      </c>
    </row>
    <row r="103">
      <c r="D103" s="21" t="s">
        <v>733</v>
      </c>
    </row>
    <row r="104">
      <c r="D104" s="21" t="s">
        <v>733</v>
      </c>
    </row>
    <row r="105">
      <c r="D105" s="21" t="s">
        <v>733</v>
      </c>
    </row>
    <row r="106">
      <c r="D106" s="21" t="s">
        <v>733</v>
      </c>
    </row>
    <row r="107">
      <c r="D107" s="21" t="s">
        <v>733</v>
      </c>
    </row>
    <row r="108">
      <c r="D108" s="21" t="s">
        <v>733</v>
      </c>
    </row>
    <row r="109">
      <c r="D109" s="21" t="s">
        <v>733</v>
      </c>
    </row>
    <row r="110">
      <c r="D110" s="21" t="s">
        <v>733</v>
      </c>
    </row>
    <row r="111">
      <c r="D111" s="21" t="s">
        <v>733</v>
      </c>
    </row>
    <row r="112">
      <c r="D112" s="21" t="s">
        <v>733</v>
      </c>
    </row>
    <row r="113">
      <c r="D113" s="21" t="s">
        <v>733</v>
      </c>
    </row>
    <row r="114">
      <c r="D114" s="21" t="s">
        <v>733</v>
      </c>
    </row>
    <row r="115">
      <c r="D115" s="21" t="s">
        <v>733</v>
      </c>
    </row>
    <row r="116">
      <c r="D116" s="21" t="s">
        <v>733</v>
      </c>
    </row>
    <row r="117">
      <c r="D117" s="21" t="s">
        <v>733</v>
      </c>
    </row>
    <row r="118">
      <c r="D118" s="21" t="s">
        <v>733</v>
      </c>
    </row>
    <row r="119">
      <c r="D119" s="21" t="s">
        <v>733</v>
      </c>
    </row>
    <row r="120">
      <c r="D120" s="21" t="s">
        <v>733</v>
      </c>
    </row>
    <row r="121">
      <c r="D121" s="21" t="s">
        <v>733</v>
      </c>
    </row>
    <row r="122">
      <c r="D122" s="21" t="s">
        <v>733</v>
      </c>
    </row>
    <row r="123">
      <c r="D123" s="21" t="s">
        <v>733</v>
      </c>
    </row>
    <row r="124">
      <c r="D124" s="21" t="s">
        <v>733</v>
      </c>
    </row>
    <row r="125">
      <c r="D125" s="21" t="s">
        <v>733</v>
      </c>
    </row>
    <row r="126">
      <c r="D126" s="21" t="s">
        <v>733</v>
      </c>
    </row>
    <row r="127">
      <c r="D127" s="21" t="s">
        <v>733</v>
      </c>
    </row>
    <row r="128">
      <c r="D128" s="21" t="s">
        <v>733</v>
      </c>
    </row>
    <row r="129">
      <c r="D129" s="21" t="s">
        <v>733</v>
      </c>
    </row>
    <row r="130">
      <c r="D130" s="21" t="s">
        <v>733</v>
      </c>
    </row>
    <row r="131">
      <c r="D131" s="21" t="s">
        <v>733</v>
      </c>
    </row>
    <row r="132">
      <c r="D132" s="21" t="s">
        <v>733</v>
      </c>
    </row>
    <row r="133">
      <c r="D133" s="21" t="s">
        <v>733</v>
      </c>
    </row>
    <row r="134">
      <c r="D134" s="21" t="s">
        <v>733</v>
      </c>
    </row>
    <row r="135">
      <c r="D135" s="21" t="s">
        <v>733</v>
      </c>
    </row>
    <row r="136">
      <c r="D136" s="21" t="s">
        <v>733</v>
      </c>
    </row>
    <row r="137">
      <c r="D137" s="21" t="s">
        <v>733</v>
      </c>
    </row>
    <row r="138">
      <c r="D138" s="21" t="s">
        <v>733</v>
      </c>
    </row>
    <row r="139">
      <c r="D139" s="21" t="s">
        <v>733</v>
      </c>
    </row>
    <row r="140">
      <c r="D140" s="21" t="s">
        <v>733</v>
      </c>
    </row>
    <row r="141">
      <c r="D141" s="21" t="s">
        <v>733</v>
      </c>
    </row>
    <row r="142">
      <c r="D142" s="21" t="s">
        <v>733</v>
      </c>
    </row>
    <row r="143">
      <c r="D143" s="21" t="s">
        <v>733</v>
      </c>
    </row>
    <row r="144">
      <c r="D144" s="21" t="s">
        <v>733</v>
      </c>
    </row>
    <row r="145">
      <c r="D145" s="21" t="s">
        <v>733</v>
      </c>
    </row>
    <row r="146">
      <c r="D146" s="21" t="s">
        <v>733</v>
      </c>
    </row>
    <row r="147">
      <c r="D147" s="21" t="s">
        <v>733</v>
      </c>
    </row>
    <row r="148">
      <c r="D148" s="21" t="s">
        <v>733</v>
      </c>
    </row>
    <row r="149">
      <c r="D149" s="21" t="s">
        <v>733</v>
      </c>
    </row>
    <row r="150">
      <c r="D150" s="21" t="s">
        <v>733</v>
      </c>
    </row>
    <row r="151">
      <c r="D151" s="21" t="s">
        <v>733</v>
      </c>
    </row>
    <row r="152">
      <c r="D152" s="21" t="s">
        <v>733</v>
      </c>
    </row>
    <row r="153">
      <c r="D153" s="21" t="s">
        <v>733</v>
      </c>
    </row>
    <row r="154">
      <c r="D154" s="21" t="s">
        <v>733</v>
      </c>
    </row>
    <row r="155">
      <c r="D155" s="21" t="s">
        <v>733</v>
      </c>
    </row>
    <row r="156">
      <c r="D156" s="21" t="s">
        <v>733</v>
      </c>
    </row>
    <row r="157">
      <c r="D157" s="21" t="s">
        <v>733</v>
      </c>
    </row>
    <row r="158">
      <c r="D158" s="21" t="s">
        <v>733</v>
      </c>
    </row>
    <row r="159">
      <c r="D159" s="21" t="s">
        <v>733</v>
      </c>
    </row>
    <row r="160">
      <c r="D160" s="21" t="s">
        <v>733</v>
      </c>
    </row>
    <row r="161">
      <c r="D161" s="21" t="s">
        <v>733</v>
      </c>
    </row>
    <row r="162">
      <c r="D162" s="21" t="s">
        <v>733</v>
      </c>
    </row>
    <row r="163">
      <c r="D163" s="21" t="s">
        <v>733</v>
      </c>
    </row>
    <row r="164">
      <c r="D164" s="21" t="s">
        <v>733</v>
      </c>
    </row>
    <row r="165">
      <c r="D165" s="21" t="s">
        <v>733</v>
      </c>
    </row>
    <row r="166">
      <c r="D166" s="21" t="s">
        <v>733</v>
      </c>
    </row>
    <row r="167">
      <c r="D167" s="21" t="s">
        <v>733</v>
      </c>
    </row>
    <row r="168">
      <c r="D168" s="21" t="s">
        <v>733</v>
      </c>
    </row>
    <row r="169">
      <c r="D169" s="21" t="s">
        <v>733</v>
      </c>
    </row>
    <row r="170">
      <c r="D170" s="21" t="s">
        <v>733</v>
      </c>
    </row>
    <row r="171">
      <c r="D171" s="21" t="s">
        <v>733</v>
      </c>
    </row>
    <row r="172">
      <c r="D172" s="21" t="s">
        <v>733</v>
      </c>
    </row>
    <row r="173">
      <c r="D173" s="21" t="s">
        <v>733</v>
      </c>
    </row>
    <row r="174">
      <c r="D174" s="21" t="s">
        <v>733</v>
      </c>
    </row>
    <row r="175">
      <c r="D175" s="21" t="s">
        <v>733</v>
      </c>
    </row>
    <row r="176">
      <c r="D176" s="21" t="s">
        <v>733</v>
      </c>
    </row>
    <row r="177">
      <c r="D177" s="21" t="s">
        <v>733</v>
      </c>
    </row>
    <row r="178">
      <c r="D178" s="21" t="s">
        <v>733</v>
      </c>
    </row>
    <row r="179">
      <c r="D179" s="21" t="s">
        <v>733</v>
      </c>
    </row>
    <row r="180">
      <c r="D180" s="21" t="s">
        <v>733</v>
      </c>
    </row>
    <row r="181">
      <c r="D181" s="21" t="s">
        <v>733</v>
      </c>
    </row>
    <row r="182">
      <c r="D182" s="21" t="s">
        <v>733</v>
      </c>
    </row>
    <row r="183">
      <c r="D183" s="21" t="s">
        <v>733</v>
      </c>
    </row>
    <row r="184">
      <c r="D184" s="21" t="s">
        <v>733</v>
      </c>
    </row>
    <row r="185">
      <c r="D185" s="21" t="s">
        <v>733</v>
      </c>
    </row>
    <row r="186">
      <c r="D186" s="21" t="s">
        <v>733</v>
      </c>
    </row>
    <row r="187">
      <c r="D187" s="21" t="s">
        <v>733</v>
      </c>
    </row>
    <row r="188">
      <c r="D188" s="21" t="s">
        <v>733</v>
      </c>
    </row>
    <row r="189">
      <c r="D189" s="21" t="s">
        <v>733</v>
      </c>
    </row>
    <row r="190">
      <c r="D190" s="21" t="s">
        <v>733</v>
      </c>
    </row>
    <row r="191">
      <c r="D191" s="21" t="s">
        <v>733</v>
      </c>
    </row>
    <row r="192">
      <c r="D192" s="21" t="s">
        <v>733</v>
      </c>
    </row>
    <row r="193">
      <c r="D193" s="21" t="s">
        <v>733</v>
      </c>
    </row>
    <row r="194">
      <c r="D194" s="21" t="s">
        <v>733</v>
      </c>
    </row>
    <row r="195">
      <c r="D195" s="21" t="s">
        <v>733</v>
      </c>
    </row>
    <row r="196">
      <c r="D196" s="21" t="s">
        <v>733</v>
      </c>
    </row>
    <row r="197">
      <c r="D197" s="21" t="s">
        <v>733</v>
      </c>
    </row>
    <row r="198">
      <c r="D198" s="21" t="s">
        <v>733</v>
      </c>
    </row>
    <row r="199">
      <c r="D199" s="21" t="s">
        <v>733</v>
      </c>
    </row>
    <row r="200">
      <c r="D200" s="21" t="s">
        <v>733</v>
      </c>
    </row>
    <row r="201">
      <c r="D201" s="21" t="s">
        <v>733</v>
      </c>
    </row>
    <row r="202">
      <c r="D202" s="21" t="s">
        <v>733</v>
      </c>
    </row>
    <row r="203">
      <c r="D203" s="21" t="s">
        <v>733</v>
      </c>
    </row>
    <row r="204">
      <c r="D204" s="21" t="s">
        <v>733</v>
      </c>
    </row>
    <row r="205">
      <c r="D205" s="21" t="s">
        <v>733</v>
      </c>
    </row>
    <row r="206">
      <c r="D206" s="21" t="s">
        <v>733</v>
      </c>
    </row>
    <row r="207">
      <c r="D207" s="21" t="s">
        <v>733</v>
      </c>
    </row>
    <row r="208">
      <c r="D208" s="21" t="s">
        <v>733</v>
      </c>
    </row>
    <row r="209">
      <c r="D209" s="21" t="s">
        <v>733</v>
      </c>
    </row>
    <row r="210">
      <c r="D210" s="21" t="s">
        <v>733</v>
      </c>
    </row>
    <row r="211">
      <c r="D211" s="21" t="s">
        <v>733</v>
      </c>
    </row>
    <row r="212">
      <c r="D212" s="21" t="s">
        <v>733</v>
      </c>
    </row>
    <row r="213">
      <c r="D213" s="21" t="s">
        <v>733</v>
      </c>
    </row>
    <row r="214">
      <c r="D214" s="21" t="s">
        <v>733</v>
      </c>
    </row>
    <row r="215">
      <c r="D215" s="21" t="s">
        <v>733</v>
      </c>
    </row>
    <row r="216">
      <c r="D216" s="21" t="s">
        <v>733</v>
      </c>
    </row>
    <row r="217">
      <c r="D217" s="21" t="s">
        <v>733</v>
      </c>
    </row>
    <row r="218">
      <c r="D218" s="21" t="s">
        <v>733</v>
      </c>
    </row>
    <row r="219">
      <c r="D219" s="21" t="s">
        <v>733</v>
      </c>
    </row>
    <row r="220">
      <c r="D220" s="21" t="s">
        <v>733</v>
      </c>
    </row>
    <row r="221">
      <c r="D221" s="21" t="s">
        <v>733</v>
      </c>
    </row>
    <row r="222">
      <c r="D222" s="21" t="s">
        <v>733</v>
      </c>
    </row>
    <row r="223">
      <c r="D223" s="21" t="s">
        <v>733</v>
      </c>
    </row>
    <row r="224">
      <c r="D224" s="21" t="s">
        <v>733</v>
      </c>
    </row>
    <row r="225">
      <c r="D225" s="21" t="s">
        <v>733</v>
      </c>
    </row>
    <row r="226">
      <c r="D226" s="21" t="s">
        <v>733</v>
      </c>
    </row>
    <row r="227">
      <c r="D227" s="21" t="s">
        <v>733</v>
      </c>
    </row>
    <row r="228">
      <c r="D228" s="21" t="s">
        <v>733</v>
      </c>
    </row>
    <row r="229">
      <c r="D229" s="21" t="s">
        <v>733</v>
      </c>
    </row>
    <row r="230">
      <c r="D230" s="21" t="s">
        <v>733</v>
      </c>
    </row>
    <row r="231">
      <c r="D231" s="21" t="s">
        <v>733</v>
      </c>
    </row>
    <row r="232">
      <c r="D232" s="21" t="s">
        <v>733</v>
      </c>
    </row>
    <row r="233">
      <c r="D233" s="21" t="s">
        <v>733</v>
      </c>
    </row>
    <row r="234">
      <c r="D234" s="21" t="s">
        <v>733</v>
      </c>
    </row>
    <row r="235">
      <c r="D235" s="21" t="s">
        <v>733</v>
      </c>
    </row>
    <row r="236">
      <c r="D236" s="21" t="s">
        <v>733</v>
      </c>
    </row>
    <row r="237">
      <c r="D237" s="21" t="s">
        <v>733</v>
      </c>
    </row>
    <row r="238">
      <c r="D238" s="21" t="s">
        <v>733</v>
      </c>
    </row>
    <row r="239">
      <c r="D239" s="21" t="s">
        <v>733</v>
      </c>
    </row>
    <row r="240">
      <c r="D240" s="21" t="s">
        <v>733</v>
      </c>
    </row>
    <row r="241">
      <c r="D241" s="21" t="s">
        <v>733</v>
      </c>
    </row>
    <row r="242">
      <c r="D242" s="21" t="s">
        <v>733</v>
      </c>
    </row>
    <row r="243">
      <c r="D243" s="21" t="s">
        <v>733</v>
      </c>
    </row>
    <row r="244">
      <c r="D244" s="21" t="s">
        <v>733</v>
      </c>
    </row>
    <row r="245">
      <c r="D245" s="21" t="s">
        <v>733</v>
      </c>
    </row>
    <row r="246">
      <c r="D246" s="21" t="s">
        <v>733</v>
      </c>
    </row>
    <row r="247">
      <c r="D247" s="21" t="s">
        <v>733</v>
      </c>
    </row>
    <row r="248">
      <c r="D248" s="21" t="s">
        <v>733</v>
      </c>
    </row>
    <row r="249">
      <c r="D249" s="21" t="s">
        <v>733</v>
      </c>
    </row>
    <row r="250">
      <c r="D250" s="21" t="s">
        <v>733</v>
      </c>
    </row>
    <row r="251">
      <c r="D251" s="21" t="s">
        <v>733</v>
      </c>
    </row>
    <row r="252">
      <c r="D252" s="21" t="s">
        <v>733</v>
      </c>
    </row>
    <row r="253">
      <c r="D253" s="21" t="s">
        <v>733</v>
      </c>
    </row>
    <row r="254">
      <c r="D254" s="21" t="s">
        <v>733</v>
      </c>
    </row>
    <row r="255">
      <c r="D255" s="21" t="s">
        <v>733</v>
      </c>
    </row>
    <row r="256">
      <c r="D256" s="21" t="s">
        <v>733</v>
      </c>
    </row>
    <row r="257">
      <c r="D257" s="21" t="s">
        <v>733</v>
      </c>
    </row>
    <row r="258">
      <c r="D258" s="21" t="s">
        <v>733</v>
      </c>
    </row>
    <row r="259">
      <c r="D259" s="21" t="s">
        <v>733</v>
      </c>
    </row>
    <row r="260">
      <c r="D260" s="21" t="s">
        <v>733</v>
      </c>
    </row>
    <row r="261">
      <c r="D261" s="21" t="s">
        <v>733</v>
      </c>
    </row>
    <row r="262">
      <c r="D262" s="21" t="s">
        <v>733</v>
      </c>
    </row>
    <row r="263">
      <c r="D263" s="21" t="s">
        <v>733</v>
      </c>
    </row>
    <row r="264">
      <c r="D264" s="21" t="s">
        <v>733</v>
      </c>
    </row>
    <row r="265">
      <c r="D265" s="21" t="s">
        <v>733</v>
      </c>
    </row>
    <row r="266">
      <c r="D266" s="21" t="s">
        <v>733</v>
      </c>
    </row>
    <row r="267">
      <c r="D267" s="21" t="s">
        <v>733</v>
      </c>
    </row>
    <row r="268">
      <c r="D268" s="21" t="s">
        <v>733</v>
      </c>
    </row>
    <row r="269">
      <c r="D269" s="21" t="s">
        <v>733</v>
      </c>
    </row>
    <row r="270">
      <c r="D270" s="21" t="s">
        <v>733</v>
      </c>
    </row>
    <row r="271">
      <c r="D271" s="21" t="s">
        <v>733</v>
      </c>
    </row>
    <row r="272">
      <c r="D272" s="21" t="s">
        <v>733</v>
      </c>
    </row>
    <row r="273">
      <c r="D273" s="21" t="s">
        <v>733</v>
      </c>
    </row>
    <row r="274">
      <c r="D274" s="21" t="s">
        <v>733</v>
      </c>
    </row>
    <row r="275">
      <c r="D275" s="21" t="s">
        <v>733</v>
      </c>
    </row>
    <row r="276">
      <c r="D276" s="21" t="s">
        <v>733</v>
      </c>
    </row>
    <row r="277">
      <c r="D277" s="21" t="s">
        <v>733</v>
      </c>
    </row>
    <row r="278">
      <c r="D278" s="21" t="s">
        <v>733</v>
      </c>
    </row>
    <row r="279">
      <c r="D279" s="21" t="s">
        <v>733</v>
      </c>
    </row>
    <row r="280">
      <c r="D280" s="21" t="s">
        <v>733</v>
      </c>
    </row>
    <row r="281">
      <c r="D281" s="21" t="s">
        <v>733</v>
      </c>
    </row>
    <row r="282">
      <c r="D282" s="21" t="s">
        <v>733</v>
      </c>
    </row>
    <row r="283">
      <c r="D283" s="21" t="s">
        <v>733</v>
      </c>
    </row>
    <row r="284">
      <c r="D284" s="21" t="s">
        <v>733</v>
      </c>
    </row>
    <row r="285">
      <c r="D285" s="21" t="s">
        <v>733</v>
      </c>
    </row>
    <row r="286">
      <c r="D286" s="21" t="s">
        <v>733</v>
      </c>
    </row>
    <row r="287">
      <c r="D287" s="21" t="s">
        <v>733</v>
      </c>
    </row>
    <row r="288">
      <c r="D288" s="21" t="s">
        <v>733</v>
      </c>
    </row>
    <row r="289">
      <c r="D289" s="21" t="s">
        <v>733</v>
      </c>
    </row>
    <row r="290">
      <c r="D290" s="21" t="s">
        <v>733</v>
      </c>
    </row>
    <row r="291">
      <c r="D291" s="21" t="s">
        <v>733</v>
      </c>
    </row>
    <row r="292">
      <c r="D292" s="21" t="s">
        <v>733</v>
      </c>
    </row>
    <row r="293">
      <c r="D293" s="21" t="s">
        <v>733</v>
      </c>
    </row>
    <row r="294">
      <c r="D294" s="21" t="s">
        <v>733</v>
      </c>
    </row>
    <row r="295">
      <c r="D295" s="21" t="s">
        <v>733</v>
      </c>
    </row>
    <row r="296">
      <c r="D296" s="21" t="s">
        <v>733</v>
      </c>
    </row>
    <row r="297">
      <c r="D297" s="21" t="s">
        <v>733</v>
      </c>
    </row>
    <row r="298">
      <c r="D298" s="21" t="s">
        <v>733</v>
      </c>
    </row>
    <row r="299">
      <c r="D299" s="21" t="s">
        <v>733</v>
      </c>
    </row>
    <row r="300">
      <c r="D300" s="21" t="s">
        <v>733</v>
      </c>
    </row>
    <row r="301">
      <c r="D301" s="21" t="s">
        <v>733</v>
      </c>
    </row>
    <row r="302">
      <c r="D302" s="21" t="s">
        <v>733</v>
      </c>
    </row>
    <row r="303">
      <c r="D303" s="21" t="s">
        <v>733</v>
      </c>
    </row>
    <row r="304">
      <c r="D304" s="21" t="s">
        <v>733</v>
      </c>
    </row>
    <row r="305">
      <c r="D305" s="21" t="s">
        <v>733</v>
      </c>
    </row>
    <row r="306">
      <c r="D306" s="21" t="s">
        <v>733</v>
      </c>
    </row>
    <row r="307">
      <c r="D307" s="21" t="s">
        <v>733</v>
      </c>
    </row>
    <row r="308">
      <c r="D308" s="21" t="s">
        <v>733</v>
      </c>
    </row>
    <row r="309">
      <c r="D309" s="21" t="s">
        <v>733</v>
      </c>
    </row>
    <row r="310">
      <c r="D310" s="21" t="s">
        <v>733</v>
      </c>
    </row>
    <row r="311">
      <c r="D311" s="21" t="s">
        <v>733</v>
      </c>
    </row>
    <row r="312">
      <c r="D312" s="21" t="s">
        <v>733</v>
      </c>
    </row>
    <row r="313">
      <c r="D313" s="21" t="s">
        <v>733</v>
      </c>
    </row>
    <row r="314">
      <c r="D314" s="21" t="s">
        <v>733</v>
      </c>
    </row>
    <row r="315">
      <c r="D315" s="21" t="s">
        <v>733</v>
      </c>
    </row>
    <row r="316">
      <c r="D316" s="21" t="s">
        <v>733</v>
      </c>
    </row>
    <row r="317">
      <c r="D317" s="21" t="s">
        <v>733</v>
      </c>
    </row>
    <row r="318">
      <c r="D318" s="21" t="s">
        <v>733</v>
      </c>
    </row>
    <row r="319">
      <c r="D319" s="21" t="s">
        <v>733</v>
      </c>
    </row>
    <row r="320">
      <c r="D320" s="21" t="s">
        <v>733</v>
      </c>
    </row>
    <row r="321">
      <c r="D321" s="21" t="s">
        <v>733</v>
      </c>
    </row>
    <row r="322">
      <c r="D322" s="21" t="s">
        <v>733</v>
      </c>
    </row>
    <row r="323">
      <c r="D323" s="21" t="s">
        <v>733</v>
      </c>
    </row>
    <row r="324">
      <c r="D324" s="21" t="s">
        <v>733</v>
      </c>
    </row>
    <row r="325">
      <c r="D325" s="21" t="s">
        <v>733</v>
      </c>
    </row>
    <row r="326">
      <c r="D326" s="21" t="s">
        <v>733</v>
      </c>
    </row>
    <row r="327">
      <c r="D327" s="21" t="s">
        <v>733</v>
      </c>
    </row>
    <row r="328">
      <c r="D328" s="21" t="s">
        <v>733</v>
      </c>
    </row>
    <row r="329">
      <c r="D329" s="21" t="s">
        <v>733</v>
      </c>
    </row>
    <row r="330">
      <c r="D330" s="21" t="s">
        <v>733</v>
      </c>
    </row>
    <row r="331">
      <c r="D331" s="21" t="s">
        <v>733</v>
      </c>
    </row>
    <row r="332">
      <c r="D332" s="21" t="s">
        <v>733</v>
      </c>
    </row>
    <row r="333">
      <c r="D333" s="21" t="s">
        <v>733</v>
      </c>
    </row>
    <row r="334">
      <c r="D334" s="21" t="s">
        <v>733</v>
      </c>
    </row>
    <row r="335">
      <c r="D335" s="21" t="s">
        <v>733</v>
      </c>
    </row>
    <row r="336">
      <c r="D336" s="21" t="s">
        <v>733</v>
      </c>
    </row>
    <row r="337">
      <c r="D337" s="21" t="s">
        <v>733</v>
      </c>
    </row>
    <row r="338">
      <c r="D338" s="21" t="s">
        <v>733</v>
      </c>
    </row>
    <row r="339">
      <c r="D339" s="21" t="s">
        <v>733</v>
      </c>
    </row>
    <row r="340">
      <c r="D340" s="21" t="s">
        <v>733</v>
      </c>
    </row>
    <row r="341">
      <c r="D341" s="21" t="s">
        <v>733</v>
      </c>
    </row>
    <row r="342">
      <c r="D342" s="21" t="s">
        <v>733</v>
      </c>
    </row>
    <row r="343">
      <c r="D343" s="21" t="s">
        <v>733</v>
      </c>
    </row>
    <row r="344">
      <c r="D344" s="21" t="s">
        <v>733</v>
      </c>
    </row>
    <row r="345">
      <c r="D345" s="21" t="s">
        <v>733</v>
      </c>
    </row>
    <row r="346">
      <c r="D346" s="21" t="s">
        <v>733</v>
      </c>
    </row>
    <row r="347">
      <c r="D347" s="21" t="s">
        <v>733</v>
      </c>
    </row>
    <row r="348">
      <c r="D348" s="21" t="s">
        <v>733</v>
      </c>
    </row>
    <row r="349">
      <c r="D349" s="21" t="s">
        <v>733</v>
      </c>
    </row>
    <row r="350">
      <c r="D350" s="21" t="s">
        <v>733</v>
      </c>
    </row>
    <row r="351">
      <c r="D351" s="21" t="s">
        <v>733</v>
      </c>
    </row>
    <row r="352">
      <c r="D352" s="21" t="s">
        <v>733</v>
      </c>
    </row>
    <row r="353">
      <c r="D353" s="21" t="s">
        <v>733</v>
      </c>
    </row>
    <row r="354">
      <c r="D354" s="21" t="s">
        <v>733</v>
      </c>
    </row>
    <row r="355">
      <c r="D355" s="21" t="s">
        <v>733</v>
      </c>
    </row>
    <row r="356">
      <c r="D356" s="21" t="s">
        <v>733</v>
      </c>
    </row>
    <row r="357">
      <c r="D357" s="21" t="s">
        <v>733</v>
      </c>
    </row>
    <row r="358">
      <c r="D358" s="21" t="s">
        <v>733</v>
      </c>
    </row>
    <row r="359">
      <c r="D359" s="21" t="s">
        <v>733</v>
      </c>
    </row>
    <row r="360">
      <c r="D360" s="21" t="s">
        <v>733</v>
      </c>
    </row>
    <row r="361">
      <c r="D361" s="21" t="s">
        <v>733</v>
      </c>
    </row>
    <row r="362">
      <c r="D362" s="21" t="s">
        <v>733</v>
      </c>
    </row>
    <row r="363">
      <c r="D363" s="21" t="s">
        <v>733</v>
      </c>
    </row>
    <row r="364">
      <c r="D364" s="21" t="s">
        <v>733</v>
      </c>
    </row>
    <row r="365">
      <c r="D365" s="21" t="s">
        <v>733</v>
      </c>
    </row>
    <row r="366">
      <c r="D366" s="21" t="s">
        <v>733</v>
      </c>
    </row>
    <row r="367">
      <c r="D367" s="21" t="s">
        <v>733</v>
      </c>
    </row>
    <row r="368">
      <c r="D368" s="21" t="s">
        <v>733</v>
      </c>
    </row>
    <row r="369">
      <c r="D369" s="21" t="s">
        <v>733</v>
      </c>
    </row>
    <row r="370">
      <c r="D370" s="21" t="s">
        <v>733</v>
      </c>
    </row>
    <row r="371">
      <c r="D371" s="21" t="s">
        <v>733</v>
      </c>
    </row>
    <row r="372">
      <c r="D372" s="21" t="s">
        <v>733</v>
      </c>
    </row>
    <row r="373">
      <c r="D373" s="21" t="s">
        <v>733</v>
      </c>
    </row>
    <row r="374">
      <c r="D374" s="21" t="s">
        <v>733</v>
      </c>
    </row>
    <row r="375">
      <c r="D375" s="21" t="s">
        <v>733</v>
      </c>
    </row>
    <row r="376">
      <c r="D376" s="21" t="s">
        <v>733</v>
      </c>
    </row>
    <row r="377">
      <c r="D377" s="21" t="s">
        <v>733</v>
      </c>
    </row>
    <row r="378">
      <c r="D378" s="21" t="s">
        <v>733</v>
      </c>
    </row>
    <row r="379">
      <c r="D379" s="21" t="s">
        <v>733</v>
      </c>
    </row>
    <row r="380">
      <c r="D380" s="21" t="s">
        <v>733</v>
      </c>
    </row>
    <row r="381">
      <c r="D381" s="21" t="s">
        <v>733</v>
      </c>
    </row>
    <row r="382">
      <c r="D382" s="21" t="s">
        <v>733</v>
      </c>
    </row>
    <row r="383">
      <c r="D383" s="21" t="s">
        <v>733</v>
      </c>
    </row>
    <row r="384">
      <c r="D384" s="21" t="s">
        <v>733</v>
      </c>
    </row>
    <row r="385">
      <c r="D385" s="21" t="s">
        <v>733</v>
      </c>
    </row>
    <row r="386">
      <c r="D386" s="21" t="s">
        <v>733</v>
      </c>
    </row>
    <row r="387">
      <c r="D387" s="21" t="s">
        <v>733</v>
      </c>
    </row>
    <row r="388">
      <c r="D388" s="21" t="s">
        <v>733</v>
      </c>
    </row>
    <row r="389">
      <c r="D389" s="21" t="s">
        <v>733</v>
      </c>
    </row>
    <row r="390">
      <c r="D390" s="21" t="s">
        <v>733</v>
      </c>
    </row>
    <row r="391">
      <c r="D391" s="21" t="s">
        <v>733</v>
      </c>
    </row>
    <row r="392">
      <c r="D392" s="21" t="s">
        <v>733</v>
      </c>
    </row>
    <row r="393">
      <c r="D393" s="21" t="s">
        <v>733</v>
      </c>
    </row>
    <row r="394">
      <c r="D394" s="21" t="s">
        <v>733</v>
      </c>
    </row>
    <row r="395">
      <c r="D395" s="21" t="s">
        <v>733</v>
      </c>
    </row>
    <row r="396">
      <c r="D396" s="21" t="s">
        <v>733</v>
      </c>
    </row>
    <row r="397">
      <c r="D397" s="21" t="s">
        <v>733</v>
      </c>
    </row>
    <row r="398">
      <c r="D398" s="21" t="s">
        <v>733</v>
      </c>
    </row>
    <row r="399">
      <c r="D399" s="21" t="s">
        <v>733</v>
      </c>
    </row>
    <row r="400">
      <c r="D400" s="21" t="s">
        <v>733</v>
      </c>
    </row>
    <row r="401">
      <c r="D401" s="21" t="s">
        <v>733</v>
      </c>
    </row>
    <row r="402">
      <c r="D402" s="21" t="s">
        <v>733</v>
      </c>
    </row>
    <row r="403">
      <c r="D403" s="21" t="s">
        <v>733</v>
      </c>
    </row>
    <row r="404">
      <c r="D404" s="21" t="s">
        <v>733</v>
      </c>
    </row>
    <row r="405">
      <c r="D405" s="21" t="s">
        <v>733</v>
      </c>
    </row>
    <row r="406">
      <c r="D406" s="21" t="s">
        <v>733</v>
      </c>
    </row>
    <row r="407">
      <c r="D407" s="21" t="s">
        <v>733</v>
      </c>
    </row>
    <row r="408">
      <c r="D408" s="21" t="s">
        <v>733</v>
      </c>
    </row>
    <row r="409">
      <c r="D409" s="21" t="s">
        <v>733</v>
      </c>
    </row>
    <row r="410">
      <c r="D410" s="21" t="s">
        <v>733</v>
      </c>
    </row>
    <row r="411">
      <c r="D411" s="21" t="s">
        <v>733</v>
      </c>
    </row>
    <row r="412">
      <c r="D412" s="21" t="s">
        <v>733</v>
      </c>
    </row>
    <row r="413">
      <c r="D413" s="21" t="s">
        <v>733</v>
      </c>
    </row>
    <row r="414">
      <c r="D414" s="21" t="s">
        <v>733</v>
      </c>
    </row>
    <row r="415">
      <c r="D415" s="21" t="s">
        <v>733</v>
      </c>
    </row>
    <row r="416">
      <c r="D416" s="21" t="s">
        <v>733</v>
      </c>
    </row>
    <row r="417">
      <c r="D417" s="21" t="s">
        <v>733</v>
      </c>
    </row>
    <row r="418">
      <c r="D418" s="21" t="s">
        <v>733</v>
      </c>
    </row>
    <row r="419">
      <c r="D419" s="21" t="s">
        <v>733</v>
      </c>
    </row>
    <row r="420">
      <c r="D420" s="21" t="s">
        <v>733</v>
      </c>
    </row>
    <row r="421">
      <c r="D421" s="21" t="s">
        <v>733</v>
      </c>
    </row>
    <row r="422">
      <c r="D422" s="21" t="s">
        <v>733</v>
      </c>
    </row>
    <row r="423">
      <c r="D423" s="21" t="s">
        <v>733</v>
      </c>
    </row>
    <row r="424">
      <c r="D424" s="21" t="s">
        <v>733</v>
      </c>
    </row>
    <row r="425">
      <c r="D425" s="21" t="s">
        <v>733</v>
      </c>
    </row>
    <row r="426">
      <c r="D426" s="21" t="s">
        <v>733</v>
      </c>
    </row>
    <row r="427">
      <c r="D427" s="21" t="s">
        <v>733</v>
      </c>
    </row>
    <row r="428">
      <c r="D428" s="21" t="s">
        <v>733</v>
      </c>
    </row>
    <row r="429">
      <c r="D429" s="21" t="s">
        <v>733</v>
      </c>
    </row>
    <row r="430">
      <c r="D430" s="21" t="s">
        <v>733</v>
      </c>
    </row>
    <row r="431">
      <c r="D431" s="21" t="s">
        <v>733</v>
      </c>
    </row>
    <row r="432">
      <c r="D432" s="21" t="s">
        <v>733</v>
      </c>
    </row>
    <row r="433">
      <c r="D433" s="21" t="s">
        <v>733</v>
      </c>
    </row>
    <row r="434">
      <c r="D434" s="21" t="s">
        <v>733</v>
      </c>
    </row>
    <row r="435">
      <c r="D435" s="21" t="s">
        <v>733</v>
      </c>
    </row>
    <row r="436">
      <c r="D436" s="21" t="s">
        <v>733</v>
      </c>
    </row>
    <row r="437">
      <c r="D437" s="21" t="s">
        <v>733</v>
      </c>
    </row>
    <row r="438">
      <c r="D438" s="21" t="s">
        <v>733</v>
      </c>
    </row>
    <row r="439">
      <c r="D439" s="21" t="s">
        <v>733</v>
      </c>
    </row>
    <row r="440">
      <c r="D440" s="21" t="s">
        <v>733</v>
      </c>
    </row>
    <row r="441">
      <c r="D441" s="21" t="s">
        <v>733</v>
      </c>
    </row>
    <row r="442">
      <c r="D442" s="21" t="s">
        <v>733</v>
      </c>
    </row>
    <row r="443">
      <c r="D443" s="21" t="s">
        <v>733</v>
      </c>
    </row>
    <row r="444">
      <c r="D444" s="21" t="s">
        <v>733</v>
      </c>
    </row>
    <row r="445">
      <c r="D445" s="21" t="s">
        <v>733</v>
      </c>
    </row>
    <row r="446">
      <c r="D446" s="21" t="s">
        <v>733</v>
      </c>
    </row>
    <row r="447">
      <c r="D447" s="21" t="s">
        <v>733</v>
      </c>
    </row>
    <row r="448">
      <c r="D448" s="21" t="s">
        <v>733</v>
      </c>
    </row>
    <row r="449">
      <c r="D449" s="21" t="s">
        <v>733</v>
      </c>
    </row>
    <row r="450">
      <c r="D450" s="21" t="s">
        <v>733</v>
      </c>
    </row>
    <row r="451">
      <c r="D451" s="21" t="s">
        <v>733</v>
      </c>
    </row>
    <row r="452">
      <c r="D452" s="21" t="s">
        <v>733</v>
      </c>
    </row>
    <row r="453">
      <c r="D453" s="21" t="s">
        <v>733</v>
      </c>
    </row>
    <row r="454">
      <c r="D454" s="21" t="s">
        <v>733</v>
      </c>
    </row>
    <row r="455">
      <c r="D455" s="21" t="s">
        <v>733</v>
      </c>
    </row>
    <row r="456">
      <c r="D456" s="21" t="s">
        <v>733</v>
      </c>
    </row>
    <row r="457">
      <c r="D457" s="21" t="s">
        <v>733</v>
      </c>
    </row>
    <row r="458">
      <c r="D458" s="21" t="s">
        <v>733</v>
      </c>
    </row>
    <row r="459">
      <c r="D459" s="21" t="s">
        <v>733</v>
      </c>
    </row>
    <row r="460">
      <c r="D460" s="21" t="s">
        <v>733</v>
      </c>
    </row>
    <row r="461">
      <c r="D461" s="21" t="s">
        <v>733</v>
      </c>
    </row>
    <row r="462">
      <c r="D462" s="21" t="s">
        <v>733</v>
      </c>
    </row>
    <row r="463">
      <c r="D463" s="21" t="s">
        <v>733</v>
      </c>
    </row>
    <row r="464">
      <c r="D464" s="21" t="s">
        <v>733</v>
      </c>
    </row>
    <row r="465">
      <c r="D465" s="21" t="s">
        <v>733</v>
      </c>
    </row>
    <row r="466">
      <c r="D466" s="21" t="s">
        <v>733</v>
      </c>
    </row>
    <row r="467">
      <c r="D467" s="21" t="s">
        <v>733</v>
      </c>
    </row>
    <row r="468">
      <c r="D468" s="21" t="s">
        <v>733</v>
      </c>
    </row>
    <row r="469">
      <c r="D469" s="21" t="s">
        <v>733</v>
      </c>
    </row>
    <row r="470">
      <c r="D470" s="21" t="s">
        <v>733</v>
      </c>
    </row>
    <row r="471">
      <c r="D471" s="21" t="s">
        <v>733</v>
      </c>
    </row>
    <row r="472">
      <c r="D472" s="21" t="s">
        <v>733</v>
      </c>
    </row>
    <row r="473">
      <c r="D473" s="21" t="s">
        <v>733</v>
      </c>
    </row>
    <row r="474">
      <c r="D474" s="21" t="s">
        <v>733</v>
      </c>
    </row>
    <row r="475">
      <c r="D475" s="21" t="s">
        <v>733</v>
      </c>
    </row>
    <row r="476">
      <c r="D476" s="21" t="s">
        <v>733</v>
      </c>
    </row>
    <row r="477">
      <c r="D477" s="21" t="s">
        <v>733</v>
      </c>
    </row>
    <row r="478">
      <c r="D478" s="21" t="s">
        <v>733</v>
      </c>
    </row>
    <row r="479">
      <c r="D479" s="21" t="s">
        <v>733</v>
      </c>
    </row>
    <row r="480">
      <c r="D480" s="21" t="s">
        <v>733</v>
      </c>
    </row>
    <row r="481">
      <c r="D481" s="21" t="s">
        <v>733</v>
      </c>
    </row>
    <row r="482">
      <c r="D482" s="21" t="s">
        <v>733</v>
      </c>
    </row>
    <row r="483">
      <c r="D483" s="21" t="s">
        <v>733</v>
      </c>
    </row>
    <row r="484">
      <c r="D484" s="21" t="s">
        <v>733</v>
      </c>
    </row>
    <row r="485">
      <c r="D485" s="21" t="s">
        <v>733</v>
      </c>
    </row>
    <row r="486">
      <c r="D486" s="21" t="s">
        <v>733</v>
      </c>
    </row>
    <row r="487">
      <c r="D487" s="21" t="s">
        <v>733</v>
      </c>
    </row>
    <row r="488">
      <c r="D488" s="21" t="s">
        <v>733</v>
      </c>
    </row>
    <row r="489">
      <c r="D489" s="21" t="s">
        <v>733</v>
      </c>
    </row>
    <row r="490">
      <c r="D490" s="21" t="s">
        <v>733</v>
      </c>
    </row>
    <row r="491">
      <c r="D491" s="21" t="s">
        <v>733</v>
      </c>
    </row>
    <row r="492">
      <c r="D492" s="21" t="s">
        <v>733</v>
      </c>
    </row>
    <row r="493">
      <c r="D493" s="21" t="s">
        <v>733</v>
      </c>
    </row>
    <row r="494">
      <c r="D494" s="21" t="s">
        <v>733</v>
      </c>
    </row>
    <row r="495">
      <c r="D495" s="21" t="s">
        <v>733</v>
      </c>
    </row>
    <row r="496">
      <c r="D496" s="21" t="s">
        <v>733</v>
      </c>
    </row>
    <row r="497">
      <c r="D497" s="21" t="s">
        <v>733</v>
      </c>
    </row>
    <row r="498">
      <c r="D498" s="21" t="s">
        <v>733</v>
      </c>
    </row>
    <row r="499">
      <c r="D499" s="21" t="s">
        <v>733</v>
      </c>
    </row>
    <row r="500">
      <c r="D500" s="21" t="s">
        <v>733</v>
      </c>
    </row>
    <row r="501">
      <c r="D501" s="21" t="s">
        <v>733</v>
      </c>
    </row>
    <row r="502">
      <c r="D502" s="21" t="s">
        <v>733</v>
      </c>
    </row>
    <row r="503">
      <c r="D503" s="21" t="s">
        <v>733</v>
      </c>
    </row>
    <row r="504">
      <c r="D504" s="21" t="s">
        <v>733</v>
      </c>
    </row>
    <row r="505">
      <c r="D505" s="21" t="s">
        <v>733</v>
      </c>
    </row>
    <row r="506">
      <c r="D506" s="21" t="s">
        <v>733</v>
      </c>
    </row>
    <row r="507">
      <c r="D507" s="21" t="s">
        <v>733</v>
      </c>
    </row>
    <row r="508">
      <c r="D508" s="21" t="s">
        <v>733</v>
      </c>
    </row>
    <row r="509">
      <c r="D509" s="21" t="s">
        <v>733</v>
      </c>
    </row>
    <row r="510">
      <c r="D510" s="21" t="s">
        <v>733</v>
      </c>
    </row>
    <row r="511">
      <c r="D511" s="21" t="s">
        <v>733</v>
      </c>
    </row>
    <row r="512">
      <c r="D512" s="21" t="s">
        <v>733</v>
      </c>
    </row>
    <row r="513">
      <c r="D513" s="21" t="s">
        <v>733</v>
      </c>
    </row>
    <row r="514">
      <c r="D514" s="21" t="s">
        <v>733</v>
      </c>
    </row>
    <row r="515">
      <c r="D515" s="21" t="s">
        <v>733</v>
      </c>
    </row>
    <row r="516">
      <c r="D516" s="21" t="s">
        <v>733</v>
      </c>
    </row>
    <row r="517">
      <c r="D517" s="21" t="s">
        <v>733</v>
      </c>
    </row>
    <row r="518">
      <c r="D518" s="21" t="s">
        <v>733</v>
      </c>
    </row>
    <row r="519">
      <c r="D519" s="21" t="s">
        <v>733</v>
      </c>
    </row>
    <row r="520">
      <c r="D520" s="21" t="s">
        <v>733</v>
      </c>
    </row>
    <row r="521">
      <c r="D521" s="21" t="s">
        <v>733</v>
      </c>
    </row>
    <row r="522">
      <c r="D522" s="21" t="s">
        <v>733</v>
      </c>
    </row>
    <row r="523">
      <c r="D523" s="21" t="s">
        <v>733</v>
      </c>
    </row>
    <row r="524">
      <c r="D524" s="21" t="s">
        <v>733</v>
      </c>
    </row>
    <row r="525">
      <c r="D525" s="21" t="s">
        <v>733</v>
      </c>
    </row>
    <row r="526">
      <c r="D526" s="21" t="s">
        <v>733</v>
      </c>
    </row>
    <row r="527">
      <c r="D527" s="21" t="s">
        <v>733</v>
      </c>
    </row>
    <row r="528">
      <c r="D528" s="21" t="s">
        <v>733</v>
      </c>
    </row>
    <row r="529">
      <c r="D529" s="21" t="s">
        <v>733</v>
      </c>
    </row>
    <row r="530">
      <c r="D530" s="21" t="s">
        <v>733</v>
      </c>
    </row>
    <row r="531">
      <c r="D531" s="21" t="s">
        <v>733</v>
      </c>
    </row>
    <row r="532">
      <c r="D532" s="21" t="s">
        <v>733</v>
      </c>
    </row>
    <row r="533">
      <c r="D533" s="21" t="s">
        <v>733</v>
      </c>
    </row>
    <row r="534">
      <c r="D534" s="21" t="s">
        <v>733</v>
      </c>
    </row>
    <row r="535">
      <c r="D535" s="21" t="s">
        <v>733</v>
      </c>
    </row>
    <row r="536">
      <c r="D536" s="21" t="s">
        <v>733</v>
      </c>
    </row>
    <row r="537">
      <c r="D537" s="21" t="s">
        <v>733</v>
      </c>
    </row>
    <row r="538">
      <c r="D538" s="21" t="s">
        <v>733</v>
      </c>
    </row>
    <row r="539">
      <c r="D539" s="21" t="s">
        <v>733</v>
      </c>
    </row>
    <row r="540">
      <c r="D540" s="21" t="s">
        <v>733</v>
      </c>
    </row>
    <row r="541">
      <c r="D541" s="21" t="s">
        <v>733</v>
      </c>
    </row>
    <row r="542">
      <c r="D542" s="21" t="s">
        <v>733</v>
      </c>
    </row>
    <row r="543">
      <c r="D543" s="21" t="s">
        <v>733</v>
      </c>
    </row>
    <row r="544">
      <c r="D544" s="21" t="s">
        <v>733</v>
      </c>
    </row>
    <row r="545">
      <c r="D545" s="21" t="s">
        <v>733</v>
      </c>
    </row>
    <row r="546">
      <c r="D546" s="21" t="s">
        <v>733</v>
      </c>
    </row>
    <row r="547">
      <c r="D547" s="21" t="s">
        <v>733</v>
      </c>
    </row>
    <row r="548">
      <c r="D548" s="21" t="s">
        <v>733</v>
      </c>
    </row>
    <row r="549">
      <c r="D549" s="21" t="s">
        <v>733</v>
      </c>
    </row>
    <row r="550">
      <c r="D550" s="21" t="s">
        <v>733</v>
      </c>
    </row>
    <row r="551">
      <c r="D551" s="21" t="s">
        <v>733</v>
      </c>
    </row>
    <row r="552">
      <c r="D552" s="21" t="s">
        <v>733</v>
      </c>
    </row>
    <row r="553">
      <c r="D553" s="21" t="s">
        <v>733</v>
      </c>
    </row>
    <row r="554">
      <c r="D554" s="21" t="s">
        <v>733</v>
      </c>
    </row>
    <row r="555">
      <c r="D555" s="21" t="s">
        <v>733</v>
      </c>
    </row>
    <row r="556">
      <c r="D556" s="21" t="s">
        <v>733</v>
      </c>
    </row>
    <row r="557">
      <c r="D557" s="21" t="s">
        <v>733</v>
      </c>
    </row>
    <row r="558">
      <c r="D558" s="21" t="s">
        <v>733</v>
      </c>
    </row>
    <row r="559">
      <c r="D559" s="21" t="s">
        <v>733</v>
      </c>
    </row>
    <row r="560">
      <c r="D560" s="21" t="s">
        <v>733</v>
      </c>
    </row>
    <row r="561">
      <c r="D561" s="21" t="s">
        <v>733</v>
      </c>
    </row>
    <row r="562">
      <c r="D562" s="21" t="s">
        <v>733</v>
      </c>
    </row>
    <row r="563">
      <c r="D563" s="21" t="s">
        <v>733</v>
      </c>
    </row>
    <row r="564">
      <c r="D564" s="21" t="s">
        <v>733</v>
      </c>
    </row>
    <row r="565">
      <c r="D565" s="21" t="s">
        <v>733</v>
      </c>
    </row>
    <row r="566">
      <c r="D566" s="21" t="s">
        <v>733</v>
      </c>
    </row>
    <row r="567">
      <c r="D567" s="21" t="s">
        <v>733</v>
      </c>
    </row>
    <row r="568">
      <c r="D568" s="21" t="s">
        <v>733</v>
      </c>
    </row>
    <row r="569">
      <c r="D569" s="21" t="s">
        <v>733</v>
      </c>
    </row>
    <row r="570">
      <c r="D570" s="21" t="s">
        <v>733</v>
      </c>
    </row>
    <row r="571">
      <c r="D571" s="21" t="s">
        <v>733</v>
      </c>
    </row>
    <row r="572">
      <c r="D572" s="21" t="s">
        <v>733</v>
      </c>
    </row>
    <row r="573">
      <c r="D573" s="21" t="s">
        <v>733</v>
      </c>
    </row>
    <row r="574">
      <c r="D574" s="21" t="s">
        <v>733</v>
      </c>
    </row>
    <row r="575">
      <c r="D575" s="21" t="s">
        <v>733</v>
      </c>
    </row>
    <row r="576">
      <c r="D576" s="21" t="s">
        <v>733</v>
      </c>
    </row>
    <row r="577">
      <c r="D577" s="21" t="s">
        <v>733</v>
      </c>
    </row>
    <row r="578">
      <c r="D578" s="21" t="s">
        <v>733</v>
      </c>
    </row>
    <row r="579">
      <c r="D579" s="21" t="s">
        <v>733</v>
      </c>
    </row>
    <row r="580">
      <c r="D580" s="21" t="s">
        <v>733</v>
      </c>
    </row>
    <row r="581">
      <c r="D581" s="21" t="s">
        <v>733</v>
      </c>
    </row>
    <row r="582">
      <c r="D582" s="21" t="s">
        <v>733</v>
      </c>
    </row>
    <row r="583">
      <c r="D583" s="21" t="s">
        <v>733</v>
      </c>
    </row>
    <row r="584">
      <c r="D584" s="21" t="s">
        <v>733</v>
      </c>
    </row>
    <row r="585">
      <c r="D585" s="21" t="s">
        <v>733</v>
      </c>
    </row>
    <row r="586">
      <c r="D586" s="21" t="s">
        <v>733</v>
      </c>
    </row>
    <row r="587">
      <c r="D587" s="21" t="s">
        <v>733</v>
      </c>
    </row>
    <row r="588">
      <c r="D588" s="21" t="s">
        <v>733</v>
      </c>
    </row>
    <row r="589">
      <c r="D589" s="21" t="s">
        <v>733</v>
      </c>
    </row>
    <row r="590">
      <c r="D590" s="21" t="s">
        <v>733</v>
      </c>
    </row>
    <row r="591">
      <c r="D591" s="21" t="s">
        <v>733</v>
      </c>
    </row>
    <row r="592">
      <c r="D592" s="21" t="s">
        <v>733</v>
      </c>
    </row>
    <row r="593">
      <c r="D593" s="21" t="s">
        <v>733</v>
      </c>
    </row>
    <row r="594">
      <c r="D594" s="21" t="s">
        <v>733</v>
      </c>
    </row>
    <row r="595">
      <c r="D595" s="21" t="s">
        <v>733</v>
      </c>
    </row>
    <row r="596">
      <c r="D596" s="21" t="s">
        <v>733</v>
      </c>
    </row>
    <row r="597">
      <c r="D597" s="21" t="s">
        <v>733</v>
      </c>
    </row>
    <row r="598">
      <c r="D598" s="21" t="s">
        <v>733</v>
      </c>
    </row>
    <row r="599">
      <c r="D599" s="21" t="s">
        <v>733</v>
      </c>
    </row>
    <row r="600">
      <c r="D600" s="21" t="s">
        <v>733</v>
      </c>
    </row>
    <row r="601">
      <c r="D601" s="21" t="s">
        <v>733</v>
      </c>
    </row>
    <row r="602">
      <c r="D602" s="21" t="s">
        <v>733</v>
      </c>
    </row>
    <row r="603">
      <c r="D603" s="21" t="s">
        <v>733</v>
      </c>
    </row>
    <row r="604">
      <c r="D604" s="21" t="s">
        <v>733</v>
      </c>
    </row>
    <row r="605">
      <c r="D605" s="21" t="s">
        <v>733</v>
      </c>
    </row>
    <row r="606">
      <c r="D606" s="21" t="s">
        <v>733</v>
      </c>
    </row>
    <row r="607">
      <c r="D607" s="21" t="s">
        <v>733</v>
      </c>
    </row>
    <row r="608">
      <c r="D608" s="21" t="s">
        <v>733</v>
      </c>
    </row>
    <row r="609">
      <c r="D609" s="21" t="s">
        <v>733</v>
      </c>
    </row>
    <row r="610">
      <c r="D610" s="21" t="s">
        <v>733</v>
      </c>
    </row>
    <row r="611">
      <c r="D611" s="21" t="s">
        <v>733</v>
      </c>
    </row>
    <row r="612">
      <c r="D612" s="21" t="s">
        <v>733</v>
      </c>
    </row>
    <row r="613">
      <c r="D613" s="21" t="s">
        <v>733</v>
      </c>
    </row>
    <row r="614">
      <c r="D614" s="21" t="s">
        <v>733</v>
      </c>
    </row>
    <row r="615">
      <c r="D615" s="21" t="s">
        <v>733</v>
      </c>
    </row>
    <row r="616">
      <c r="D616" s="21" t="s">
        <v>733</v>
      </c>
    </row>
    <row r="617">
      <c r="D617" s="21" t="s">
        <v>733</v>
      </c>
    </row>
    <row r="618">
      <c r="D618" s="21" t="s">
        <v>733</v>
      </c>
    </row>
    <row r="619">
      <c r="D619" s="21" t="s">
        <v>733</v>
      </c>
    </row>
    <row r="620">
      <c r="D620" s="21" t="s">
        <v>733</v>
      </c>
    </row>
    <row r="621">
      <c r="D621" s="21" t="s">
        <v>733</v>
      </c>
    </row>
    <row r="622">
      <c r="D622" s="21" t="s">
        <v>733</v>
      </c>
    </row>
    <row r="623">
      <c r="D623" s="21" t="s">
        <v>733</v>
      </c>
    </row>
    <row r="624">
      <c r="D624" s="21" t="s">
        <v>733</v>
      </c>
    </row>
    <row r="625">
      <c r="D625" s="21" t="s">
        <v>733</v>
      </c>
    </row>
    <row r="626">
      <c r="D626" s="21" t="s">
        <v>733</v>
      </c>
    </row>
    <row r="627">
      <c r="D627" s="21" t="s">
        <v>733</v>
      </c>
    </row>
    <row r="628">
      <c r="D628" s="21" t="s">
        <v>733</v>
      </c>
    </row>
    <row r="629">
      <c r="D629" s="21" t="s">
        <v>733</v>
      </c>
    </row>
    <row r="630">
      <c r="D630" s="21" t="s">
        <v>733</v>
      </c>
    </row>
    <row r="631">
      <c r="D631" s="21" t="s">
        <v>733</v>
      </c>
    </row>
    <row r="632">
      <c r="D632" s="21" t="s">
        <v>733</v>
      </c>
    </row>
    <row r="633">
      <c r="D633" s="21" t="s">
        <v>733</v>
      </c>
    </row>
    <row r="634">
      <c r="D634" s="21" t="s">
        <v>733</v>
      </c>
    </row>
    <row r="635">
      <c r="D635" s="21" t="s">
        <v>733</v>
      </c>
    </row>
    <row r="636">
      <c r="D636" s="21" t="s">
        <v>733</v>
      </c>
    </row>
    <row r="637">
      <c r="D637" s="21" t="s">
        <v>733</v>
      </c>
    </row>
    <row r="638">
      <c r="D638" s="21" t="s">
        <v>733</v>
      </c>
    </row>
    <row r="639">
      <c r="D639" s="21" t="s">
        <v>733</v>
      </c>
    </row>
    <row r="640">
      <c r="D640" s="21" t="s">
        <v>733</v>
      </c>
    </row>
    <row r="641">
      <c r="D641" s="21" t="s">
        <v>733</v>
      </c>
    </row>
    <row r="642">
      <c r="D642" s="21" t="s">
        <v>733</v>
      </c>
    </row>
    <row r="643">
      <c r="D643" s="21" t="s">
        <v>733</v>
      </c>
    </row>
    <row r="644">
      <c r="D644" s="21" t="s">
        <v>733</v>
      </c>
    </row>
    <row r="645">
      <c r="D645" s="21" t="s">
        <v>733</v>
      </c>
    </row>
    <row r="646">
      <c r="D646" s="21" t="s">
        <v>733</v>
      </c>
    </row>
    <row r="647">
      <c r="D647" s="21" t="s">
        <v>733</v>
      </c>
    </row>
    <row r="648">
      <c r="D648" s="21" t="s">
        <v>733</v>
      </c>
    </row>
    <row r="649">
      <c r="D649" s="21" t="s">
        <v>733</v>
      </c>
    </row>
    <row r="650">
      <c r="D650" s="21" t="s">
        <v>733</v>
      </c>
    </row>
    <row r="651">
      <c r="D651" s="21" t="s">
        <v>733</v>
      </c>
    </row>
    <row r="652">
      <c r="D652" s="21" t="s">
        <v>733</v>
      </c>
    </row>
    <row r="653">
      <c r="D653" s="21" t="s">
        <v>733</v>
      </c>
    </row>
    <row r="654">
      <c r="D654" s="21" t="s">
        <v>733</v>
      </c>
    </row>
    <row r="655">
      <c r="D655" s="21" t="s">
        <v>733</v>
      </c>
    </row>
    <row r="656">
      <c r="D656" s="21" t="s">
        <v>733</v>
      </c>
    </row>
    <row r="657">
      <c r="D657" s="21" t="s">
        <v>733</v>
      </c>
    </row>
    <row r="658">
      <c r="D658" s="21" t="s">
        <v>733</v>
      </c>
    </row>
    <row r="659">
      <c r="D659" s="21" t="s">
        <v>733</v>
      </c>
    </row>
    <row r="660">
      <c r="D660" s="21" t="s">
        <v>733</v>
      </c>
    </row>
    <row r="661">
      <c r="D661" s="21" t="s">
        <v>733</v>
      </c>
    </row>
    <row r="662">
      <c r="D662" s="21" t="s">
        <v>733</v>
      </c>
    </row>
    <row r="663">
      <c r="D663" s="21" t="s">
        <v>733</v>
      </c>
    </row>
    <row r="664">
      <c r="D664" s="21" t="s">
        <v>733</v>
      </c>
    </row>
    <row r="665">
      <c r="D665" s="21" t="s">
        <v>733</v>
      </c>
    </row>
    <row r="666">
      <c r="D666" s="21" t="s">
        <v>733</v>
      </c>
    </row>
    <row r="667">
      <c r="D667" s="21" t="s">
        <v>733</v>
      </c>
    </row>
    <row r="668">
      <c r="D668" s="21" t="s">
        <v>733</v>
      </c>
    </row>
    <row r="669">
      <c r="D669" s="21" t="s">
        <v>733</v>
      </c>
    </row>
    <row r="670">
      <c r="D670" s="21" t="s">
        <v>733</v>
      </c>
    </row>
    <row r="671">
      <c r="D671" s="21" t="s">
        <v>733</v>
      </c>
    </row>
    <row r="672">
      <c r="D672" s="21" t="s">
        <v>733</v>
      </c>
    </row>
    <row r="673">
      <c r="D673" s="21" t="s">
        <v>733</v>
      </c>
    </row>
    <row r="674">
      <c r="D674" s="21" t="s">
        <v>733</v>
      </c>
    </row>
    <row r="675">
      <c r="D675" s="21" t="s">
        <v>733</v>
      </c>
    </row>
    <row r="676">
      <c r="D676" s="21" t="s">
        <v>733</v>
      </c>
    </row>
    <row r="677">
      <c r="D677" s="21" t="s">
        <v>733</v>
      </c>
    </row>
    <row r="678">
      <c r="D678" s="21" t="s">
        <v>733</v>
      </c>
    </row>
    <row r="679">
      <c r="D679" s="21" t="s">
        <v>733</v>
      </c>
    </row>
    <row r="680">
      <c r="D680" s="21" t="s">
        <v>733</v>
      </c>
    </row>
    <row r="681">
      <c r="D681" s="21" t="s">
        <v>733</v>
      </c>
    </row>
    <row r="682">
      <c r="D682" s="21" t="s">
        <v>733</v>
      </c>
    </row>
    <row r="683">
      <c r="D683" s="21" t="s">
        <v>733</v>
      </c>
    </row>
    <row r="684">
      <c r="D684" s="21" t="s">
        <v>733</v>
      </c>
    </row>
    <row r="685">
      <c r="D685" s="21" t="s">
        <v>733</v>
      </c>
    </row>
    <row r="686">
      <c r="D686" s="21" t="s">
        <v>733</v>
      </c>
    </row>
    <row r="687">
      <c r="D687" s="21" t="s">
        <v>733</v>
      </c>
    </row>
    <row r="688">
      <c r="D688" s="21" t="s">
        <v>733</v>
      </c>
    </row>
    <row r="689">
      <c r="D689" s="21" t="s">
        <v>733</v>
      </c>
    </row>
    <row r="690">
      <c r="D690" s="21" t="s">
        <v>733</v>
      </c>
    </row>
    <row r="691">
      <c r="D691" s="21" t="s">
        <v>733</v>
      </c>
    </row>
    <row r="692">
      <c r="D692" s="21" t="s">
        <v>733</v>
      </c>
    </row>
    <row r="693">
      <c r="D693" s="21" t="s">
        <v>733</v>
      </c>
    </row>
    <row r="694">
      <c r="D694" s="21" t="s">
        <v>733</v>
      </c>
    </row>
    <row r="695">
      <c r="D695" s="21" t="s">
        <v>733</v>
      </c>
    </row>
    <row r="696">
      <c r="D696" s="21" t="s">
        <v>733</v>
      </c>
    </row>
    <row r="697">
      <c r="D697" s="21" t="s">
        <v>733</v>
      </c>
    </row>
    <row r="698">
      <c r="D698" s="21" t="s">
        <v>733</v>
      </c>
    </row>
    <row r="699">
      <c r="D699" s="21" t="s">
        <v>733</v>
      </c>
    </row>
    <row r="700">
      <c r="D700" s="21" t="s">
        <v>733</v>
      </c>
    </row>
    <row r="701">
      <c r="D701" s="21" t="s">
        <v>733</v>
      </c>
    </row>
    <row r="702">
      <c r="D702" s="21" t="s">
        <v>733</v>
      </c>
    </row>
    <row r="703">
      <c r="D703" s="21" t="s">
        <v>733</v>
      </c>
    </row>
    <row r="704">
      <c r="D704" s="21" t="s">
        <v>733</v>
      </c>
    </row>
    <row r="705">
      <c r="D705" s="21" t="s">
        <v>733</v>
      </c>
    </row>
    <row r="706">
      <c r="D706" s="21" t="s">
        <v>733</v>
      </c>
    </row>
    <row r="707">
      <c r="D707" s="21" t="s">
        <v>733</v>
      </c>
    </row>
    <row r="708">
      <c r="D708" s="21" t="s">
        <v>733</v>
      </c>
    </row>
    <row r="709">
      <c r="D709" s="21" t="s">
        <v>733</v>
      </c>
    </row>
    <row r="710">
      <c r="D710" s="21" t="s">
        <v>733</v>
      </c>
    </row>
    <row r="711">
      <c r="D711" s="21" t="s">
        <v>733</v>
      </c>
    </row>
    <row r="712">
      <c r="D712" s="21" t="s">
        <v>733</v>
      </c>
    </row>
    <row r="713">
      <c r="D713" s="21" t="s">
        <v>733</v>
      </c>
    </row>
    <row r="714">
      <c r="D714" s="21" t="s">
        <v>733</v>
      </c>
    </row>
    <row r="715">
      <c r="D715" s="21" t="s">
        <v>733</v>
      </c>
    </row>
    <row r="716">
      <c r="D716" s="21" t="s">
        <v>733</v>
      </c>
    </row>
    <row r="717">
      <c r="D717" s="21" t="s">
        <v>733</v>
      </c>
    </row>
    <row r="718">
      <c r="D718" s="21" t="s">
        <v>733</v>
      </c>
    </row>
    <row r="719">
      <c r="D719" s="21" t="s">
        <v>733</v>
      </c>
    </row>
    <row r="720">
      <c r="D720" s="21" t="s">
        <v>733</v>
      </c>
    </row>
    <row r="721">
      <c r="D721" s="21" t="s">
        <v>733</v>
      </c>
    </row>
    <row r="722">
      <c r="D722" s="21" t="s">
        <v>733</v>
      </c>
    </row>
    <row r="723">
      <c r="D723" s="21" t="s">
        <v>733</v>
      </c>
    </row>
    <row r="724">
      <c r="D724" s="21" t="s">
        <v>733</v>
      </c>
    </row>
    <row r="725">
      <c r="D725" s="21" t="s">
        <v>733</v>
      </c>
    </row>
    <row r="726">
      <c r="D726" s="21" t="s">
        <v>733</v>
      </c>
    </row>
    <row r="727">
      <c r="D727" s="21" t="s">
        <v>733</v>
      </c>
    </row>
    <row r="728">
      <c r="D728" s="21" t="s">
        <v>733</v>
      </c>
    </row>
    <row r="729">
      <c r="D729" s="21" t="s">
        <v>733</v>
      </c>
    </row>
    <row r="730">
      <c r="D730" s="21" t="s">
        <v>733</v>
      </c>
    </row>
    <row r="731">
      <c r="D731" s="21" t="s">
        <v>733</v>
      </c>
    </row>
    <row r="732">
      <c r="D732" s="21" t="s">
        <v>733</v>
      </c>
    </row>
    <row r="733">
      <c r="D733" s="21" t="s">
        <v>733</v>
      </c>
    </row>
    <row r="734">
      <c r="D734" s="21" t="s">
        <v>733</v>
      </c>
    </row>
    <row r="735">
      <c r="D735" s="21" t="s">
        <v>733</v>
      </c>
    </row>
    <row r="736">
      <c r="D736" s="21" t="s">
        <v>733</v>
      </c>
    </row>
    <row r="737">
      <c r="D737" s="21" t="s">
        <v>733</v>
      </c>
    </row>
    <row r="738">
      <c r="D738" s="21" t="s">
        <v>733</v>
      </c>
    </row>
    <row r="739">
      <c r="D739" s="21" t="s">
        <v>733</v>
      </c>
    </row>
    <row r="740">
      <c r="D740" s="21" t="s">
        <v>733</v>
      </c>
    </row>
    <row r="741">
      <c r="D741" s="21" t="s">
        <v>733</v>
      </c>
    </row>
    <row r="742">
      <c r="D742" s="21" t="s">
        <v>733</v>
      </c>
    </row>
    <row r="743">
      <c r="D743" s="21" t="s">
        <v>733</v>
      </c>
    </row>
    <row r="744">
      <c r="D744" s="21" t="s">
        <v>733</v>
      </c>
    </row>
    <row r="745">
      <c r="D745" s="21" t="s">
        <v>733</v>
      </c>
    </row>
    <row r="746">
      <c r="D746" s="21" t="s">
        <v>733</v>
      </c>
    </row>
    <row r="747">
      <c r="D747" s="21" t="s">
        <v>733</v>
      </c>
    </row>
    <row r="748">
      <c r="D748" s="21" t="s">
        <v>733</v>
      </c>
    </row>
    <row r="749">
      <c r="D749" s="21" t="s">
        <v>733</v>
      </c>
    </row>
    <row r="750">
      <c r="D750" s="21" t="s">
        <v>733</v>
      </c>
    </row>
    <row r="751">
      <c r="D751" s="21" t="s">
        <v>733</v>
      </c>
    </row>
    <row r="752">
      <c r="D752" s="21" t="s">
        <v>733</v>
      </c>
    </row>
    <row r="753">
      <c r="D753" s="21" t="s">
        <v>733</v>
      </c>
    </row>
    <row r="754">
      <c r="D754" s="21" t="s">
        <v>733</v>
      </c>
    </row>
    <row r="755">
      <c r="D755" s="21" t="s">
        <v>733</v>
      </c>
    </row>
    <row r="756">
      <c r="D756" s="21" t="s">
        <v>733</v>
      </c>
    </row>
    <row r="757">
      <c r="D757" s="21" t="s">
        <v>733</v>
      </c>
    </row>
    <row r="758">
      <c r="D758" s="21" t="s">
        <v>733</v>
      </c>
    </row>
    <row r="759">
      <c r="D759" s="21" t="s">
        <v>733</v>
      </c>
    </row>
    <row r="760">
      <c r="D760" s="21" t="s">
        <v>733</v>
      </c>
    </row>
    <row r="761">
      <c r="D761" s="21" t="s">
        <v>733</v>
      </c>
    </row>
    <row r="762">
      <c r="D762" s="21" t="s">
        <v>733</v>
      </c>
    </row>
    <row r="763">
      <c r="D763" s="21" t="s">
        <v>733</v>
      </c>
    </row>
    <row r="764">
      <c r="D764" s="21" t="s">
        <v>733</v>
      </c>
    </row>
    <row r="765">
      <c r="D765" s="21" t="s">
        <v>733</v>
      </c>
    </row>
    <row r="766">
      <c r="D766" s="21" t="s">
        <v>733</v>
      </c>
    </row>
    <row r="767">
      <c r="D767" s="21" t="s">
        <v>733</v>
      </c>
    </row>
    <row r="768">
      <c r="D768" s="21" t="s">
        <v>733</v>
      </c>
    </row>
    <row r="769">
      <c r="D769" s="21" t="s">
        <v>733</v>
      </c>
    </row>
    <row r="770">
      <c r="D770" s="21" t="s">
        <v>733</v>
      </c>
    </row>
    <row r="771">
      <c r="D771" s="21" t="s">
        <v>733</v>
      </c>
    </row>
    <row r="772">
      <c r="D772" s="21" t="s">
        <v>733</v>
      </c>
    </row>
    <row r="773">
      <c r="D773" s="21" t="s">
        <v>733</v>
      </c>
    </row>
    <row r="774">
      <c r="D774" s="21" t="s">
        <v>733</v>
      </c>
    </row>
    <row r="775">
      <c r="D775" s="21" t="s">
        <v>733</v>
      </c>
    </row>
    <row r="776">
      <c r="D776" s="21" t="s">
        <v>733</v>
      </c>
    </row>
    <row r="777">
      <c r="D777" s="21" t="s">
        <v>733</v>
      </c>
    </row>
    <row r="778">
      <c r="D778" s="21" t="s">
        <v>733</v>
      </c>
    </row>
    <row r="779">
      <c r="D779" s="21" t="s">
        <v>733</v>
      </c>
    </row>
    <row r="780">
      <c r="D780" s="21" t="s">
        <v>733</v>
      </c>
    </row>
    <row r="781">
      <c r="D781" s="21" t="s">
        <v>733</v>
      </c>
    </row>
    <row r="782">
      <c r="D782" s="21" t="s">
        <v>733</v>
      </c>
    </row>
    <row r="783">
      <c r="D783" s="21" t="s">
        <v>733</v>
      </c>
    </row>
    <row r="784">
      <c r="D784" s="21" t="s">
        <v>733</v>
      </c>
    </row>
    <row r="785">
      <c r="D785" s="21" t="s">
        <v>733</v>
      </c>
    </row>
    <row r="786">
      <c r="D786" s="21" t="s">
        <v>733</v>
      </c>
    </row>
    <row r="787">
      <c r="D787" s="21" t="s">
        <v>733</v>
      </c>
    </row>
    <row r="788">
      <c r="D788" s="21" t="s">
        <v>733</v>
      </c>
    </row>
    <row r="789">
      <c r="D789" s="21" t="s">
        <v>733</v>
      </c>
    </row>
    <row r="790">
      <c r="D790" s="21" t="s">
        <v>733</v>
      </c>
    </row>
    <row r="791">
      <c r="D791" s="21" t="s">
        <v>733</v>
      </c>
    </row>
    <row r="792">
      <c r="D792" s="21" t="s">
        <v>733</v>
      </c>
    </row>
    <row r="793">
      <c r="D793" s="21" t="s">
        <v>733</v>
      </c>
    </row>
    <row r="794">
      <c r="D794" s="21" t="s">
        <v>733</v>
      </c>
    </row>
    <row r="795">
      <c r="D795" s="21" t="s">
        <v>733</v>
      </c>
    </row>
    <row r="796">
      <c r="D796" s="21" t="s">
        <v>733</v>
      </c>
    </row>
    <row r="797">
      <c r="D797" s="21" t="s">
        <v>733</v>
      </c>
    </row>
    <row r="798">
      <c r="D798" s="21" t="s">
        <v>733</v>
      </c>
    </row>
    <row r="799">
      <c r="D799" s="21" t="s">
        <v>733</v>
      </c>
    </row>
    <row r="800">
      <c r="D800" s="21" t="s">
        <v>733</v>
      </c>
    </row>
    <row r="801">
      <c r="D801" s="21" t="s">
        <v>733</v>
      </c>
    </row>
    <row r="802">
      <c r="D802" s="21" t="s">
        <v>733</v>
      </c>
    </row>
    <row r="803">
      <c r="D803" s="21" t="s">
        <v>733</v>
      </c>
    </row>
    <row r="804">
      <c r="D804" s="21" t="s">
        <v>733</v>
      </c>
    </row>
    <row r="805">
      <c r="D805" s="21" t="s">
        <v>733</v>
      </c>
    </row>
    <row r="806">
      <c r="D806" s="21" t="s">
        <v>733</v>
      </c>
    </row>
    <row r="807">
      <c r="D807" s="21" t="s">
        <v>733</v>
      </c>
    </row>
    <row r="808">
      <c r="D808" s="21" t="s">
        <v>733</v>
      </c>
    </row>
    <row r="809">
      <c r="D809" s="21" t="s">
        <v>733</v>
      </c>
    </row>
    <row r="810">
      <c r="D810" s="21" t="s">
        <v>733</v>
      </c>
    </row>
    <row r="811">
      <c r="D811" s="21" t="s">
        <v>733</v>
      </c>
    </row>
    <row r="812">
      <c r="D812" s="21" t="s">
        <v>733</v>
      </c>
    </row>
    <row r="813">
      <c r="D813" s="21" t="s">
        <v>733</v>
      </c>
    </row>
    <row r="814">
      <c r="D814" s="21" t="s">
        <v>733</v>
      </c>
    </row>
    <row r="815">
      <c r="D815" s="21" t="s">
        <v>733</v>
      </c>
    </row>
    <row r="816">
      <c r="D816" s="21" t="s">
        <v>733</v>
      </c>
    </row>
    <row r="817">
      <c r="D817" s="21" t="s">
        <v>733</v>
      </c>
    </row>
    <row r="818">
      <c r="D818" s="21" t="s">
        <v>733</v>
      </c>
    </row>
    <row r="819">
      <c r="D819" s="21" t="s">
        <v>733</v>
      </c>
    </row>
    <row r="820">
      <c r="D820" s="21" t="s">
        <v>733</v>
      </c>
    </row>
    <row r="821">
      <c r="D821" s="21" t="s">
        <v>733</v>
      </c>
    </row>
    <row r="822">
      <c r="D822" s="21" t="s">
        <v>733</v>
      </c>
    </row>
    <row r="823">
      <c r="D823" s="21" t="s">
        <v>733</v>
      </c>
    </row>
    <row r="824">
      <c r="D824" s="21" t="s">
        <v>733</v>
      </c>
    </row>
    <row r="825">
      <c r="D825" s="21" t="s">
        <v>733</v>
      </c>
    </row>
    <row r="826">
      <c r="D826" s="21" t="s">
        <v>733</v>
      </c>
    </row>
    <row r="827">
      <c r="D827" s="21" t="s">
        <v>733</v>
      </c>
    </row>
    <row r="828">
      <c r="D828" s="21" t="s">
        <v>733</v>
      </c>
    </row>
    <row r="829">
      <c r="D829" s="21" t="s">
        <v>733</v>
      </c>
    </row>
    <row r="830">
      <c r="D830" s="21" t="s">
        <v>733</v>
      </c>
    </row>
    <row r="831">
      <c r="D831" s="21" t="s">
        <v>733</v>
      </c>
    </row>
    <row r="832">
      <c r="D832" s="21" t="s">
        <v>733</v>
      </c>
    </row>
    <row r="833">
      <c r="D833" s="21" t="s">
        <v>733</v>
      </c>
    </row>
    <row r="834">
      <c r="D834" s="21" t="s">
        <v>733</v>
      </c>
    </row>
    <row r="835">
      <c r="D835" s="21" t="s">
        <v>733</v>
      </c>
    </row>
    <row r="836">
      <c r="D836" s="21" t="s">
        <v>733</v>
      </c>
    </row>
    <row r="837">
      <c r="D837" s="21" t="s">
        <v>733</v>
      </c>
    </row>
    <row r="838">
      <c r="D838" s="21" t="s">
        <v>733</v>
      </c>
    </row>
    <row r="839">
      <c r="D839" s="21" t="s">
        <v>733</v>
      </c>
    </row>
    <row r="840">
      <c r="D840" s="21" t="s">
        <v>733</v>
      </c>
    </row>
    <row r="841">
      <c r="D841" s="21" t="s">
        <v>733</v>
      </c>
    </row>
    <row r="842">
      <c r="D842" s="21" t="s">
        <v>733</v>
      </c>
    </row>
    <row r="843">
      <c r="D843" s="21" t="s">
        <v>733</v>
      </c>
    </row>
    <row r="844">
      <c r="D844" s="21" t="s">
        <v>733</v>
      </c>
    </row>
    <row r="845">
      <c r="D845" s="21" t="s">
        <v>733</v>
      </c>
    </row>
    <row r="846">
      <c r="D846" s="21" t="s">
        <v>733</v>
      </c>
    </row>
    <row r="847">
      <c r="D847" s="21" t="s">
        <v>733</v>
      </c>
    </row>
    <row r="848">
      <c r="D848" s="21" t="s">
        <v>733</v>
      </c>
    </row>
    <row r="849">
      <c r="D849" s="21" t="s">
        <v>733</v>
      </c>
    </row>
    <row r="850">
      <c r="D850" s="21" t="s">
        <v>733</v>
      </c>
    </row>
    <row r="851">
      <c r="D851" s="21" t="s">
        <v>733</v>
      </c>
    </row>
    <row r="852">
      <c r="D852" s="21" t="s">
        <v>733</v>
      </c>
    </row>
    <row r="853">
      <c r="D853" s="21" t="s">
        <v>733</v>
      </c>
    </row>
    <row r="854">
      <c r="D854" s="21" t="s">
        <v>733</v>
      </c>
    </row>
    <row r="855">
      <c r="D855" s="21" t="s">
        <v>733</v>
      </c>
    </row>
    <row r="856">
      <c r="D856" s="21" t="s">
        <v>733</v>
      </c>
    </row>
    <row r="857">
      <c r="D857" s="21" t="s">
        <v>733</v>
      </c>
    </row>
    <row r="858">
      <c r="D858" s="21" t="s">
        <v>733</v>
      </c>
    </row>
    <row r="859">
      <c r="D859" s="21" t="s">
        <v>733</v>
      </c>
    </row>
    <row r="860">
      <c r="D860" s="21" t="s">
        <v>733</v>
      </c>
    </row>
    <row r="861">
      <c r="D861" s="21" t="s">
        <v>733</v>
      </c>
    </row>
    <row r="862">
      <c r="D862" s="21" t="s">
        <v>733</v>
      </c>
    </row>
    <row r="863">
      <c r="D863" s="21" t="s">
        <v>733</v>
      </c>
    </row>
    <row r="864">
      <c r="D864" s="21" t="s">
        <v>733</v>
      </c>
    </row>
    <row r="865">
      <c r="D865" s="21" t="s">
        <v>733</v>
      </c>
    </row>
    <row r="866">
      <c r="D866" s="21" t="s">
        <v>733</v>
      </c>
    </row>
    <row r="867">
      <c r="D867" s="21" t="s">
        <v>733</v>
      </c>
    </row>
    <row r="868">
      <c r="D868" s="21" t="s">
        <v>733</v>
      </c>
    </row>
    <row r="869">
      <c r="D869" s="21" t="s">
        <v>733</v>
      </c>
    </row>
    <row r="870">
      <c r="D870" s="21" t="s">
        <v>733</v>
      </c>
    </row>
    <row r="871">
      <c r="D871" s="21" t="s">
        <v>733</v>
      </c>
    </row>
    <row r="872">
      <c r="D872" s="21" t="s">
        <v>733</v>
      </c>
    </row>
    <row r="873">
      <c r="D873" s="21" t="s">
        <v>733</v>
      </c>
    </row>
    <row r="874">
      <c r="D874" s="21" t="s">
        <v>733</v>
      </c>
    </row>
    <row r="875">
      <c r="D875" s="21" t="s">
        <v>733</v>
      </c>
    </row>
    <row r="876">
      <c r="D876" s="21" t="s">
        <v>733</v>
      </c>
    </row>
    <row r="877">
      <c r="D877" s="21" t="s">
        <v>733</v>
      </c>
    </row>
    <row r="878">
      <c r="D878" s="21" t="s">
        <v>733</v>
      </c>
    </row>
    <row r="879">
      <c r="D879" s="21" t="s">
        <v>733</v>
      </c>
    </row>
    <row r="880">
      <c r="D880" s="21" t="s">
        <v>733</v>
      </c>
    </row>
    <row r="881">
      <c r="D881" s="21" t="s">
        <v>733</v>
      </c>
    </row>
    <row r="882">
      <c r="D882" s="21" t="s">
        <v>733</v>
      </c>
    </row>
    <row r="883">
      <c r="D883" s="21" t="s">
        <v>733</v>
      </c>
    </row>
    <row r="884">
      <c r="D884" s="21" t="s">
        <v>733</v>
      </c>
    </row>
    <row r="885">
      <c r="D885" s="21" t="s">
        <v>733</v>
      </c>
    </row>
    <row r="886">
      <c r="D886" s="21" t="s">
        <v>733</v>
      </c>
    </row>
    <row r="887">
      <c r="D887" s="21" t="s">
        <v>733</v>
      </c>
    </row>
    <row r="888">
      <c r="D888" s="21" t="s">
        <v>733</v>
      </c>
    </row>
    <row r="889">
      <c r="D889" s="21" t="s">
        <v>733</v>
      </c>
    </row>
    <row r="890">
      <c r="D890" s="21" t="s">
        <v>733</v>
      </c>
    </row>
    <row r="891">
      <c r="D891" s="21" t="s">
        <v>733</v>
      </c>
    </row>
    <row r="892">
      <c r="D892" s="21" t="s">
        <v>733</v>
      </c>
    </row>
    <row r="893">
      <c r="D893" s="21" t="s">
        <v>733</v>
      </c>
    </row>
    <row r="894">
      <c r="D894" s="21" t="s">
        <v>733</v>
      </c>
    </row>
    <row r="895">
      <c r="D895" s="21" t="s">
        <v>733</v>
      </c>
    </row>
    <row r="896">
      <c r="D896" s="21" t="s">
        <v>733</v>
      </c>
    </row>
    <row r="897">
      <c r="D897" s="21" t="s">
        <v>733</v>
      </c>
    </row>
    <row r="898">
      <c r="D898" s="21" t="s">
        <v>733</v>
      </c>
    </row>
    <row r="899">
      <c r="D899" s="21" t="s">
        <v>733</v>
      </c>
    </row>
    <row r="900">
      <c r="D900" s="21" t="s">
        <v>733</v>
      </c>
    </row>
    <row r="901">
      <c r="D901" s="21" t="s">
        <v>733</v>
      </c>
    </row>
    <row r="902">
      <c r="D902" s="21" t="s">
        <v>733</v>
      </c>
    </row>
    <row r="903">
      <c r="D903" s="21" t="s">
        <v>733</v>
      </c>
    </row>
    <row r="904">
      <c r="D904" s="21" t="s">
        <v>733</v>
      </c>
    </row>
    <row r="905">
      <c r="D905" s="21" t="s">
        <v>733</v>
      </c>
    </row>
    <row r="906">
      <c r="D906" s="21" t="s">
        <v>733</v>
      </c>
    </row>
    <row r="907">
      <c r="D907" s="21" t="s">
        <v>733</v>
      </c>
    </row>
    <row r="908">
      <c r="D908" s="21" t="s">
        <v>733</v>
      </c>
    </row>
    <row r="909">
      <c r="D909" s="21" t="s">
        <v>733</v>
      </c>
    </row>
    <row r="910">
      <c r="D910" s="21" t="s">
        <v>733</v>
      </c>
    </row>
    <row r="911">
      <c r="D911" s="21" t="s">
        <v>733</v>
      </c>
    </row>
    <row r="912">
      <c r="D912" s="21" t="s">
        <v>733</v>
      </c>
    </row>
    <row r="913">
      <c r="D913" s="21" t="s">
        <v>733</v>
      </c>
    </row>
    <row r="914">
      <c r="D914" s="21" t="s">
        <v>733</v>
      </c>
    </row>
    <row r="915">
      <c r="D915" s="21" t="s">
        <v>733</v>
      </c>
    </row>
    <row r="916">
      <c r="D916" s="21" t="s">
        <v>733</v>
      </c>
    </row>
    <row r="917">
      <c r="D917" s="21" t="s">
        <v>733</v>
      </c>
    </row>
    <row r="918">
      <c r="D918" s="21" t="s">
        <v>733</v>
      </c>
    </row>
    <row r="919">
      <c r="D919" s="21" t="s">
        <v>733</v>
      </c>
    </row>
    <row r="920">
      <c r="D920" s="21" t="s">
        <v>733</v>
      </c>
    </row>
    <row r="921">
      <c r="D921" s="21" t="s">
        <v>733</v>
      </c>
    </row>
    <row r="922">
      <c r="D922" s="21" t="s">
        <v>733</v>
      </c>
    </row>
    <row r="923">
      <c r="D923" s="21" t="s">
        <v>733</v>
      </c>
    </row>
    <row r="924">
      <c r="D924" s="21" t="s">
        <v>733</v>
      </c>
    </row>
    <row r="925">
      <c r="D925" s="21" t="s">
        <v>733</v>
      </c>
    </row>
    <row r="926">
      <c r="D926" s="21" t="s">
        <v>733</v>
      </c>
    </row>
    <row r="927">
      <c r="D927" s="21" t="s">
        <v>733</v>
      </c>
    </row>
    <row r="928">
      <c r="D928" s="21" t="s">
        <v>733</v>
      </c>
    </row>
    <row r="929">
      <c r="D929" s="21" t="s">
        <v>733</v>
      </c>
    </row>
    <row r="930">
      <c r="D930" s="21" t="s">
        <v>733</v>
      </c>
    </row>
    <row r="931">
      <c r="D931" s="21" t="s">
        <v>733</v>
      </c>
    </row>
    <row r="932">
      <c r="D932" s="21" t="s">
        <v>733</v>
      </c>
    </row>
    <row r="933">
      <c r="D933" s="21" t="s">
        <v>733</v>
      </c>
    </row>
    <row r="934">
      <c r="D934" s="21" t="s">
        <v>733</v>
      </c>
    </row>
    <row r="935">
      <c r="D935" s="21" t="s">
        <v>733</v>
      </c>
    </row>
    <row r="936">
      <c r="D936" s="21" t="s">
        <v>733</v>
      </c>
    </row>
    <row r="937">
      <c r="D937" s="21" t="s">
        <v>733</v>
      </c>
    </row>
    <row r="938">
      <c r="D938" s="21" t="s">
        <v>733</v>
      </c>
    </row>
    <row r="939">
      <c r="D939" s="21" t="s">
        <v>733</v>
      </c>
    </row>
    <row r="940">
      <c r="D940" s="21" t="s">
        <v>733</v>
      </c>
    </row>
    <row r="941">
      <c r="D941" s="21" t="s">
        <v>733</v>
      </c>
    </row>
    <row r="942">
      <c r="D942" s="21" t="s">
        <v>733</v>
      </c>
    </row>
    <row r="943">
      <c r="D943" s="21" t="s">
        <v>733</v>
      </c>
    </row>
    <row r="944">
      <c r="D944" s="21" t="s">
        <v>733</v>
      </c>
    </row>
    <row r="945">
      <c r="D945" s="21" t="s">
        <v>733</v>
      </c>
    </row>
    <row r="946">
      <c r="D946" s="21" t="s">
        <v>733</v>
      </c>
    </row>
    <row r="947">
      <c r="D947" s="21" t="s">
        <v>733</v>
      </c>
    </row>
    <row r="948">
      <c r="D948" s="21" t="s">
        <v>733</v>
      </c>
    </row>
    <row r="949">
      <c r="D949" s="21" t="s">
        <v>733</v>
      </c>
    </row>
    <row r="950">
      <c r="D950" s="21" t="s">
        <v>733</v>
      </c>
    </row>
    <row r="951">
      <c r="D951" s="21" t="s">
        <v>733</v>
      </c>
    </row>
    <row r="952">
      <c r="D952" s="21" t="s">
        <v>733</v>
      </c>
    </row>
    <row r="953">
      <c r="D953" s="21" t="s">
        <v>733</v>
      </c>
    </row>
    <row r="954">
      <c r="D954" s="21" t="s">
        <v>733</v>
      </c>
    </row>
    <row r="955">
      <c r="D955" s="21" t="s">
        <v>733</v>
      </c>
    </row>
    <row r="956">
      <c r="D956" s="21" t="s">
        <v>733</v>
      </c>
    </row>
    <row r="957">
      <c r="D957" s="21" t="s">
        <v>733</v>
      </c>
    </row>
    <row r="958">
      <c r="D958" s="21" t="s">
        <v>733</v>
      </c>
    </row>
    <row r="959">
      <c r="D959" s="21" t="s">
        <v>733</v>
      </c>
    </row>
    <row r="960">
      <c r="D960" s="21" t="s">
        <v>733</v>
      </c>
    </row>
    <row r="961">
      <c r="D961" s="21" t="s">
        <v>733</v>
      </c>
    </row>
    <row r="962">
      <c r="D962" s="21" t="s">
        <v>733</v>
      </c>
    </row>
    <row r="963">
      <c r="D963" s="21" t="s">
        <v>733</v>
      </c>
    </row>
    <row r="964">
      <c r="D964" s="21" t="s">
        <v>733</v>
      </c>
    </row>
    <row r="965">
      <c r="D965" s="21" t="s">
        <v>733</v>
      </c>
    </row>
    <row r="966">
      <c r="D966" s="21" t="s">
        <v>733</v>
      </c>
    </row>
    <row r="967">
      <c r="D967" s="21" t="s">
        <v>733</v>
      </c>
    </row>
    <row r="968">
      <c r="D968" s="21" t="s">
        <v>733</v>
      </c>
    </row>
    <row r="969">
      <c r="D969" s="21" t="s">
        <v>733</v>
      </c>
    </row>
    <row r="970">
      <c r="D970" s="21" t="s">
        <v>733</v>
      </c>
    </row>
    <row r="971">
      <c r="D971" s="21" t="s">
        <v>733</v>
      </c>
    </row>
    <row r="972">
      <c r="D972" s="21" t="s">
        <v>733</v>
      </c>
    </row>
    <row r="973">
      <c r="D973" s="21" t="s">
        <v>733</v>
      </c>
    </row>
    <row r="974">
      <c r="D974" s="21" t="s">
        <v>733</v>
      </c>
    </row>
    <row r="975">
      <c r="D975" s="21" t="s">
        <v>733</v>
      </c>
    </row>
    <row r="976">
      <c r="D976" s="21" t="s">
        <v>733</v>
      </c>
    </row>
    <row r="977">
      <c r="D977" s="21" t="s">
        <v>733</v>
      </c>
    </row>
    <row r="978">
      <c r="D978" s="21" t="s">
        <v>733</v>
      </c>
    </row>
    <row r="979">
      <c r="D979" s="21" t="s">
        <v>733</v>
      </c>
    </row>
    <row r="980">
      <c r="D980" s="21" t="s">
        <v>733</v>
      </c>
    </row>
    <row r="981">
      <c r="D981" s="21" t="s">
        <v>733</v>
      </c>
    </row>
    <row r="982">
      <c r="D982" s="21" t="s">
        <v>733</v>
      </c>
    </row>
    <row r="983">
      <c r="D983" s="21" t="s">
        <v>733</v>
      </c>
    </row>
    <row r="984">
      <c r="D984" s="21" t="s">
        <v>733</v>
      </c>
    </row>
    <row r="985">
      <c r="D985" s="21" t="s">
        <v>733</v>
      </c>
    </row>
    <row r="986">
      <c r="D986" s="21" t="s">
        <v>733</v>
      </c>
    </row>
    <row r="987">
      <c r="D987" s="21" t="s">
        <v>733</v>
      </c>
    </row>
    <row r="988">
      <c r="D988" s="21" t="s">
        <v>733</v>
      </c>
    </row>
    <row r="989">
      <c r="D989" s="21" t="s">
        <v>733</v>
      </c>
    </row>
    <row r="990">
      <c r="D990" s="21" t="s">
        <v>733</v>
      </c>
    </row>
    <row r="991">
      <c r="D991" s="21" t="s">
        <v>733</v>
      </c>
    </row>
    <row r="992">
      <c r="D992" s="21" t="s">
        <v>733</v>
      </c>
    </row>
    <row r="993">
      <c r="D993" s="21" t="s">
        <v>733</v>
      </c>
    </row>
    <row r="994">
      <c r="D994" s="21" t="s">
        <v>733</v>
      </c>
    </row>
    <row r="995">
      <c r="D995" s="21" t="s">
        <v>733</v>
      </c>
    </row>
    <row r="996">
      <c r="D996" s="21" t="s">
        <v>733</v>
      </c>
    </row>
    <row r="997">
      <c r="D997" s="21" t="s">
        <v>733</v>
      </c>
    </row>
    <row r="998">
      <c r="D998" s="21" t="s">
        <v>733</v>
      </c>
    </row>
    <row r="999">
      <c r="D999" s="21" t="s">
        <v>733</v>
      </c>
    </row>
    <row r="1000">
      <c r="D1000" s="21" t="s">
        <v>733</v>
      </c>
    </row>
  </sheetData>
  <drawing r:id="rId1"/>
</worksheet>
</file>